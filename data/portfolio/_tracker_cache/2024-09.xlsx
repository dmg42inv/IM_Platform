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F246F2C7-F178-4230-BF43-F29F40E24E93}" xr6:coauthVersionLast="47" xr6:coauthVersionMax="47" xr10:uidLastSave="{00000000-0000-0000-0000-000000000000}"/>
  <bookViews>
    <workbookView xWindow="-120" yWindow="-120" windowWidth="24240" windowHeight="13140" tabRatio="711"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b)" sheetId="88" r:id="rId12"/>
    <sheet name="9. All deals (c)" sheetId="80" r:id="rId13"/>
    <sheet name="WLD Grant C-133" sheetId="89" state="hidden" r:id="rId14"/>
    <sheet name="D S | 01" sheetId="86" state="hidden" r:id="rId15"/>
    <sheet name="5. CF Profile" sheetId="50" state="hidden" r:id="rId16"/>
    <sheet name="8. NewSpace" sheetId="77" state="hidden" r:id="rId17"/>
    <sheet name="1.1 Geo" sheetId="63" state="hidden" r:id="rId18"/>
    <sheet name="1.2 Attribution" sheetId="60" state="hidden" r:id="rId19"/>
  </sheets>
  <externalReferences>
    <externalReference r:id="rId20"/>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Live'!$A$1:$T$50</definedName>
    <definedName name="_xlnm.Print_Area" localSheetId="2">'2. Exited'!$A$1:$T$41</definedName>
    <definedName name="_xlnm.Print_Area" localSheetId="8">'7. Glossary'!$A$1:$D$30</definedName>
    <definedName name="_xlnm.Print_Area" localSheetId="11">'9. All deals (b)'!$A$1:$T$61</definedName>
    <definedName name="_xlnm.Print_Area" localSheetId="12">'9. All deals (c)'!$A$1:$S$101</definedName>
    <definedName name="_xlnm.Print_Area" localSheetId="0">'D1'!$A$1:$P$21</definedName>
    <definedName name="_xlnm.Print_Area" localSheetId="3">NAV!$A$1:$H$46</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37" l="1"/>
  <c r="G28" i="37"/>
  <c r="E42" i="37"/>
  <c r="E11" i="44"/>
  <c r="E40" i="37"/>
  <c r="I37" i="77"/>
  <c r="I34" i="77"/>
  <c r="I36" i="77" s="1"/>
  <c r="M26" i="77"/>
  <c r="N26" i="77"/>
  <c r="N24" i="77"/>
  <c r="M24" i="77"/>
  <c r="Q53" i="88"/>
  <c r="N51" i="88"/>
  <c r="N53" i="88" s="1"/>
  <c r="J51" i="88"/>
  <c r="I51" i="88"/>
  <c r="H51" i="88"/>
  <c r="G51" i="88"/>
  <c r="F51" i="88"/>
  <c r="E51" i="88"/>
  <c r="Q48" i="88"/>
  <c r="S46" i="88"/>
  <c r="N46" i="88"/>
  <c r="K46" i="88"/>
  <c r="J46" i="88"/>
  <c r="I46" i="88"/>
  <c r="H46" i="88"/>
  <c r="G46" i="88"/>
  <c r="F46" i="88"/>
  <c r="E46" i="88"/>
  <c r="N45" i="88"/>
  <c r="J45" i="88"/>
  <c r="I45" i="88"/>
  <c r="H45" i="88"/>
  <c r="G45" i="88"/>
  <c r="F45" i="88"/>
  <c r="E45" i="88"/>
  <c r="Q42" i="88"/>
  <c r="N40" i="88"/>
  <c r="K40" i="88"/>
  <c r="J40" i="88"/>
  <c r="I40" i="88"/>
  <c r="H40" i="88"/>
  <c r="G40" i="88"/>
  <c r="F40" i="88"/>
  <c r="E40" i="88"/>
  <c r="M39" i="88"/>
  <c r="K39" i="88"/>
  <c r="J39" i="88"/>
  <c r="I39" i="88"/>
  <c r="H39" i="88"/>
  <c r="G39" i="88"/>
  <c r="F39" i="88"/>
  <c r="E39" i="88"/>
  <c r="M38" i="88"/>
  <c r="N38" i="88"/>
  <c r="L38" i="88"/>
  <c r="J38" i="88"/>
  <c r="I38" i="88"/>
  <c r="H38" i="88"/>
  <c r="G38" i="88"/>
  <c r="F38" i="88"/>
  <c r="E38" i="88"/>
  <c r="J37" i="88"/>
  <c r="I37" i="88"/>
  <c r="H37" i="88"/>
  <c r="G37" i="88"/>
  <c r="F37" i="88"/>
  <c r="E37" i="88"/>
  <c r="J36" i="88"/>
  <c r="I36" i="88"/>
  <c r="H36" i="88"/>
  <c r="G36" i="88"/>
  <c r="F36" i="88"/>
  <c r="E36" i="88"/>
  <c r="J35" i="88"/>
  <c r="I35" i="88"/>
  <c r="H35" i="88"/>
  <c r="G35" i="88"/>
  <c r="F35" i="88"/>
  <c r="E35" i="88"/>
  <c r="M34" i="88"/>
  <c r="J34" i="88"/>
  <c r="I34" i="88"/>
  <c r="H34" i="88"/>
  <c r="G34" i="88"/>
  <c r="F34" i="88"/>
  <c r="E34" i="88"/>
  <c r="J33" i="88"/>
  <c r="I33" i="88"/>
  <c r="H33" i="88"/>
  <c r="G33" i="88"/>
  <c r="F33" i="88"/>
  <c r="E33" i="88"/>
  <c r="Q30" i="88"/>
  <c r="Q55" i="88" s="1"/>
  <c r="S28" i="88"/>
  <c r="M28" i="88"/>
  <c r="J28" i="88"/>
  <c r="I28" i="88"/>
  <c r="H28" i="88"/>
  <c r="G28" i="88"/>
  <c r="F28" i="88"/>
  <c r="E28" i="88"/>
  <c r="S27" i="88"/>
  <c r="M27" i="88"/>
  <c r="R27" i="88"/>
  <c r="P27" i="88"/>
  <c r="O27" i="88"/>
  <c r="N27" i="88"/>
  <c r="L27" i="88"/>
  <c r="K27" i="88"/>
  <c r="J27" i="88"/>
  <c r="I27" i="88"/>
  <c r="H27" i="88"/>
  <c r="G27" i="88"/>
  <c r="F27" i="88"/>
  <c r="E27" i="88"/>
  <c r="M26" i="88"/>
  <c r="J26" i="88"/>
  <c r="I26" i="88"/>
  <c r="H26" i="88"/>
  <c r="G26" i="88"/>
  <c r="F26" i="88"/>
  <c r="E26" i="88"/>
  <c r="M25" i="88"/>
  <c r="I25" i="88"/>
  <c r="H25" i="88"/>
  <c r="G25" i="88"/>
  <c r="F25" i="88"/>
  <c r="E25" i="88"/>
  <c r="M24" i="88"/>
  <c r="I24" i="88"/>
  <c r="H24" i="88"/>
  <c r="G24" i="88"/>
  <c r="F24" i="88"/>
  <c r="E24" i="88"/>
  <c r="M23" i="88"/>
  <c r="J23" i="88"/>
  <c r="I23" i="88"/>
  <c r="H23" i="88"/>
  <c r="G23" i="88"/>
  <c r="F23" i="88"/>
  <c r="E23" i="88"/>
  <c r="M22" i="88"/>
  <c r="J22" i="88"/>
  <c r="I22" i="88"/>
  <c r="H22" i="88"/>
  <c r="G22" i="88"/>
  <c r="F22" i="88"/>
  <c r="E22" i="88"/>
  <c r="M21" i="88"/>
  <c r="J21" i="88"/>
  <c r="I21" i="88"/>
  <c r="H21" i="88"/>
  <c r="G21" i="88"/>
  <c r="F21" i="88"/>
  <c r="E21" i="88"/>
  <c r="M20" i="88"/>
  <c r="J20" i="88"/>
  <c r="I20" i="88"/>
  <c r="H20" i="88"/>
  <c r="G20" i="88"/>
  <c r="F20" i="88"/>
  <c r="E20" i="88"/>
  <c r="M19" i="88"/>
  <c r="J19" i="88"/>
  <c r="I19" i="88"/>
  <c r="H19" i="88"/>
  <c r="G19" i="88"/>
  <c r="F19" i="88"/>
  <c r="E19" i="88"/>
  <c r="M18" i="88"/>
  <c r="J18" i="88"/>
  <c r="I18" i="88"/>
  <c r="H18" i="88"/>
  <c r="G18" i="88"/>
  <c r="F18" i="88"/>
  <c r="E18" i="88"/>
  <c r="M17" i="88"/>
  <c r="J17" i="88"/>
  <c r="I17" i="88"/>
  <c r="H17" i="88"/>
  <c r="G17" i="88"/>
  <c r="F17" i="88"/>
  <c r="E17" i="88"/>
  <c r="M16" i="88"/>
  <c r="R16" i="88"/>
  <c r="P16" i="88"/>
  <c r="O16" i="88"/>
  <c r="N16" i="88"/>
  <c r="L16" i="88"/>
  <c r="K16" i="88"/>
  <c r="J16" i="88"/>
  <c r="I16" i="88"/>
  <c r="H16" i="88"/>
  <c r="G16" i="88"/>
  <c r="F16" i="88"/>
  <c r="E16" i="88"/>
  <c r="M15" i="88"/>
  <c r="N15" i="88"/>
  <c r="L15" i="88"/>
  <c r="K15" i="88"/>
  <c r="J15" i="88"/>
  <c r="I15" i="88"/>
  <c r="H15" i="88"/>
  <c r="G15" i="88"/>
  <c r="F15" i="88"/>
  <c r="E15" i="88"/>
  <c r="M14" i="88"/>
  <c r="J14" i="88"/>
  <c r="I14" i="88"/>
  <c r="H14" i="88"/>
  <c r="G14" i="88"/>
  <c r="F14" i="88"/>
  <c r="E14" i="88"/>
  <c r="N13" i="88"/>
  <c r="K13" i="88"/>
  <c r="J13" i="88"/>
  <c r="I13" i="88"/>
  <c r="H13" i="88"/>
  <c r="G13" i="88"/>
  <c r="F13" i="88"/>
  <c r="E13" i="88"/>
  <c r="N12" i="88"/>
  <c r="J12" i="88"/>
  <c r="I12" i="88"/>
  <c r="H12" i="88"/>
  <c r="G12" i="88"/>
  <c r="F12" i="88"/>
  <c r="E12" i="88"/>
  <c r="N11" i="88"/>
  <c r="J11" i="88"/>
  <c r="I11" i="88"/>
  <c r="H11" i="88"/>
  <c r="G11" i="88"/>
  <c r="F11" i="88"/>
  <c r="E11" i="88"/>
  <c r="R10" i="88"/>
  <c r="N10" i="88"/>
  <c r="J10" i="88"/>
  <c r="I10" i="88"/>
  <c r="H10" i="88"/>
  <c r="G10" i="88"/>
  <c r="F10" i="88"/>
  <c r="E10" i="88"/>
  <c r="N9" i="88"/>
  <c r="J9" i="88"/>
  <c r="I9" i="88"/>
  <c r="H9" i="88"/>
  <c r="G9" i="88"/>
  <c r="F9" i="88"/>
  <c r="E9" i="88"/>
  <c r="D2" i="88"/>
  <c r="Q25" i="87"/>
  <c r="M23" i="87"/>
  <c r="K23" i="87"/>
  <c r="J23" i="87"/>
  <c r="I23" i="87"/>
  <c r="H23" i="87"/>
  <c r="G23" i="87"/>
  <c r="F23" i="87"/>
  <c r="E23" i="87"/>
  <c r="J22" i="87"/>
  <c r="I22" i="87"/>
  <c r="H22" i="87"/>
  <c r="G22" i="87"/>
  <c r="F22" i="87"/>
  <c r="E22" i="87"/>
  <c r="Q19" i="87"/>
  <c r="S17" i="87"/>
  <c r="M17" i="87"/>
  <c r="J17" i="87"/>
  <c r="I17" i="87"/>
  <c r="H17" i="87"/>
  <c r="G17" i="87"/>
  <c r="F17" i="87"/>
  <c r="E17" i="87"/>
  <c r="S16" i="87"/>
  <c r="M16" i="87"/>
  <c r="R16" i="87"/>
  <c r="P16" i="87"/>
  <c r="O16" i="87"/>
  <c r="N16" i="87"/>
  <c r="L16" i="87"/>
  <c r="K16" i="87"/>
  <c r="J16" i="87"/>
  <c r="I16" i="87"/>
  <c r="H16" i="87"/>
  <c r="G16" i="87"/>
  <c r="F16" i="87"/>
  <c r="E16" i="87"/>
  <c r="M15" i="87"/>
  <c r="J15" i="87"/>
  <c r="I15" i="87"/>
  <c r="H15" i="87"/>
  <c r="G15" i="87"/>
  <c r="F15" i="87"/>
  <c r="E15" i="87"/>
  <c r="M14" i="87"/>
  <c r="J14" i="87"/>
  <c r="I14" i="87"/>
  <c r="H14" i="87"/>
  <c r="G14" i="87"/>
  <c r="F14" i="87"/>
  <c r="E14" i="87"/>
  <c r="M13" i="87"/>
  <c r="J13" i="87"/>
  <c r="I13" i="87"/>
  <c r="H13" i="87"/>
  <c r="G13" i="87"/>
  <c r="F13" i="87"/>
  <c r="E13" i="87"/>
  <c r="M12" i="87"/>
  <c r="J12" i="87"/>
  <c r="I12" i="87"/>
  <c r="H12" i="87"/>
  <c r="G12" i="87"/>
  <c r="F12" i="87"/>
  <c r="E12" i="87"/>
  <c r="M11" i="87"/>
  <c r="R11" i="87"/>
  <c r="P11" i="87"/>
  <c r="O11" i="87"/>
  <c r="N11" i="87"/>
  <c r="L11" i="87"/>
  <c r="K11" i="87"/>
  <c r="J11" i="87"/>
  <c r="I11" i="87"/>
  <c r="H11" i="87"/>
  <c r="G11" i="87"/>
  <c r="F11" i="87"/>
  <c r="E11" i="87"/>
  <c r="M10" i="87"/>
  <c r="N10" i="87"/>
  <c r="L10" i="87"/>
  <c r="K10" i="87"/>
  <c r="J10" i="87"/>
  <c r="I10" i="87"/>
  <c r="H10" i="87"/>
  <c r="G10" i="87"/>
  <c r="F10" i="87"/>
  <c r="E10" i="87"/>
  <c r="M9" i="87"/>
  <c r="J9" i="87"/>
  <c r="I9" i="87"/>
  <c r="H9" i="87"/>
  <c r="G9" i="87"/>
  <c r="F9" i="87"/>
  <c r="E9" i="87"/>
  <c r="D2" i="87"/>
  <c r="M8" i="77"/>
  <c r="M22" i="77"/>
  <c r="N20" i="77"/>
  <c r="E51" i="40"/>
  <c r="H50" i="40"/>
  <c r="E50" i="40" s="1"/>
  <c r="H29" i="51" l="1"/>
  <c r="E25" i="51"/>
  <c r="E27" i="51"/>
  <c r="E29" i="51"/>
  <c r="G27" i="51"/>
  <c r="F29" i="51"/>
  <c r="F27" i="51"/>
  <c r="H27" i="51"/>
  <c r="I27" i="51"/>
  <c r="N48" i="88"/>
  <c r="Q35" i="87"/>
  <c r="M9" i="77"/>
  <c r="L44" i="14"/>
  <c r="M36" i="88" s="1"/>
  <c r="J42" i="14"/>
  <c r="K37" i="88" s="1"/>
  <c r="P20" i="77"/>
  <c r="P26" i="77" s="1"/>
  <c r="H49" i="40"/>
  <c r="F49" i="40" s="1"/>
  <c r="S35" i="75"/>
  <c r="F31" i="80"/>
  <c r="Q37" i="75"/>
  <c r="N35" i="75"/>
  <c r="K35" i="75"/>
  <c r="J35" i="75"/>
  <c r="I35" i="75"/>
  <c r="H35" i="75"/>
  <c r="G35" i="75"/>
  <c r="F35" i="75"/>
  <c r="E35" i="75"/>
  <c r="M27" i="51" l="1"/>
  <c r="E31" i="51"/>
  <c r="H37" i="40"/>
  <c r="E37" i="40" s="1"/>
  <c r="C31" i="44"/>
  <c r="E32" i="37"/>
  <c r="D32" i="37"/>
  <c r="C32" i="37"/>
  <c r="B32" i="37"/>
  <c r="H37" i="77" l="1"/>
  <c r="H34" i="77"/>
  <c r="H36" i="77" s="1"/>
  <c r="L11" i="37" l="1"/>
  <c r="N12" i="37"/>
  <c r="R12" i="37" s="1"/>
  <c r="L12" i="37"/>
  <c r="M12" i="37" s="1"/>
  <c r="Q11" i="37"/>
  <c r="Q10" i="37"/>
  <c r="R10" i="37" s="1"/>
  <c r="Q9" i="37"/>
  <c r="L9" i="37" s="1"/>
  <c r="M9" i="37" s="1"/>
  <c r="M11" i="37" l="1"/>
  <c r="E22" i="37"/>
  <c r="R9" i="37"/>
  <c r="R11" i="37"/>
  <c r="L10" i="37"/>
  <c r="M10" i="37" l="1"/>
  <c r="K20" i="77"/>
  <c r="J20" i="77"/>
  <c r="I20" i="77"/>
  <c r="L20" i="77"/>
  <c r="L26" i="77" s="1"/>
  <c r="I9" i="77"/>
  <c r="G36" i="77" l="1"/>
  <c r="G43" i="77"/>
  <c r="Q42" i="75"/>
  <c r="F30" i="80"/>
  <c r="E22" i="44"/>
  <c r="H48" i="17"/>
  <c r="B49" i="17" l="1"/>
  <c r="F16" i="37"/>
  <c r="E49" i="17"/>
  <c r="F21" i="40"/>
  <c r="H21" i="40" s="1"/>
  <c r="D31" i="37"/>
  <c r="D30" i="37"/>
  <c r="D29" i="37"/>
  <c r="D28" i="37"/>
  <c r="D27" i="37"/>
  <c r="C31" i="37"/>
  <c r="C30" i="37"/>
  <c r="C29" i="37"/>
  <c r="B31" i="37"/>
  <c r="B30" i="37"/>
  <c r="B29" i="37"/>
  <c r="E31" i="37" l="1"/>
  <c r="I34" i="75"/>
  <c r="H34" i="75"/>
  <c r="G34" i="75"/>
  <c r="F34" i="75"/>
  <c r="E34" i="75"/>
  <c r="I30" i="14"/>
  <c r="C30" i="44"/>
  <c r="H26" i="77" l="1"/>
  <c r="G26" i="77"/>
  <c r="C36" i="77" l="1"/>
  <c r="D36" i="77"/>
  <c r="E36" i="77"/>
  <c r="F36" i="77"/>
  <c r="G37" i="77"/>
  <c r="D39" i="77"/>
  <c r="D40" i="77" s="1"/>
  <c r="D43" i="77"/>
  <c r="G18" i="77" l="1"/>
  <c r="G19" i="77" s="1"/>
  <c r="H18" i="77"/>
  <c r="H19" i="77" s="1"/>
  <c r="D24" i="77"/>
  <c r="E24" i="77"/>
  <c r="G24" i="77"/>
  <c r="H24" i="77"/>
  <c r="I24" i="77"/>
  <c r="N37" i="80"/>
  <c r="N38" i="80"/>
  <c r="J8" i="77" l="1"/>
  <c r="Q21" i="75"/>
  <c r="Q47" i="75" s="1"/>
  <c r="J9" i="77" l="1"/>
  <c r="E48" i="17"/>
  <c r="B48" i="17"/>
  <c r="I40" i="75"/>
  <c r="H40" i="75"/>
  <c r="G40" i="75"/>
  <c r="F40" i="75"/>
  <c r="E40" i="75"/>
  <c r="I47" i="17"/>
  <c r="E47" i="17" s="1"/>
  <c r="B47" i="17"/>
  <c r="C29" i="44"/>
  <c r="C28" i="44"/>
  <c r="C27" i="44"/>
  <c r="F29" i="44"/>
  <c r="I29" i="14" s="1"/>
  <c r="J40" i="75"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I9" i="75"/>
  <c r="H9" i="75"/>
  <c r="G9" i="75"/>
  <c r="F9" i="75"/>
  <c r="J42" i="17"/>
  <c r="E18" i="44"/>
  <c r="E41" i="17"/>
  <c r="G43" i="50" s="1"/>
  <c r="B42" i="17"/>
  <c r="B41" i="17"/>
  <c r="B40" i="17"/>
  <c r="L29" i="44"/>
  <c r="L32" i="44" s="1"/>
  <c r="E28" i="44" s="1"/>
  <c r="F28" i="44" s="1"/>
  <c r="I28" i="14" l="1"/>
  <c r="O28" i="80"/>
  <c r="J9" i="75" l="1"/>
  <c r="G41" i="50"/>
  <c r="E41" i="50"/>
  <c r="F41" i="50" s="1"/>
  <c r="C41" i="50"/>
  <c r="H40" i="50"/>
  <c r="E40" i="50"/>
  <c r="F40" i="50" s="1"/>
  <c r="C40" i="50"/>
  <c r="H39" i="50"/>
  <c r="E39" i="50"/>
  <c r="F39" i="50" s="1"/>
  <c r="C39" i="50"/>
  <c r="H38" i="50"/>
  <c r="E38" i="50"/>
  <c r="F38" i="50" s="1"/>
  <c r="C38" i="50"/>
  <c r="C28" i="37"/>
  <c r="B28" i="37"/>
  <c r="I10" i="75"/>
  <c r="H10" i="75"/>
  <c r="G10" i="75"/>
  <c r="F10" i="75"/>
  <c r="E10" i="75"/>
  <c r="F27" i="44" l="1"/>
  <c r="I27" i="14" s="1"/>
  <c r="F17" i="44"/>
  <c r="F18" i="44"/>
  <c r="F39" i="17"/>
  <c r="E37" i="17"/>
  <c r="E38" i="17"/>
  <c r="E36" i="17"/>
  <c r="B39" i="17"/>
  <c r="B38" i="17"/>
  <c r="B37" i="17"/>
  <c r="B36" i="17"/>
  <c r="B35" i="17"/>
  <c r="B34" i="17"/>
  <c r="B33" i="17"/>
  <c r="J10" i="75" l="1"/>
  <c r="G39" i="50"/>
  <c r="G38" i="50"/>
  <c r="G40" i="50"/>
  <c r="H41" i="50"/>
  <c r="E18" i="40"/>
  <c r="G70" i="50" s="1"/>
  <c r="H70" i="50"/>
  <c r="E70" i="50"/>
  <c r="F70" i="50" s="1"/>
  <c r="C70" i="50"/>
  <c r="D23" i="44" l="1"/>
  <c r="D37" i="44" l="1"/>
  <c r="F37" i="44"/>
  <c r="F36" i="44"/>
  <c r="E3" i="60"/>
  <c r="L24" i="60"/>
  <c r="F40" i="44" l="1"/>
  <c r="F39" i="44"/>
  <c r="F38" i="44"/>
  <c r="H93" i="50" l="1"/>
  <c r="E93" i="50"/>
  <c r="F93" i="50" s="1"/>
  <c r="C93" i="50"/>
  <c r="H37" i="50" l="1"/>
  <c r="E37" i="50"/>
  <c r="F37" i="50" s="1"/>
  <c r="C37" i="50"/>
  <c r="F20" i="44" l="1"/>
  <c r="F21" i="44" l="1"/>
  <c r="C27" i="37"/>
  <c r="I11" i="75"/>
  <c r="H11" i="75"/>
  <c r="G11" i="75"/>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F32" i="37" l="1"/>
  <c r="F31" i="37"/>
  <c r="F30" i="37"/>
  <c r="F29" i="37"/>
  <c r="F28" i="37"/>
  <c r="E28" i="37" s="1"/>
  <c r="F27" i="37"/>
  <c r="F26" i="37"/>
  <c r="E26" i="37" s="1"/>
  <c r="G37" i="50"/>
  <c r="N11" i="75"/>
  <c r="N10" i="75" l="1"/>
  <c r="N9" i="75"/>
  <c r="C69" i="50" l="1"/>
  <c r="E69" i="50"/>
  <c r="F69" i="50" s="1"/>
  <c r="H69" i="50"/>
  <c r="C36" i="50"/>
  <c r="E36" i="50"/>
  <c r="F36" i="50" s="1"/>
  <c r="H36" i="50"/>
  <c r="E17" i="40"/>
  <c r="I34" i="17"/>
  <c r="E34" i="17" s="1"/>
  <c r="N40" i="75" l="1"/>
  <c r="N42" i="75" s="1"/>
  <c r="G36" i="50"/>
  <c r="G69" i="50"/>
  <c r="H43" i="40" l="1"/>
  <c r="E43" i="40"/>
  <c r="G93" i="50" s="1"/>
  <c r="F44" i="40"/>
  <c r="M42" i="14" s="1"/>
  <c r="N37" i="88" s="1"/>
  <c r="U15" i="77"/>
  <c r="U17" i="77" l="1"/>
  <c r="U16" i="77"/>
  <c r="V15" i="77"/>
  <c r="V16" i="77" l="1"/>
  <c r="V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J34" i="75" l="1"/>
  <c r="K31" i="37"/>
  <c r="Q31" i="75" l="1"/>
  <c r="Q44" i="75" l="1"/>
  <c r="Q49" i="75" s="1"/>
  <c r="Q48" i="75"/>
  <c r="G54" i="50"/>
  <c r="E54" i="50"/>
  <c r="F54" i="50" s="1"/>
  <c r="C54" i="50"/>
  <c r="I55" i="17" l="1"/>
  <c r="H56" i="17"/>
  <c r="I56" i="17" s="1"/>
  <c r="F58" i="17"/>
  <c r="H54" i="50" s="1"/>
  <c r="M38" i="14" l="1"/>
  <c r="H58"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N28" i="75"/>
  <c r="M28" i="75"/>
  <c r="J28" i="75"/>
  <c r="I28" i="75"/>
  <c r="H28" i="75"/>
  <c r="G28" i="75"/>
  <c r="F28" i="75"/>
  <c r="E28" i="75"/>
  <c r="N29" i="75"/>
  <c r="K29" i="75"/>
  <c r="J29" i="75"/>
  <c r="I29" i="75"/>
  <c r="H29" i="75"/>
  <c r="G29" i="75"/>
  <c r="F29" i="75"/>
  <c r="E29" i="75"/>
  <c r="N27" i="75"/>
  <c r="J27" i="75"/>
  <c r="I27" i="75"/>
  <c r="H27" i="75"/>
  <c r="G27" i="75"/>
  <c r="F27" i="75"/>
  <c r="E27" i="75"/>
  <c r="M26" i="75"/>
  <c r="J26" i="75"/>
  <c r="I26" i="75"/>
  <c r="H26" i="75"/>
  <c r="G26" i="75"/>
  <c r="F26" i="75"/>
  <c r="E26" i="75"/>
  <c r="I25" i="75"/>
  <c r="H25" i="75"/>
  <c r="G25" i="75"/>
  <c r="F25" i="75"/>
  <c r="E25" i="75"/>
  <c r="I24" i="75"/>
  <c r="H24" i="75"/>
  <c r="G24" i="75"/>
  <c r="F24" i="75"/>
  <c r="E24" i="75"/>
  <c r="N12" i="75"/>
  <c r="N13" i="75"/>
  <c r="M14" i="75"/>
  <c r="I14" i="75"/>
  <c r="H14" i="75"/>
  <c r="G14" i="75"/>
  <c r="F14" i="75"/>
  <c r="J12" i="75"/>
  <c r="I12" i="75"/>
  <c r="H12" i="75"/>
  <c r="G12" i="75"/>
  <c r="F12" i="75"/>
  <c r="K13" i="75"/>
  <c r="J13" i="75"/>
  <c r="I13" i="75"/>
  <c r="H13" i="75"/>
  <c r="G13" i="75"/>
  <c r="F13" i="75"/>
  <c r="M15" i="75"/>
  <c r="I15" i="75"/>
  <c r="H15" i="75"/>
  <c r="G15" i="75"/>
  <c r="F15" i="75"/>
  <c r="M19" i="75"/>
  <c r="I19" i="75"/>
  <c r="H19" i="75"/>
  <c r="G19" i="75"/>
  <c r="F19" i="75"/>
  <c r="M16" i="75"/>
  <c r="I16" i="75"/>
  <c r="H16" i="75"/>
  <c r="G16" i="75"/>
  <c r="F16" i="75"/>
  <c r="M17" i="75"/>
  <c r="I17" i="75"/>
  <c r="H17" i="75"/>
  <c r="G17" i="75"/>
  <c r="F17" i="75"/>
  <c r="M18" i="75"/>
  <c r="I18" i="75"/>
  <c r="H18" i="75"/>
  <c r="G18" i="75"/>
  <c r="F18" i="75"/>
  <c r="E14" i="75"/>
  <c r="E12" i="75"/>
  <c r="E13" i="75"/>
  <c r="E15" i="75"/>
  <c r="E19" i="75"/>
  <c r="E16" i="75"/>
  <c r="E17" i="75"/>
  <c r="E18" i="75"/>
  <c r="I33" i="17"/>
  <c r="E33" i="17" s="1"/>
  <c r="G35" i="50" l="1"/>
  <c r="L31" i="60"/>
  <c r="O31" i="60"/>
  <c r="G15" i="37"/>
  <c r="G23" i="37"/>
  <c r="K33" i="37"/>
  <c r="K34" i="37" s="1"/>
  <c r="D26" i="37"/>
  <c r="C26" i="37" l="1"/>
  <c r="B25" i="37"/>
  <c r="B24" i="37"/>
  <c r="B23" i="37"/>
  <c r="B22" i="37"/>
  <c r="B21" i="37"/>
  <c r="B20" i="37"/>
  <c r="B19" i="37"/>
  <c r="B18" i="37"/>
  <c r="B17" i="37"/>
  <c r="B16" i="37"/>
  <c r="B15" i="37"/>
  <c r="B14" i="37"/>
  <c r="B13" i="37"/>
  <c r="B12" i="37"/>
  <c r="B11" i="37"/>
  <c r="B10" i="37"/>
  <c r="N31" i="14" s="1"/>
  <c r="O35" i="75" l="1"/>
  <c r="O46" i="88"/>
  <c r="F10" i="37"/>
  <c r="F13" i="37"/>
  <c r="F22" i="37"/>
  <c r="F23" i="37"/>
  <c r="F15" i="37"/>
  <c r="F17" i="37"/>
  <c r="F25" i="37"/>
  <c r="F21" i="37"/>
  <c r="F24" i="37"/>
  <c r="F19" i="37"/>
  <c r="F14" i="37"/>
  <c r="E14" i="37" s="1"/>
  <c r="F18" i="37"/>
  <c r="E18" i="37" s="1"/>
  <c r="F11" i="37"/>
  <c r="F12" i="37"/>
  <c r="F20" i="37"/>
  <c r="N30" i="14"/>
  <c r="N37" i="14"/>
  <c r="O15" i="88" s="1"/>
  <c r="N45" i="14"/>
  <c r="N44" i="14"/>
  <c r="N42" i="14"/>
  <c r="N25" i="14"/>
  <c r="O12" i="88" l="1"/>
  <c r="O37" i="88"/>
  <c r="O36" i="88"/>
  <c r="O39" i="88"/>
  <c r="O45" i="88"/>
  <c r="O48" i="88" s="1"/>
  <c r="O23" i="87"/>
  <c r="J29" i="51" s="1"/>
  <c r="O10" i="87"/>
  <c r="J27" i="51" s="1"/>
  <c r="L27" i="51" s="1"/>
  <c r="E12" i="37"/>
  <c r="O27" i="75"/>
  <c r="O26" i="75"/>
  <c r="O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O26" i="88" l="1"/>
  <c r="O21" i="88"/>
  <c r="O15" i="87"/>
  <c r="O14" i="87"/>
  <c r="I31" i="17" l="1"/>
  <c r="E31" i="17" s="1"/>
  <c r="E16" i="37"/>
  <c r="G33" i="50" l="1"/>
  <c r="N15" i="14"/>
  <c r="N23" i="14"/>
  <c r="O36" i="14"/>
  <c r="O33" i="88" l="1"/>
  <c r="O22" i="88"/>
  <c r="O22" i="87"/>
  <c r="O16" i="75"/>
  <c r="O34" i="75"/>
  <c r="O37" i="75" s="1"/>
  <c r="F11" i="60"/>
  <c r="D2" i="75"/>
  <c r="J13" i="51" l="1"/>
  <c r="E15" i="51"/>
  <c r="I13" i="51"/>
  <c r="E13" i="51"/>
  <c r="H13" i="51"/>
  <c r="E11" i="51"/>
  <c r="G13" i="51"/>
  <c r="F13" i="51"/>
  <c r="K13" i="51"/>
  <c r="O38" i="14"/>
  <c r="M13" i="51" l="1"/>
  <c r="L13" i="51"/>
  <c r="F100" i="50"/>
  <c r="F34" i="50"/>
  <c r="I32" i="17" l="1"/>
  <c r="E32" i="17" s="1"/>
  <c r="E25" i="37" s="1"/>
  <c r="D25" i="37"/>
  <c r="E56" i="40"/>
  <c r="N24" i="14" l="1"/>
  <c r="G100" i="50"/>
  <c r="G34" i="50"/>
  <c r="O13" i="88" l="1"/>
  <c r="O13" i="75"/>
  <c r="N46" i="14"/>
  <c r="I20" i="14"/>
  <c r="O40" i="88" l="1"/>
  <c r="O29" i="75"/>
  <c r="E15" i="37"/>
  <c r="N14" i="14" l="1"/>
  <c r="D2" i="14"/>
  <c r="O24" i="88" l="1"/>
  <c r="O18" i="75"/>
  <c r="C2" i="37"/>
  <c r="K16" i="37" s="1"/>
  <c r="D2" i="80"/>
  <c r="D3" i="44"/>
  <c r="K18" i="63"/>
  <c r="E7" i="37" l="1"/>
  <c r="G7" i="37"/>
  <c r="N5" i="63"/>
  <c r="J28" i="63" l="1"/>
  <c r="K28" i="63"/>
  <c r="I28" i="63"/>
  <c r="H28" i="63"/>
  <c r="G28" i="63"/>
  <c r="F10" i="44" l="1"/>
  <c r="I10" i="14" l="1"/>
  <c r="F99" i="50" l="1"/>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57" i="17"/>
  <c r="H42" i="40"/>
  <c r="E42" i="40" s="1"/>
  <c r="H41" i="40"/>
  <c r="E41" i="40" s="1"/>
  <c r="H40" i="40"/>
  <c r="E40"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E17" i="51"/>
  <c r="Q27" i="50" l="1"/>
  <c r="L27" i="50"/>
  <c r="R27" i="50"/>
  <c r="J43" i="14" l="1"/>
  <c r="K38" i="88" s="1"/>
  <c r="E38" i="40"/>
  <c r="J24" i="75"/>
  <c r="J14" i="75"/>
  <c r="J16" i="75"/>
  <c r="E15" i="44"/>
  <c r="K28" i="75" l="1"/>
  <c r="I18" i="14"/>
  <c r="G88" i="50"/>
  <c r="J15" i="75" l="1"/>
  <c r="F19" i="44"/>
  <c r="I19" i="14" l="1"/>
  <c r="F22" i="44"/>
  <c r="I22" i="14" l="1"/>
  <c r="F13" i="44"/>
  <c r="J25" i="75" l="1"/>
  <c r="I13" i="14"/>
  <c r="F11" i="44"/>
  <c r="F14" i="44"/>
  <c r="F9" i="44"/>
  <c r="J17" i="75" l="1"/>
  <c r="I9" i="14"/>
  <c r="I14" i="14"/>
  <c r="J24" i="88" s="1"/>
  <c r="I11" i="14"/>
  <c r="J25" i="88" s="1"/>
  <c r="K37" i="14"/>
  <c r="J19" i="75" l="1"/>
  <c r="J18" i="75"/>
  <c r="O37" i="14"/>
  <c r="P15" i="88" s="1"/>
  <c r="P10" i="87" l="1"/>
  <c r="K27" i="51" s="1"/>
  <c r="N11" i="14"/>
  <c r="E32" i="40"/>
  <c r="E10" i="40"/>
  <c r="E55" i="40"/>
  <c r="E54" i="40"/>
  <c r="E53" i="40"/>
  <c r="E52" i="40"/>
  <c r="E35" i="40"/>
  <c r="E34" i="40"/>
  <c r="F33" i="40"/>
  <c r="E31" i="40"/>
  <c r="F30" i="40"/>
  <c r="M44" i="14" s="1"/>
  <c r="E29" i="40"/>
  <c r="E28" i="40"/>
  <c r="E27" i="40"/>
  <c r="E26" i="40"/>
  <c r="E25" i="40"/>
  <c r="E24" i="40"/>
  <c r="E23" i="40"/>
  <c r="E22" i="40"/>
  <c r="F15" i="40"/>
  <c r="E14" i="40"/>
  <c r="F13" i="40"/>
  <c r="E12" i="40"/>
  <c r="E11" i="40"/>
  <c r="F9" i="40"/>
  <c r="E8" i="40"/>
  <c r="E7" i="40"/>
  <c r="F6" i="40"/>
  <c r="E5" i="40"/>
  <c r="E4" i="40"/>
  <c r="N36" i="88" l="1"/>
  <c r="O25" i="88"/>
  <c r="N26" i="75"/>
  <c r="I15" i="51" s="1"/>
  <c r="O19" i="75"/>
  <c r="M45"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N23" i="87" l="1"/>
  <c r="I29"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O14" i="88" s="1"/>
  <c r="K20" i="50"/>
  <c r="N13" i="14"/>
  <c r="N19" i="14"/>
  <c r="O18" i="88" s="1"/>
  <c r="N9" i="14"/>
  <c r="N16" i="14"/>
  <c r="O17" i="88" s="1"/>
  <c r="N21" i="14"/>
  <c r="O34" i="88" l="1"/>
  <c r="O19" i="88"/>
  <c r="O28" i="88"/>
  <c r="O20" i="88"/>
  <c r="O23" i="88"/>
  <c r="O9" i="87"/>
  <c r="O12" i="87"/>
  <c r="O17" i="87"/>
  <c r="O13" i="87"/>
  <c r="O17" i="75"/>
  <c r="O15" i="75"/>
  <c r="O14" i="75"/>
  <c r="O24" i="75"/>
  <c r="F24" i="60"/>
  <c r="N22" i="14"/>
  <c r="J25" i="51" l="1"/>
  <c r="J31" i="51" s="1"/>
  <c r="O35" i="88"/>
  <c r="O25" i="75"/>
  <c r="F16" i="60"/>
  <c r="E19" i="17"/>
  <c r="E18" i="17"/>
  <c r="H9" i="17"/>
  <c r="I9" i="17" s="1"/>
  <c r="E9" i="17" s="1"/>
  <c r="K31" i="14" s="1"/>
  <c r="L46" i="88" s="1"/>
  <c r="L35" i="75" l="1"/>
  <c r="P31" i="14"/>
  <c r="R46" i="88" s="1"/>
  <c r="L31" i="14"/>
  <c r="M46" i="88" s="1"/>
  <c r="O31" i="14"/>
  <c r="P46" i="88" s="1"/>
  <c r="K28" i="14"/>
  <c r="L9" i="88" s="1"/>
  <c r="K30" i="14"/>
  <c r="L45" i="88" s="1"/>
  <c r="L48" i="88" s="1"/>
  <c r="R48" i="88" s="1"/>
  <c r="K29" i="14"/>
  <c r="L51" i="88" s="1"/>
  <c r="L53" i="88" s="1"/>
  <c r="K27" i="14"/>
  <c r="L10" i="88" s="1"/>
  <c r="K12" i="14"/>
  <c r="L21" i="88" s="1"/>
  <c r="K20" i="14"/>
  <c r="K25" i="14"/>
  <c r="L12" i="88" s="1"/>
  <c r="K16" i="14"/>
  <c r="K14" i="14"/>
  <c r="L24" i="88" s="1"/>
  <c r="K23" i="14"/>
  <c r="L33" i="88" s="1"/>
  <c r="K13" i="14"/>
  <c r="L23" i="88" s="1"/>
  <c r="K24" i="14"/>
  <c r="L13" i="88" s="1"/>
  <c r="K18" i="14"/>
  <c r="L20" i="88" s="1"/>
  <c r="K17" i="14"/>
  <c r="L19" i="88" s="1"/>
  <c r="K10" i="14"/>
  <c r="L26" i="88" s="1"/>
  <c r="K11" i="14"/>
  <c r="L25" i="88" s="1"/>
  <c r="K26" i="14"/>
  <c r="L11" i="88" s="1"/>
  <c r="K19" i="14"/>
  <c r="K22" i="14"/>
  <c r="L35" i="88" s="1"/>
  <c r="K15" i="14"/>
  <c r="L22" i="88" s="1"/>
  <c r="K21" i="14"/>
  <c r="L34" i="88" s="1"/>
  <c r="G20" i="50"/>
  <c r="K12" i="50" s="1"/>
  <c r="G21" i="50"/>
  <c r="K16" i="50" s="1"/>
  <c r="G11" i="50"/>
  <c r="K9" i="14"/>
  <c r="L28" i="88" s="1"/>
  <c r="M22" i="14"/>
  <c r="N35" i="88" s="1"/>
  <c r="M20" i="14"/>
  <c r="M17" i="14"/>
  <c r="N19" i="88" s="1"/>
  <c r="M14" i="14"/>
  <c r="N24" i="88" s="1"/>
  <c r="M9" i="14"/>
  <c r="N28" i="88" s="1"/>
  <c r="M12" i="14"/>
  <c r="N21" i="88" s="1"/>
  <c r="M23" i="14"/>
  <c r="N33" i="88" s="1"/>
  <c r="M11" i="14"/>
  <c r="N25" i="88" s="1"/>
  <c r="M18" i="14"/>
  <c r="N20" i="88" s="1"/>
  <c r="M19" i="14"/>
  <c r="M15" i="14"/>
  <c r="N22" i="88" s="1"/>
  <c r="M21" i="14"/>
  <c r="N34" i="88" s="1"/>
  <c r="M10" i="14"/>
  <c r="N26" i="88" s="1"/>
  <c r="M13" i="14"/>
  <c r="N23" i="88" s="1"/>
  <c r="M16" i="14"/>
  <c r="L21" i="14"/>
  <c r="J39" i="14"/>
  <c r="K39" i="14"/>
  <c r="L39" i="14"/>
  <c r="M39" i="14"/>
  <c r="N18" i="88" l="1"/>
  <c r="N14" i="88"/>
  <c r="L18" i="88"/>
  <c r="N17" i="88"/>
  <c r="N42" i="88"/>
  <c r="L17" i="88"/>
  <c r="L14" i="88"/>
  <c r="N13" i="87"/>
  <c r="L13" i="87"/>
  <c r="N12" i="87"/>
  <c r="L12" i="87"/>
  <c r="N9" i="87"/>
  <c r="L9" i="87"/>
  <c r="N14" i="87"/>
  <c r="L14" i="87"/>
  <c r="L22" i="87"/>
  <c r="L17" i="87"/>
  <c r="N22" i="87"/>
  <c r="N25" i="87" s="1"/>
  <c r="L15" i="87"/>
  <c r="N15" i="87"/>
  <c r="N17" i="87"/>
  <c r="P30" i="14"/>
  <c r="R45" i="88" s="1"/>
  <c r="P35" i="75"/>
  <c r="M35" i="75"/>
  <c r="R35" i="75"/>
  <c r="M33" i="14"/>
  <c r="K33" i="14"/>
  <c r="L28" i="50"/>
  <c r="M24" i="75"/>
  <c r="J11" i="14"/>
  <c r="K25" i="88" s="1"/>
  <c r="J10" i="14"/>
  <c r="K26" i="88" s="1"/>
  <c r="J25" i="14"/>
  <c r="K12" i="88" s="1"/>
  <c r="J16" i="14"/>
  <c r="J17" i="14"/>
  <c r="K19" i="88" s="1"/>
  <c r="J20" i="14"/>
  <c r="J18" i="14"/>
  <c r="K20" i="88" s="1"/>
  <c r="J12" i="14"/>
  <c r="K21" i="88" s="1"/>
  <c r="J15" i="14"/>
  <c r="K22" i="88" s="1"/>
  <c r="J27" i="14"/>
  <c r="K10" i="88" s="1"/>
  <c r="J13" i="14"/>
  <c r="K23" i="88" s="1"/>
  <c r="J29" i="14"/>
  <c r="K51" i="88" s="1"/>
  <c r="K53" i="88" s="1"/>
  <c r="J19" i="14"/>
  <c r="J26" i="14"/>
  <c r="K11" i="88" s="1"/>
  <c r="J14" i="14"/>
  <c r="K24" i="88" s="1"/>
  <c r="L40" i="75"/>
  <c r="L42" i="75" s="1"/>
  <c r="E30" i="37"/>
  <c r="O30" i="14"/>
  <c r="P45" i="88" s="1"/>
  <c r="P48" i="88" s="1"/>
  <c r="J30" i="14"/>
  <c r="K45" i="88" s="1"/>
  <c r="K48" i="88" s="1"/>
  <c r="L9" i="75"/>
  <c r="E29" i="37"/>
  <c r="J28" i="14"/>
  <c r="K9" i="88" s="1"/>
  <c r="J9" i="14"/>
  <c r="K28" i="88" s="1"/>
  <c r="N34" i="75"/>
  <c r="N37" i="75" s="1"/>
  <c r="J22" i="14"/>
  <c r="K35" i="88" s="1"/>
  <c r="J23" i="14"/>
  <c r="K33" i="88" s="1"/>
  <c r="L34" i="75"/>
  <c r="L37" i="75" s="1"/>
  <c r="J21" i="14"/>
  <c r="K34" i="88" s="1"/>
  <c r="R28" i="50"/>
  <c r="L12" i="75"/>
  <c r="P25" i="14"/>
  <c r="R12" i="88" s="1"/>
  <c r="O25" i="14"/>
  <c r="P12" i="88" s="1"/>
  <c r="E27" i="37"/>
  <c r="L11" i="75"/>
  <c r="L13" i="75"/>
  <c r="L24" i="14"/>
  <c r="M13" i="88" s="1"/>
  <c r="O24" i="14"/>
  <c r="P13" i="88" s="1"/>
  <c r="P24" i="14"/>
  <c r="R13" i="88" s="1"/>
  <c r="L10" i="75"/>
  <c r="L18" i="75"/>
  <c r="L17" i="75"/>
  <c r="L24" i="75"/>
  <c r="L16" i="75"/>
  <c r="L14" i="75"/>
  <c r="L15" i="75"/>
  <c r="L19" i="75"/>
  <c r="L25" i="75"/>
  <c r="P15" i="14"/>
  <c r="R22" i="88" s="1"/>
  <c r="P16" i="14"/>
  <c r="O16" i="14"/>
  <c r="N17" i="75"/>
  <c r="O13" i="14"/>
  <c r="P23" i="88" s="1"/>
  <c r="P13" i="14"/>
  <c r="R23" i="88" s="1"/>
  <c r="O19" i="14"/>
  <c r="P19" i="14"/>
  <c r="O9" i="14"/>
  <c r="P28" i="88" s="1"/>
  <c r="P9" i="14"/>
  <c r="R28" i="88" s="1"/>
  <c r="N15" i="75"/>
  <c r="O18" i="14"/>
  <c r="P20" i="88" s="1"/>
  <c r="P18" i="14"/>
  <c r="R20" i="88" s="1"/>
  <c r="N18" i="75"/>
  <c r="P14" i="14"/>
  <c r="R24" i="88" s="1"/>
  <c r="O14" i="14"/>
  <c r="P24" i="88" s="1"/>
  <c r="P10" i="14"/>
  <c r="R26" i="88" s="1"/>
  <c r="O10" i="14"/>
  <c r="P26" i="88" s="1"/>
  <c r="P11" i="14"/>
  <c r="R25" i="88" s="1"/>
  <c r="N19" i="75"/>
  <c r="O11" i="14"/>
  <c r="P25" i="88" s="1"/>
  <c r="P17" i="14"/>
  <c r="R19" i="88" s="1"/>
  <c r="N14" i="75"/>
  <c r="O17" i="14"/>
  <c r="P19" i="88" s="1"/>
  <c r="P23" i="14"/>
  <c r="R33" i="88" s="1"/>
  <c r="O23" i="14"/>
  <c r="P33" i="88" s="1"/>
  <c r="O20" i="14"/>
  <c r="P20" i="14"/>
  <c r="N24" i="75"/>
  <c r="P21" i="14"/>
  <c r="R34" i="88" s="1"/>
  <c r="O21" i="14"/>
  <c r="P34" i="88" s="1"/>
  <c r="P12" i="14"/>
  <c r="R21" i="88" s="1"/>
  <c r="O12" i="14"/>
  <c r="P21" i="88" s="1"/>
  <c r="N25" i="75"/>
  <c r="O22" i="14"/>
  <c r="P35" i="88" s="1"/>
  <c r="P22" i="14"/>
  <c r="R35" i="88" s="1"/>
  <c r="O15" i="14"/>
  <c r="P22" i="88" s="1"/>
  <c r="N16" i="75"/>
  <c r="K11" i="50"/>
  <c r="K27" i="50" s="1"/>
  <c r="M47" i="14"/>
  <c r="I11" i="51" l="1"/>
  <c r="G11" i="51"/>
  <c r="G25" i="51"/>
  <c r="I25" i="51"/>
  <c r="I31" i="51" s="1"/>
  <c r="L30" i="88"/>
  <c r="N30" i="88"/>
  <c r="N55" i="88" s="1"/>
  <c r="P14" i="88"/>
  <c r="P17" i="88"/>
  <c r="R17" i="88"/>
  <c r="R18" i="88"/>
  <c r="R14" i="88"/>
  <c r="P18" i="88"/>
  <c r="K14" i="88"/>
  <c r="K18" i="88"/>
  <c r="K17" i="88"/>
  <c r="K12" i="87"/>
  <c r="R9" i="87"/>
  <c r="P9" i="87"/>
  <c r="P12" i="87"/>
  <c r="R12" i="87"/>
  <c r="R13" i="87"/>
  <c r="L19" i="87"/>
  <c r="K9" i="87"/>
  <c r="P13" i="87"/>
  <c r="K13" i="87"/>
  <c r="N19" i="87"/>
  <c r="N35" i="87" s="1"/>
  <c r="P14" i="87"/>
  <c r="K14" i="87"/>
  <c r="R14" i="87"/>
  <c r="P22" i="87"/>
  <c r="R17" i="87"/>
  <c r="R22" i="87"/>
  <c r="R15" i="87"/>
  <c r="P17" i="87"/>
  <c r="P15" i="87"/>
  <c r="K17" i="87"/>
  <c r="K22" i="87"/>
  <c r="K15" i="87"/>
  <c r="J41" i="37"/>
  <c r="J33" i="14"/>
  <c r="L25" i="14"/>
  <c r="M12" i="88" s="1"/>
  <c r="K14" i="75"/>
  <c r="K19" i="75"/>
  <c r="K16" i="75"/>
  <c r="K12" i="75"/>
  <c r="Q28" i="50"/>
  <c r="K17" i="75"/>
  <c r="K18" i="75"/>
  <c r="K15" i="75"/>
  <c r="R13" i="75"/>
  <c r="M13" i="75"/>
  <c r="R12" i="75"/>
  <c r="K9" i="75"/>
  <c r="L28" i="14"/>
  <c r="M9" i="88" s="1"/>
  <c r="L30" i="14"/>
  <c r="M45" i="88" s="1"/>
  <c r="M48" i="88" s="1"/>
  <c r="N28" i="14"/>
  <c r="O9" i="88" s="1"/>
  <c r="N29" i="14"/>
  <c r="O51" i="88" s="1"/>
  <c r="O53" i="88" s="1"/>
  <c r="R53" i="88" s="1"/>
  <c r="L29" i="14"/>
  <c r="M51" i="88" s="1"/>
  <c r="M53" i="88" s="1"/>
  <c r="K40" i="75"/>
  <c r="K42" i="75" s="1"/>
  <c r="K24" i="75"/>
  <c r="K34" i="75"/>
  <c r="K37" i="75" s="1"/>
  <c r="R34" i="75"/>
  <c r="P34" i="75"/>
  <c r="P37" i="75" s="1"/>
  <c r="N21" i="75"/>
  <c r="L21" i="75"/>
  <c r="K28" i="50"/>
  <c r="S28" i="50"/>
  <c r="N26" i="14"/>
  <c r="O11" i="88" s="1"/>
  <c r="L27" i="14"/>
  <c r="M10" i="88" s="1"/>
  <c r="K10" i="75"/>
  <c r="P12" i="75"/>
  <c r="F19" i="60"/>
  <c r="P13" i="75"/>
  <c r="F18" i="60"/>
  <c r="N27" i="14"/>
  <c r="L26" i="14"/>
  <c r="M11" i="88" s="1"/>
  <c r="K11" i="75"/>
  <c r="R24" i="75"/>
  <c r="R14" i="75"/>
  <c r="L22" i="14"/>
  <c r="M35" i="88" s="1"/>
  <c r="R17" i="75"/>
  <c r="R25" i="75"/>
  <c r="R15" i="75"/>
  <c r="R19" i="75"/>
  <c r="R18" i="75"/>
  <c r="R16" i="75"/>
  <c r="K25" i="75"/>
  <c r="M49" i="14"/>
  <c r="N31" i="75"/>
  <c r="N48" i="75" s="1"/>
  <c r="P14" i="75"/>
  <c r="F20" i="60"/>
  <c r="F27" i="60"/>
  <c r="P24" i="75"/>
  <c r="F22" i="60"/>
  <c r="F12" i="60"/>
  <c r="F8" i="60"/>
  <c r="P19" i="75"/>
  <c r="F32" i="60"/>
  <c r="F21" i="60"/>
  <c r="P15" i="75"/>
  <c r="P17" i="75"/>
  <c r="F26" i="60"/>
  <c r="F9" i="60"/>
  <c r="P25" i="75"/>
  <c r="F10" i="60"/>
  <c r="P16" i="75"/>
  <c r="F33" i="60"/>
  <c r="F31" i="60"/>
  <c r="F17" i="60"/>
  <c r="F29" i="60"/>
  <c r="F28" i="60"/>
  <c r="P18" i="75"/>
  <c r="I37" i="51" l="1"/>
  <c r="M25" i="51"/>
  <c r="L25" i="51"/>
  <c r="M11" i="51"/>
  <c r="I17" i="51"/>
  <c r="F11" i="51"/>
  <c r="F25" i="51"/>
  <c r="F31" i="51" s="1"/>
  <c r="K25" i="51"/>
  <c r="L47" i="75"/>
  <c r="N47" i="75"/>
  <c r="O10" i="88"/>
  <c r="O30" i="88" s="1"/>
  <c r="K30" i="88"/>
  <c r="M30" i="88"/>
  <c r="N58" i="88"/>
  <c r="K19" i="87"/>
  <c r="P29" i="14"/>
  <c r="R51" i="88" s="1"/>
  <c r="P28" i="14"/>
  <c r="O19" i="87"/>
  <c r="M19" i="87"/>
  <c r="N33" i="14"/>
  <c r="M12" i="75"/>
  <c r="M11" i="75"/>
  <c r="M10" i="75"/>
  <c r="M40" i="75"/>
  <c r="M42" i="75" s="1"/>
  <c r="M9" i="75"/>
  <c r="N44" i="75"/>
  <c r="N49" i="75" s="1"/>
  <c r="O29" i="14"/>
  <c r="P51" i="88" s="1"/>
  <c r="P53" i="88" s="1"/>
  <c r="O40" i="75"/>
  <c r="O42" i="75" s="1"/>
  <c r="R42" i="75" s="1"/>
  <c r="O28" i="14"/>
  <c r="P9" i="88" s="1"/>
  <c r="O9" i="75"/>
  <c r="K21" i="75"/>
  <c r="O10" i="75"/>
  <c r="O27" i="14"/>
  <c r="P10" i="88" s="1"/>
  <c r="O11" i="75"/>
  <c r="O26" i="14"/>
  <c r="P11" i="88" s="1"/>
  <c r="P26" i="14"/>
  <c r="R11" i="88" s="1"/>
  <c r="M25" i="75"/>
  <c r="I36" i="51" l="1"/>
  <c r="J11" i="51"/>
  <c r="L11" i="51" s="1"/>
  <c r="K47" i="75"/>
  <c r="R30" i="88"/>
  <c r="P30" i="88"/>
  <c r="R9" i="88"/>
  <c r="R9" i="75"/>
  <c r="R40" i="75"/>
  <c r="P19" i="87"/>
  <c r="R19" i="87"/>
  <c r="O33" i="14"/>
  <c r="M21" i="75"/>
  <c r="M47" i="75" s="1"/>
  <c r="K41" i="37"/>
  <c r="P9" i="75"/>
  <c r="R11" i="75"/>
  <c r="P40" i="75"/>
  <c r="P42" i="75" s="1"/>
  <c r="P33" i="14"/>
  <c r="O21" i="75"/>
  <c r="O47" i="75" s="1"/>
  <c r="P10" i="75"/>
  <c r="R10" i="75"/>
  <c r="P11" i="75"/>
  <c r="F23" i="60"/>
  <c r="K11" i="51" l="1"/>
  <c r="P21" i="75"/>
  <c r="P47" i="75" s="1"/>
  <c r="L23" i="14" l="1"/>
  <c r="M33" i="88" l="1"/>
  <c r="L33" i="14"/>
  <c r="M58" i="88" s="1"/>
  <c r="M22" i="87"/>
  <c r="H25" i="51" s="1"/>
  <c r="H31" i="51" s="1"/>
  <c r="M34" i="75"/>
  <c r="M37" i="75" l="1"/>
  <c r="H11" i="51"/>
  <c r="P37" i="14"/>
  <c r="R15" i="88" s="1"/>
  <c r="P36" i="14"/>
  <c r="P38" i="14"/>
  <c r="N39" i="14"/>
  <c r="E35" i="37"/>
  <c r="J42" i="37" s="1"/>
  <c r="R10" i="87" l="1"/>
  <c r="K42" i="37"/>
  <c r="O39" i="14"/>
  <c r="P39" i="14"/>
  <c r="L32" i="60" l="1"/>
  <c r="L33" i="60" s="1"/>
  <c r="R21" i="75" l="1"/>
  <c r="F26" i="44" l="1"/>
  <c r="I26" i="14" l="1"/>
  <c r="L28" i="75"/>
  <c r="K42" i="14"/>
  <c r="L37" i="88" s="1"/>
  <c r="J11" i="75" l="1"/>
  <c r="P42" i="14"/>
  <c r="R37" i="88" s="1"/>
  <c r="J4" i="40"/>
  <c r="O42" i="14"/>
  <c r="P37" i="88" s="1"/>
  <c r="G95" i="50"/>
  <c r="N7" i="50" s="1"/>
  <c r="K46" i="14"/>
  <c r="L40" i="88" s="1"/>
  <c r="K45" i="14"/>
  <c r="K44" i="14"/>
  <c r="L36" i="88" s="1"/>
  <c r="T11" i="50"/>
  <c r="T14" i="50"/>
  <c r="T17" i="50"/>
  <c r="L27" i="75"/>
  <c r="L39" i="88" l="1"/>
  <c r="L42" i="88" s="1"/>
  <c r="L23" i="87"/>
  <c r="G29" i="51" s="1"/>
  <c r="T20" i="50"/>
  <c r="N21" i="50"/>
  <c r="N14" i="50"/>
  <c r="T21" i="50"/>
  <c r="T15" i="50"/>
  <c r="N23" i="50"/>
  <c r="N18" i="50"/>
  <c r="R27" i="75"/>
  <c r="F30" i="60"/>
  <c r="J44" i="14"/>
  <c r="N9" i="50"/>
  <c r="N24" i="50"/>
  <c r="N11" i="50"/>
  <c r="T23" i="50"/>
  <c r="N20" i="50"/>
  <c r="N15" i="50"/>
  <c r="N12" i="50"/>
  <c r="T19" i="50"/>
  <c r="N25" i="50"/>
  <c r="T18" i="50"/>
  <c r="T22" i="50"/>
  <c r="T16" i="50"/>
  <c r="P27" i="75"/>
  <c r="T10" i="50"/>
  <c r="N19" i="50"/>
  <c r="N13" i="50"/>
  <c r="N8" i="50"/>
  <c r="N10" i="50"/>
  <c r="T24" i="50"/>
  <c r="T12" i="50"/>
  <c r="T7" i="50"/>
  <c r="N22" i="50"/>
  <c r="T8" i="50"/>
  <c r="T9" i="50"/>
  <c r="M13" i="50"/>
  <c r="M27" i="50" s="1"/>
  <c r="N16" i="50"/>
  <c r="N17" i="50"/>
  <c r="T25" i="50"/>
  <c r="T13" i="50"/>
  <c r="P46" i="14"/>
  <c r="R40" i="88" s="1"/>
  <c r="P45" i="14"/>
  <c r="P44" i="14"/>
  <c r="R36" i="88" s="1"/>
  <c r="N26" i="50"/>
  <c r="T26" i="50"/>
  <c r="E41" i="37"/>
  <c r="L26" i="75"/>
  <c r="O44" i="14"/>
  <c r="P36" i="88" s="1"/>
  <c r="L29" i="75"/>
  <c r="L46" i="14"/>
  <c r="O46" i="14"/>
  <c r="P40" i="88" s="1"/>
  <c r="O45" i="14"/>
  <c r="K47" i="14"/>
  <c r="M29" i="51" l="1"/>
  <c r="L29" i="51"/>
  <c r="G15" i="51"/>
  <c r="M15" i="51" s="1"/>
  <c r="G31" i="51"/>
  <c r="L25" i="87"/>
  <c r="L35" i="87" s="1"/>
  <c r="P39" i="88"/>
  <c r="R39" i="88"/>
  <c r="K25" i="87"/>
  <c r="K36" i="88"/>
  <c r="K42" i="88" s="1"/>
  <c r="M25" i="87"/>
  <c r="M35" i="87" s="1"/>
  <c r="H37" i="51" s="1"/>
  <c r="M40" i="88"/>
  <c r="L55" i="88"/>
  <c r="P23" i="87"/>
  <c r="K29" i="51" s="1"/>
  <c r="K31" i="51" s="1"/>
  <c r="R23" i="87"/>
  <c r="K26" i="75"/>
  <c r="R29" i="75"/>
  <c r="R26" i="75"/>
  <c r="J43" i="37"/>
  <c r="M28" i="50"/>
  <c r="N27" i="50"/>
  <c r="T27" i="50"/>
  <c r="T28" i="50" s="1"/>
  <c r="M29" i="75"/>
  <c r="N43" i="14"/>
  <c r="O38" i="88" s="1"/>
  <c r="J5" i="40"/>
  <c r="J6" i="40" s="1"/>
  <c r="L31" i="75"/>
  <c r="P29" i="75"/>
  <c r="F14" i="60"/>
  <c r="P26" i="75"/>
  <c r="F15" i="60"/>
  <c r="K49" i="14"/>
  <c r="F13" i="60"/>
  <c r="L31" i="51" l="1"/>
  <c r="M31" i="51"/>
  <c r="G37" i="51"/>
  <c r="G17" i="51"/>
  <c r="L48" i="75"/>
  <c r="L44" i="75"/>
  <c r="L49" i="75" s="1"/>
  <c r="K35" i="87"/>
  <c r="F37" i="51" s="1"/>
  <c r="L58" i="88"/>
  <c r="K55" i="88"/>
  <c r="O42" i="88"/>
  <c r="O25" i="87"/>
  <c r="P43" i="14"/>
  <c r="R38" i="88" s="1"/>
  <c r="O43" i="14"/>
  <c r="P38" i="88" s="1"/>
  <c r="N47" i="14"/>
  <c r="O28" i="75"/>
  <c r="J15" i="51" s="1"/>
  <c r="L15" i="51" s="1"/>
  <c r="N28" i="50"/>
  <c r="M17" i="51" l="1"/>
  <c r="G36" i="51"/>
  <c r="J17" i="51"/>
  <c r="S42" i="88"/>
  <c r="P42" i="88"/>
  <c r="R42" i="88"/>
  <c r="O55" i="88"/>
  <c r="S25" i="87"/>
  <c r="P25" i="87"/>
  <c r="R25" i="87"/>
  <c r="O35" i="87"/>
  <c r="J37" i="51" s="1"/>
  <c r="F25" i="60"/>
  <c r="R28" i="75"/>
  <c r="K43" i="37"/>
  <c r="O47" i="14"/>
  <c r="O31" i="75"/>
  <c r="O48" i="75" s="1"/>
  <c r="N49" i="14"/>
  <c r="P28" i="75"/>
  <c r="K15" i="51" s="1"/>
  <c r="P47" i="14"/>
  <c r="L17" i="51" l="1"/>
  <c r="K17" i="51"/>
  <c r="O44" i="75"/>
  <c r="J36" i="51" s="1"/>
  <c r="O58" i="88"/>
  <c r="R55" i="88"/>
  <c r="P55" i="88"/>
  <c r="R35" i="87"/>
  <c r="P35" i="87"/>
  <c r="K37" i="51" s="1"/>
  <c r="R37" i="75"/>
  <c r="O49" i="14"/>
  <c r="P31" i="75"/>
  <c r="P48" i="75" s="1"/>
  <c r="R31" i="75"/>
  <c r="P49" i="14"/>
  <c r="O49" i="75" l="1"/>
  <c r="P44" i="75"/>
  <c r="K36" i="51" s="1"/>
  <c r="P58" i="88"/>
  <c r="R44" i="75"/>
  <c r="I26" i="77"/>
  <c r="J26" i="77"/>
  <c r="J22" i="77"/>
  <c r="J24" i="77" s="1"/>
  <c r="K8" i="77"/>
  <c r="K9" i="77" s="1"/>
  <c r="K22" i="77" s="1"/>
  <c r="K26" i="77"/>
  <c r="P49" i="75" l="1"/>
  <c r="L8" i="77"/>
  <c r="K24" i="77"/>
  <c r="L9" i="77" l="1"/>
  <c r="L22" i="77" s="1"/>
  <c r="N9" i="77"/>
  <c r="N22" i="77" s="1"/>
  <c r="L24" i="77"/>
  <c r="P9" i="77"/>
  <c r="P8" i="77" l="1"/>
  <c r="P22" i="77"/>
  <c r="J47" i="14"/>
  <c r="K27" i="75"/>
  <c r="K31" i="75" l="1"/>
  <c r="K48" i="75" s="1"/>
  <c r="F15" i="51"/>
  <c r="F17" i="51" s="1"/>
  <c r="P24" i="77"/>
  <c r="L42" i="14"/>
  <c r="M37" i="88" s="1"/>
  <c r="M42" i="88" s="1"/>
  <c r="M55" i="88" s="1"/>
  <c r="J49" i="14"/>
  <c r="K58" i="88" s="1"/>
  <c r="K44" i="75" l="1"/>
  <c r="F36" i="51" s="1"/>
  <c r="L47" i="14"/>
  <c r="M27" i="75"/>
  <c r="K49" i="75" l="1"/>
  <c r="M31" i="75"/>
  <c r="M44" i="75" s="1"/>
  <c r="H15" i="51"/>
  <c r="H17" i="51" s="1"/>
  <c r="H36" i="51" s="1"/>
  <c r="L49" i="14"/>
  <c r="M48" i="75" l="1"/>
  <c r="M4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5"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49"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4"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3"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tc={4F93B725-2295-476B-9FD2-E825C0855480}</author>
    <author>tc={6C6E28D6-DC85-4A35-923F-1378B05FBCC4}</author>
  </authors>
  <commentList>
    <comment ref="G19" authorId="0" shapeId="0" xr:uid="{EE33863C-D5EA-42C3-8555-DC23E35317DB}">
      <text>
        <r>
          <rPr>
            <b/>
            <sz val="9"/>
            <color indexed="81"/>
            <rFont val="Tahoma"/>
            <family val="2"/>
          </rPr>
          <t>Author:</t>
        </r>
        <r>
          <rPr>
            <sz val="9"/>
            <color indexed="81"/>
            <rFont val="Tahoma"/>
            <family val="2"/>
          </rPr>
          <t xml:space="preserve">
Equalization</t>
        </r>
      </text>
    </comment>
    <comment ref="D20"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0" shapeId="0" xr:uid="{85FF19F8-B52B-4332-812F-BF716CD16EAF}">
      <text>
        <r>
          <rPr>
            <b/>
            <sz val="9"/>
            <color indexed="81"/>
            <rFont val="Tahoma"/>
            <family val="2"/>
          </rPr>
          <t>Investment in Kayrros</t>
        </r>
        <r>
          <rPr>
            <sz val="9"/>
            <color indexed="81"/>
            <rFont val="Tahoma"/>
            <family val="2"/>
          </rPr>
          <t xml:space="preserve">
</t>
        </r>
      </text>
    </comment>
    <comment ref="K20" authorId="0" shapeId="0" xr:uid="{192A2E97-DBE8-40F1-8815-E5E5D625851F}">
      <text>
        <r>
          <rPr>
            <b/>
            <sz val="9"/>
            <color indexed="81"/>
            <rFont val="Tahoma"/>
            <family val="2"/>
          </rPr>
          <t>Investment in Simera</t>
        </r>
      </text>
    </comment>
    <comment ref="L20"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M20" authorId="2" shapeId="0" xr:uid="{4F93B725-2295-476B-9FD2-E825C0855480}">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N20" authorId="3" shapeId="0" xr:uid="{6C6E28D6-DC85-4A35-923F-1378B05FBCC4}">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2" authorId="0"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<sst xmlns="http://schemas.openxmlformats.org/spreadsheetml/2006/main" count="4575" uniqueCount="748">
  <si>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</si>
  <si>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</si>
  <si>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</si>
  <si>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</si>
  <si>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</si>
  <si>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</si>
  <si>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</si>
  <si>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</si>
  <si>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</si>
  <si>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</si>
  <si>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</si>
  <si>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</si>
  <si>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</si>
  <si>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</si>
  <si>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</si>
  <si>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</si>
  <si>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</si>
  <si>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</si>
  <si>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</si>
  <si>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</si>
  <si>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</si>
  <si>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</si>
  <si>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</si>
  <si>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</si>
  <si>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</si>
  <si>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</si>
  <si>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</si>
  <si>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</si>
  <si>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</si>
  <si>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</si>
  <si>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</si>
  <si>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</si>
  <si>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</si>
  <si>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</si>
  <si>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</si>
  <si>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</si>
  <si>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</si>
  <si>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</si>
  <si>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</si>
  <si>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</si>
  <si>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</si>
  <si>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</si>
  <si>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</si>
  <si>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</si>
  <si>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</si>
  <si>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</si>
  <si>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</si>
  <si>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</si>
  <si>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</si>
  <si>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</si>
  <si>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</si>
  <si>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</si>
  <si>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</si>
  <si>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</si>
  <si>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</si>
  <si>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</si>
  <si>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</si>
  <si>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</si>
  <si>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</si>
  <si>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</si>
  <si>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</si>
  <si>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</si>
  <si>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</si>
  <si>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</si>
  <si>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</si>
  <si>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</si>
  <si>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</si>
  <si>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</si>
  <si>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</si>
  <si>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</si>
  <si>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</si>
  <si>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</si>
  <si>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</si>
  <si>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</si>
  <si>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</si>
  <si>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</si>
  <si>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</si>
  <si>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</si>
  <si>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</si>
  <si>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</si>
  <si>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</si>
  <si>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</si>
  <si>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</si>
  <si>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</si>
  <si>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</si>
  <si>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</si>
  <si>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</si>
  <si>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</si>
  <si>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</si>
  <si>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</si>
  <si>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</si>
  <si>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</si>
  <si>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</si>
  <si>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</si>
  <si>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</si>
  <si>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</si>
  <si>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</si>
  <si>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</si>
  <si>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</si>
  <si>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</si>
  <si>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</si>
  <si>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</si>
  <si>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</si>
  <si>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</si>
  <si>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</si>
  <si>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</si>
  <si>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</si>
  <si>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</si>
  <si>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</si>
  <si>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</si>
  <si>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</si>
  <si>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</si>
  <si>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</si>
  <si>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</si>
  <si>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</si>
  <si>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</si>
  <si>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</si>
  <si>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</si>
  <si>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</si>
  <si>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</si>
  <si>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</si>
  <si>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</si>
  <si>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</si>
  <si>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</si>
  <si>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</si>
  <si>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</si>
  <si>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</si>
  <si>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</si>
  <si>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</si>
  <si>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</si>
  <si>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</si>
  <si>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</si>
  <si>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</si>
  <si>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</si>
  <si>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</si>
  <si>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</si>
  <si>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</si>
  <si>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</si>
  <si>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</si>
  <si>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</si>
  <si>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</si>
  <si>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</si>
  <si>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</si>
  <si>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</si>
  <si>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</si>
  <si>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</si>
  <si>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</si>
  <si>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</si>
  <si>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</si>
  <si>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</si>
  <si>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</si>
  <si>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</si>
  <si>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</si>
  <si>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</si>
  <si>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</si>
  <si>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</si>
  <si>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</si>
  <si>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</si>
  <si>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</si>
  <si>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</si>
  <si>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</si>
  <si>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</si>
  <si>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</si>
  <si>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</si>
  <si>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</si>
  <si>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</si>
  <si>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</si>
  <si>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</si>
  <si>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</si>
  <si>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</si>
  <si>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</si>
  <si>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</si>
  <si>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</si>
  <si>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</si>
  <si>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</si>
  <si>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</si>
  <si>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</si>
  <si>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</si>
  <si>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</si>
  <si>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</si>
  <si>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</si>
  <si>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</si>
  <si>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</si>
  <si>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</si>
  <si>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</si>
  <si>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</si>
  <si>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</si>
  <si>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</si>
  <si>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</si>
  <si>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</si>
  <si>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</si>
  <si>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</si>
  <si>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</si>
  <si>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</si>
  <si>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</si>
  <si>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</si>
  <si>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</si>
  <si>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</si>
  <si>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</si>
  <si>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</si>
  <si>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</si>
  <si>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</si>
  <si>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</si>
  <si>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</si>
  <si>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</si>
  <si>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</si>
  <si>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</si>
  <si>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</si>
  <si>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</si>
  <si>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</si>
  <si>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</si>
  <si>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</si>
  <si>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</si>
  <si>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</si>
  <si>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</si>
  <si>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</si>
  <si>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</si>
  <si>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</si>
  <si>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</si>
  <si>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</si>
  <si>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</si>
  <si>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</si>
  <si>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</si>
  <si>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</si>
  <si>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</si>
  <si>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</si>
  <si>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</si>
  <si>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</si>
  <si>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</si>
  <si>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</si>
  <si>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</si>
  <si>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</si>
  <si>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</si>
  <si>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</si>
  <si>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</si>
  <si>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</si>
  <si>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</si>
  <si>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</si>
  <si>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</si>
  <si>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</si>
  <si>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</si>
  <si>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</si>
  <si>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</si>
  <si>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</si>
  <si>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</si>
  <si>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</si>
  <si>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</si>
  <si>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</si>
  <si>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</si>
  <si>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</si>
  <si>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</si>
  <si>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NAV</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</si>
  <si>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</si>
  <si>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</si>
  <si>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</si>
  <si>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</si>
  <si>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</si>
  <si>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</si>
  <si>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</si>
  <si>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</si>
  <si>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</si>
  <si>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</si>
  <si>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</si>
  <si>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</si>
  <si>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</si>
  <si>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</si>
  <si>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</si>
  <si>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</si>
  <si>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</si>
  <si>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</si>
  <si>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</si>
  <si>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</si>
  <si>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</si>
  <si>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</si>
  <si>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</si>
  <si>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</si>
  <si>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</si>
  <si>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</si>
  <si>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</si>
  <si>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</si>
  <si>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</si>
  <si>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</si>
  <si>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</si>
  <si>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</si>
  <si>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</si>
  <si>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</si>
  <si>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</si>
  <si>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</si>
  <si>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</si>
  <si>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</si>
  <si>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</si>
  <si>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</si>
  <si>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</si>
  <si>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</si>
  <si>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</si>
  <si>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</si>
  <si>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</si>
  <si>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</si>
  <si>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</si>
  <si>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</si>
  <si>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</si>
  <si>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</si>
  <si>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</si>
  <si>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</si>
  <si>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</si>
  <si>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</si>
  <si>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</si>
  <si>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</si>
  <si>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</si>
  <si>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</si>
  <si>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</si>
  <si>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</si>
  <si>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</si>
  <si>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</si>
  <si>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</si>
  <si>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</si>
  <si>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</si>
  <si>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</si>
  <si>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</si>
  <si>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</si>
  <si>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</si>
  <si>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</si>
  <si>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</si>
  <si>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</si>
  <si>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</si>
  <si>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</si>
  <si>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</si>
  <si>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</si>
  <si>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</si>
  <si>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</si>
  <si>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</si>
  <si>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</si>
  <si>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</si>
  <si>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</si>
  <si>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</si>
  <si>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</si>
  <si>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</si>
  <si>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</si>
  <si>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</si>
  <si>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</si>
  <si>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</si>
  <si>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</si>
  <si>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</si>
  <si>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</si>
  <si>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</si>
  <si>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</si>
  <si>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</si>
  <si>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</si>
  <si>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</si>
  <si>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</si>
  <si>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</si>
  <si>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</si>
  <si>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</si>
  <si>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</si>
  <si>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</si>
  <si>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</si>
  <si>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</si>
  <si>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</si>
  <si>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</si>
  <si>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</si>
  <si>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</si>
  <si>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</si>
  <si>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</si>
  <si>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</si>
  <si>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</si>
  <si>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</si>
  <si>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</si>
  <si>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</si>
  <si>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</si>
  <si>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</si>
  <si>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</si>
  <si>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</si>
  <si>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</si>
  <si>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</si>
  <si>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</si>
  <si>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</si>
  <si>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</si>
  <si>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</si>
  <si>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</si>
  <si>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</si>
  <si>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</si>
  <si>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</si>
  <si>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</si>
  <si>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</si>
  <si>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</si>
  <si>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</si>
  <si>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</si>
  <si>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</si>
  <si>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</si>
  <si>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</si>
  <si>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</si>
  <si>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</si>
  <si>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</si>
  <si>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</si>
  <si>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</si>
  <si>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</si>
  <si>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</si>
  <si>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</si>
  <si>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</si>
  <si>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</si>
  <si>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</si>
  <si>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</si>
  <si>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</si>
  <si>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</si>
  <si>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</si>
  <si>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</si>
  <si>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</si>
  <si>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</si>
  <si>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</si>
  <si>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</si>
  <si>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</si>
  <si>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</si>
  <si>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</si>
  <si>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</si>
  <si>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</si>
  <si>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</si>
  <si>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</si>
  <si>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</si>
  <si>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</si>
  <si>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</si>
  <si>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</si>
  <si>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</si>
  <si>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</si>
  <si>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</si>
  <si>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</si>
  <si>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</si>
  <si>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</si>
  <si>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</si>
  <si>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</si>
  <si>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</si>
  <si>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</si>
  <si>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</si>
  <si>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</si>
  <si>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</si>
  <si>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</si>
  <si>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</si>
  <si>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</si>
  <si>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</si>
  <si>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</si>
  <si>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</si>
  <si>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</si>
  <si>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</si>
  <si>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</si>
  <si>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</si>
  <si>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</si>
  <si>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</si>
  <si>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</si>
  <si>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</si>
  <si>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</si>
  <si>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</si>
  <si>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</si>
  <si>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</si>
  <si>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</si>
  <si>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</si>
  <si>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</si>
  <si>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</si>
  <si>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</si>
  <si>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</si>
  <si>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</si>
  <si>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</si>
  <si>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</si>
  <si>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</si>
  <si>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</si>
  <si>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</si>
  <si>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</si>
  <si>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</si>
  <si>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</si>
  <si>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</si>
  <si>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</si>
  <si>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</si>
  <si>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</si>
  <si>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</si>
  <si>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</si>
  <si>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</si>
  <si>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</si>
  <si>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</si>
  <si>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</si>
  <si>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</si>
  <si>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</si>
  <si>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</si>
  <si>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</si>
  <si>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</si>
  <si>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</si>
  <si>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</si>
  <si>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</si>
  <si>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</si>
  <si>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</si>
  <si>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</si>
  <si>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</si>
  <si>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</si>
  <si>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</si>
  <si>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</si>
  <si>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</si>
  <si>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</si>
  <si>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</si>
  <si>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</si>
  <si>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</si>
  <si>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</si>
  <si>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</si>
  <si>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</si>
  <si>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</si>
  <si>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</si>
  <si>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</si>
  <si>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</si>
  <si>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</si>
  <si>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</si>
  <si>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</si>
  <si>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</si>
  <si>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</si>
  <si>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</si>
  <si>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</si>
  <si>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</si>
  <si>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</si>
  <si>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</si>
  <si>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</si>
  <si>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</si>
  <si>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</si>
  <si>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</si>
  <si>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</si>
  <si>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</si>
  <si>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</si>
  <si>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</si>
  <si>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</si>
  <si>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</si>
  <si>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</si>
  <si>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</si>
  <si>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</si>
  <si>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</si>
  <si>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</si>
  <si>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</si>
  <si>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</si>
  <si>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</si>
  <si>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</si>
  <si>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</si>
  <si>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</si>
  <si>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</si>
  <si>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</si>
  <si>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</si>
  <si>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</si>
  <si>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</si>
  <si>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</si>
  <si>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</si>
  <si>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</si>
  <si>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</si>
  <si>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</si>
  <si>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</si>
  <si>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</si>
  <si>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</si>
  <si>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</si>
  <si>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</si>
  <si>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</si>
  <si>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</si>
  <si>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</si>
  <si>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</si>
  <si>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</si>
  <si>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</si>
  <si>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</si>
  <si>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</si>
  <si>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</si>
  <si>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</si>
  <si>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</si>
  <si>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</si>
  <si>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</si>
  <si>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</si>
  <si>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</si>
  <si>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</si>
  <si>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</si>
  <si>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</si>
  <si>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</si>
  <si>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</si>
  <si>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</si>
  <si>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</si>
  <si>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</si>
  <si>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</si>
  <si>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</si>
  <si>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</si>
  <si>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</si>
  <si>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</si>
  <si>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</si>
  <si>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</si>
  <si>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</si>
  <si>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</si>
  <si>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</si>
  <si>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</si>
  <si>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</si>
  <si>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</si>
  <si>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</si>
  <si>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</si>
  <si>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</si>
  <si>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</si>
  <si>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</si>
  <si>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</si>
  <si>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</si>
  <si>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</si>
  <si>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</si>
  <si>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</si>
  <si>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</si>
  <si>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</si>
  <si>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</si>
  <si>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</si>
  <si>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</si>
  <si>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</si>
  <si>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</si>
  <si>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</si>
  <si>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</si>
  <si>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</si>
  <si>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</si>
  <si>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</si>
  <si>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</si>
  <si>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</si>
  <si>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</si>
  <si>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</si>
  <si>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</si>
  <si>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</si>
  <si>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</si>
  <si>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</si>
  <si>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</si>
  <si>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</si>
  <si>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</si>
  <si>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</si>
  <si>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</si>
  <si>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</si>
  <si>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</si>
  <si>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</si>
  <si>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</si>
  <si>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</si>
  <si>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</si>
  <si>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</si>
  <si>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</si>
  <si>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</si>
  <si>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</si>
  <si>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</si>
  <si>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</si>
  <si>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</si>
  <si>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</si>
  <si>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</si>
  <si>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</si>
  <si>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</si>
  <si>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</si>
  <si>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</si>
  <si>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</si>
  <si>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</si>
  <si>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</si>
  <si>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</si>
  <si>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</si>
  <si>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</si>
  <si>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</si>
  <si>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</si>
  <si>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</si>
  <si>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</si>
  <si>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</si>
  <si>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</si>
  <si>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</si>
  <si>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</si>
  <si>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</si>
  <si>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</si>
  <si>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</si>
  <si>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</si>
  <si>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</si>
  <si>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</si>
  <si>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</si>
  <si>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</si>
  <si>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</si>
  <si>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</si>
  <si>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</si>
  <si>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</si>
  <si>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</si>
  <si>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Jon Nieman, Sushil</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</si>
  <si>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</si>
  <si>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</si>
  <si>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</si>
  <si>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</si>
  <si>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</si>
  <si>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</si>
  <si>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</si>
  <si>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</si>
  <si>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</si>
  <si>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</si>
  <si>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</si>
  <si>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</si>
  <si>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</si>
  <si>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</si>
  <si>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</si>
  <si>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</si>
  <si>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</si>
  <si>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</si>
  <si>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</si>
  <si>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</si>
  <si>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As per the recent fund raise completed in Dec 23</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</si>
  <si>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</si>
  <si>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</si>
  <si>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</si>
  <si>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</si>
  <si>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</si>
  <si>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</si>
  <si>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</si>
  <si>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</si>
  <si>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</si>
  <si>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</si>
  <si>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</si>
  <si>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</si>
  <si>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</si>
  <si>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Q2'24  capital account statement</t>
  </si>
  <si>
    <t>Aug'24</t>
  </si>
  <si>
    <t>New Space Capital capital call of EUR 2.1m funded</t>
  </si>
  <si>
    <t>Beyond Limits carrying value marked down</t>
  </si>
  <si>
    <t>Q2'24 pro-rated</t>
  </si>
  <si>
    <t>Q1'24  capital account statement</t>
  </si>
  <si>
    <t>source: coinmarket cap</t>
  </si>
  <si>
    <t>WLD Price</t>
  </si>
  <si>
    <t>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</si>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</sst>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409]#,##0.0_);\([$$-409]#,##0.0\);[$$-409]#,##0.0_);@_)"/>
    <numFmt numFmtId="195" formatCode="0.000%"/>
    <numFmt numFmtId="196" formatCode="[$$-409]#,##0.0_ ;\-[$$-409]#,##0.0\ "/>
    <numFmt numFmtId="197" formatCode="#,##0.0"/>
    <numFmt numFmtId="198" formatCode="0.0"/>
    <numFmt numFmtId="199" formatCode="#,##0.00000000;[Red]#,##0.00000000"/>
    <numFmt numFmtId="200" formatCode="&quot;$&quot;#,##0.0000_);[Red]\(&quot;$&quot;#,##0.0000\)"/>
    <numFmt numFmtId="201" formatCode="yyyy&quot;-&quot;mm&quot;-&quot;dd"/>
    <numFmt numFmtId="202" formatCode="yyyy&quot;-&quot;mmm&quot;-&quot;dd"/>
  </numFmts>
  <fonts count="91"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s>
  <borders count="5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75">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20"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20"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20"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1"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5" fontId="11" fillId="9" borderId="0" xfId="0" applyNumberFormat="1" applyFont="1" applyFill="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187" fontId="9" fillId="0" borderId="0" xfId="11" applyNumberFormat="1" applyFont="1" applyFill="1" applyBorder="1">
      <alignment vertical="center"/>
    </xf>
    <xf numFmtId="0" fontId="9" fillId="0" borderId="8" xfId="10" applyFont="1" applyBorder="1">
      <alignment vertical="center"/>
    </xf>
    <xf numFmtId="185"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8" fontId="9" fillId="0" borderId="4" xfId="10" applyNumberFormat="1" applyFont="1" applyBorder="1">
      <alignment vertical="center"/>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1" xfId="0" applyNumberFormat="1" applyFont="1" applyBorder="1" applyAlignment="1">
      <alignment horizontal="center" vertical="center"/>
    </xf>
    <xf numFmtId="165" fontId="7" fillId="9" borderId="26"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0" fontId="56" fillId="23" borderId="0" xfId="0" applyFont="1" applyFill="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8" fontId="9" fillId="0" borderId="0" xfId="10" applyNumberFormat="1" applyFont="1">
      <alignment vertical="center"/>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6" borderId="0" xfId="0" applyFont="1" applyFill="1"/>
    <xf numFmtId="0" fontId="9" fillId="26" borderId="0" xfId="0" applyFont="1" applyFill="1" applyAlignment="1">
      <alignment horizontal="center"/>
    </xf>
    <xf numFmtId="0" fontId="11" fillId="26" borderId="0" xfId="0" applyFont="1" applyFill="1" applyAlignment="1">
      <alignment horizontal="left"/>
    </xf>
    <xf numFmtId="165" fontId="9" fillId="0" borderId="2" xfId="0" applyNumberFormat="1" applyFont="1" applyBorder="1" applyAlignment="1">
      <alignment horizontal="center" vertical="center"/>
    </xf>
    <xf numFmtId="0" fontId="65" fillId="23" borderId="0" xfId="0" applyFont="1" applyFill="1"/>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5" borderId="0" xfId="0" applyFont="1" applyFill="1"/>
    <xf numFmtId="0" fontId="11" fillId="25"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4" borderId="0" xfId="0" applyFont="1" applyFill="1"/>
    <xf numFmtId="4" fontId="9" fillId="24" borderId="0" xfId="0" applyNumberFormat="1" applyFont="1" applyFill="1" applyAlignment="1">
      <alignment horizontal="center"/>
    </xf>
    <xf numFmtId="193" fontId="16" fillId="10" borderId="0" xfId="4" applyNumberFormat="1" applyFont="1" applyFill="1" applyAlignment="1">
      <alignment horizontal="center"/>
    </xf>
    <xf numFmtId="0" fontId="71" fillId="27" borderId="29" xfId="0" applyFont="1" applyFill="1" applyBorder="1" applyAlignment="1">
      <alignment horizontal="left" vertical="center" wrapText="1" indent="1" readingOrder="1"/>
    </xf>
    <xf numFmtId="0" fontId="72" fillId="28" borderId="29" xfId="0" applyFont="1" applyFill="1" applyBorder="1" applyAlignment="1">
      <alignment horizontal="left" vertical="center" wrapText="1" indent="1" readingOrder="1"/>
    </xf>
    <xf numFmtId="0" fontId="73" fillId="28" borderId="29" xfId="0" applyFont="1" applyFill="1" applyBorder="1" applyAlignment="1">
      <alignment horizontal="left" vertical="center" wrapText="1" indent="1" readingOrder="1"/>
    </xf>
    <xf numFmtId="0" fontId="72" fillId="29" borderId="29" xfId="0" applyFont="1" applyFill="1" applyBorder="1" applyAlignment="1">
      <alignment horizontal="left" vertical="center" wrapText="1" indent="1" readingOrder="1"/>
    </xf>
    <xf numFmtId="0" fontId="73" fillId="29" borderId="29" xfId="0" applyFont="1" applyFill="1" applyBorder="1" applyAlignment="1">
      <alignment horizontal="left" vertical="center" wrapText="1" indent="1" readingOrder="1"/>
    </xf>
    <xf numFmtId="195" fontId="7" fillId="0" borderId="2" xfId="1" applyNumberFormat="1" applyFont="1" applyFill="1" applyBorder="1" applyAlignment="1">
      <alignment horizontal="center" vertical="center"/>
    </xf>
    <xf numFmtId="165" fontId="2" fillId="30" borderId="2" xfId="0" applyNumberFormat="1" applyFont="1" applyFill="1" applyBorder="1" applyAlignment="1">
      <alignment horizontal="left" vertical="center"/>
    </xf>
    <xf numFmtId="165" fontId="75" fillId="30" borderId="2" xfId="0" applyNumberFormat="1" applyFont="1" applyFill="1" applyBorder="1" applyAlignment="1">
      <alignment horizontal="left" vertical="center"/>
    </xf>
    <xf numFmtId="165" fontId="75" fillId="30" borderId="2" xfId="0" applyNumberFormat="1" applyFont="1" applyFill="1" applyBorder="1" applyAlignment="1">
      <alignment horizontal="center" vertical="center"/>
    </xf>
    <xf numFmtId="1" fontId="75" fillId="30" borderId="2" xfId="2" applyNumberFormat="1" applyFont="1" applyFill="1" applyBorder="1" applyAlignment="1">
      <alignment horizontal="center" vertical="center"/>
    </xf>
    <xf numFmtId="169" fontId="75" fillId="30" borderId="2" xfId="1" applyNumberFormat="1" applyFont="1" applyFill="1" applyBorder="1" applyAlignment="1">
      <alignment horizontal="center" vertical="center"/>
    </xf>
    <xf numFmtId="171" fontId="75" fillId="30" borderId="2" xfId="0" applyNumberFormat="1" applyFont="1" applyFill="1" applyBorder="1" applyAlignment="1">
      <alignment horizontal="center" vertical="center"/>
    </xf>
    <xf numFmtId="170" fontId="75" fillId="30"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1"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1"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1" borderId="2"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20"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1" borderId="31"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30" borderId="0" xfId="0" applyNumberFormat="1" applyFont="1" applyFill="1" applyAlignment="1">
      <alignment horizontal="left" vertical="center"/>
    </xf>
    <xf numFmtId="165" fontId="2" fillId="30"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1" borderId="2" xfId="0" applyNumberFormat="1" applyFont="1" applyFill="1" applyBorder="1" applyAlignment="1">
      <alignment horizontal="center" vertical="center"/>
    </xf>
    <xf numFmtId="187" fontId="9" fillId="0" borderId="0" xfId="10" applyNumberFormat="1" applyFont="1">
      <alignment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7"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1"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165" fontId="5" fillId="0" borderId="2" xfId="6" applyNumberFormat="1" applyFill="1" applyBorder="1" applyAlignment="1">
      <alignment horizontal="center" vertical="center"/>
    </xf>
    <xf numFmtId="0" fontId="17" fillId="32" borderId="0" xfId="3" applyFont="1" applyFill="1" applyAlignment="1">
      <alignment vertical="center"/>
    </xf>
    <xf numFmtId="0" fontId="17" fillId="32" borderId="0" xfId="3" applyFont="1" applyFill="1" applyAlignment="1">
      <alignment vertical="center" wrapText="1"/>
    </xf>
    <xf numFmtId="172" fontId="17" fillId="32" borderId="0" xfId="3" applyNumberFormat="1" applyFont="1" applyFill="1" applyAlignment="1">
      <alignment horizontal="center" vertical="center" wrapText="1"/>
    </xf>
    <xf numFmtId="0" fontId="17" fillId="32"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30" borderId="0" xfId="1" applyNumberFormat="1" applyFont="1" applyFill="1" applyBorder="1" applyAlignment="1">
      <alignment horizontal="center" vertical="center"/>
    </xf>
    <xf numFmtId="171" fontId="2" fillId="30" borderId="0" xfId="0" applyNumberFormat="1" applyFont="1" applyFill="1" applyAlignment="1">
      <alignment horizontal="center" vertical="center"/>
    </xf>
    <xf numFmtId="170" fontId="2" fillId="30"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79" fillId="30" borderId="2" xfId="0" applyNumberFormat="1" applyFont="1" applyFill="1" applyBorder="1" applyAlignment="1">
      <alignment horizontal="left" vertical="center"/>
    </xf>
    <xf numFmtId="0" fontId="11" fillId="24" borderId="26" xfId="0" applyFont="1" applyFill="1" applyBorder="1"/>
    <xf numFmtId="0" fontId="11" fillId="24" borderId="11" xfId="0" applyFont="1" applyFill="1" applyBorder="1"/>
    <xf numFmtId="0" fontId="11" fillId="24" borderId="27" xfId="0" applyFont="1" applyFill="1" applyBorder="1" applyAlignment="1">
      <alignment horizontal="center"/>
    </xf>
    <xf numFmtId="0" fontId="11" fillId="17" borderId="32" xfId="0" applyFont="1" applyFill="1" applyBorder="1"/>
    <xf numFmtId="15" fontId="11" fillId="17" borderId="32" xfId="0" applyNumberFormat="1" applyFont="1" applyFill="1" applyBorder="1"/>
    <xf numFmtId="196"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165" fontId="7" fillId="33" borderId="31" xfId="0" applyNumberFormat="1" applyFont="1" applyFill="1" applyBorder="1" applyAlignment="1">
      <alignment horizontal="center" vertical="center"/>
    </xf>
    <xf numFmtId="0" fontId="11" fillId="35" borderId="0" xfId="0" applyFont="1" applyFill="1"/>
    <xf numFmtId="0" fontId="11" fillId="35" borderId="0" xfId="0" applyFont="1" applyFill="1" applyAlignment="1">
      <alignment horizontal="center"/>
    </xf>
    <xf numFmtId="165" fontId="7" fillId="33" borderId="2" xfId="0" applyNumberFormat="1" applyFont="1" applyFill="1" applyBorder="1" applyAlignment="1">
      <alignment horizontal="left" vertical="center"/>
    </xf>
    <xf numFmtId="165" fontId="6" fillId="33" borderId="2" xfId="0" applyNumberFormat="1" applyFont="1" applyFill="1" applyBorder="1" applyAlignment="1">
      <alignment horizontal="center" vertical="center"/>
    </xf>
    <xf numFmtId="1" fontId="6" fillId="33" borderId="2" xfId="2" applyNumberFormat="1" applyFont="1" applyFill="1" applyBorder="1" applyAlignment="1">
      <alignment horizontal="center" vertical="center"/>
    </xf>
    <xf numFmtId="171" fontId="6" fillId="33" borderId="2" xfId="0" applyNumberFormat="1" applyFont="1" applyFill="1" applyBorder="1" applyAlignment="1">
      <alignment horizontal="center" vertical="center"/>
    </xf>
    <xf numFmtId="170" fontId="6" fillId="33"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9"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3" borderId="0" xfId="0" applyFont="1" applyFill="1"/>
    <xf numFmtId="0" fontId="9" fillId="33" borderId="0" xfId="0" applyFont="1" applyFill="1" applyAlignment="1">
      <alignment horizontal="center"/>
    </xf>
    <xf numFmtId="0" fontId="9" fillId="33" borderId="0" xfId="0" applyFont="1" applyFill="1"/>
    <xf numFmtId="0" fontId="27" fillId="33" borderId="0" xfId="0" applyFont="1" applyFill="1"/>
    <xf numFmtId="200" fontId="81" fillId="0" borderId="0" xfId="0" applyNumberFormat="1" applyFont="1" applyAlignment="1">
      <alignment horizontal="center" vertical="center"/>
    </xf>
    <xf numFmtId="0" fontId="30" fillId="0" borderId="0" xfId="0" applyFont="1" applyAlignment="1">
      <alignment horizontal="left"/>
    </xf>
    <xf numFmtId="0" fontId="78" fillId="30" borderId="0" xfId="0" applyFont="1" applyFill="1" applyAlignment="1">
      <alignment horizontal="center" vertical="center"/>
    </xf>
    <xf numFmtId="0" fontId="36" fillId="30" borderId="0" xfId="0" applyFont="1" applyFill="1" applyAlignment="1">
      <alignment horizontal="center" vertical="center"/>
    </xf>
    <xf numFmtId="0" fontId="9" fillId="0" borderId="0" xfId="0" applyFont="1" applyAlignment="1">
      <alignment vertical="center"/>
    </xf>
    <xf numFmtId="172" fontId="82" fillId="19" borderId="0" xfId="3" applyNumberFormat="1" applyFont="1" applyFill="1" applyAlignment="1">
      <alignment horizontal="center" vertical="center" wrapText="1"/>
    </xf>
    <xf numFmtId="0" fontId="31" fillId="12" borderId="0" xfId="0" applyFont="1" applyFill="1"/>
    <xf numFmtId="0" fontId="9" fillId="12" borderId="0" xfId="0" applyFont="1" applyFill="1" applyAlignment="1">
      <alignment horizontal="center"/>
    </xf>
    <xf numFmtId="0" fontId="9" fillId="12" borderId="0" xfId="0" applyFont="1" applyFill="1"/>
    <xf numFmtId="0" fontId="27"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30" borderId="0" xfId="0" applyFont="1" applyFill="1" applyAlignment="1">
      <alignment horizontal="center" vertical="center"/>
    </xf>
    <xf numFmtId="0" fontId="83" fillId="33"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12" borderId="0" xfId="0" applyFont="1" applyFill="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87" fontId="54" fillId="0" borderId="0" xfId="11" applyNumberFormat="1" applyFont="1" applyFill="1" applyBorder="1">
      <alignment vertical="center"/>
    </xf>
    <xf numFmtId="185" fontId="54" fillId="0" borderId="0" xfId="12" applyNumberFormat="1" applyFont="1" applyFill="1" applyBorder="1">
      <alignment vertic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7" borderId="56" xfId="14" applyFont="1" applyFill="1" applyBorder="1" applyAlignment="1">
      <alignment vertical="top" wrapText="1"/>
    </xf>
    <xf numFmtId="0" fontId="32" fillId="37" borderId="54" xfId="14" applyFont="1" applyFill="1" applyBorder="1" applyAlignment="1">
      <alignment vertical="top" wrapText="1"/>
    </xf>
    <xf numFmtId="0" fontId="32" fillId="37" borderId="52" xfId="14" applyFont="1" applyFill="1" applyBorder="1" applyAlignment="1">
      <alignment vertical="top" wrapText="1"/>
    </xf>
    <xf numFmtId="0" fontId="88" fillId="38" borderId="0" xfId="14" applyFont="1" applyFill="1" applyAlignment="1">
      <alignment horizontal="left" vertical="top"/>
    </xf>
    <xf numFmtId="0" fontId="90" fillId="0" borderId="54"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7" borderId="56" xfId="14" applyFont="1" applyFill="1" applyBorder="1" applyAlignment="1">
      <alignment vertical="top" wrapText="1"/>
    </xf>
    <xf numFmtId="0" fontId="10" fillId="37" borderId="55" xfId="14" applyFont="1" applyFill="1" applyBorder="1" applyAlignment="1">
      <alignment vertical="top" wrapText="1"/>
    </xf>
    <xf numFmtId="201"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7" borderId="54" xfId="14" applyFont="1" applyFill="1" applyBorder="1" applyAlignment="1">
      <alignment vertical="top" wrapText="1"/>
    </xf>
    <xf numFmtId="3" fontId="10" fillId="37" borderId="53" xfId="14" applyNumberFormat="1" applyFont="1" applyFill="1" applyBorder="1" applyAlignment="1">
      <alignment vertical="top" wrapText="1"/>
    </xf>
    <xf numFmtId="201" fontId="10" fillId="37" borderId="53" xfId="14" applyNumberFormat="1" applyFont="1" applyFill="1" applyBorder="1" applyAlignment="1">
      <alignment vertical="top" wrapText="1"/>
    </xf>
    <xf numFmtId="10" fontId="10" fillId="37" borderId="53" xfId="14" applyNumberFormat="1" applyFont="1" applyFill="1" applyBorder="1" applyAlignment="1">
      <alignment horizontal="right" vertical="top" wrapText="1"/>
    </xf>
    <xf numFmtId="0" fontId="10" fillId="37" borderId="53" xfId="14" applyFont="1" applyFill="1" applyBorder="1" applyAlignment="1">
      <alignment horizontal="right" vertical="top" wrapText="1"/>
    </xf>
    <xf numFmtId="0" fontId="10" fillId="37" borderId="52" xfId="14" applyFont="1" applyFill="1" applyBorder="1" applyAlignment="1">
      <alignment vertical="top" wrapText="1"/>
    </xf>
    <xf numFmtId="0" fontId="10" fillId="37" borderId="51" xfId="14" applyFont="1" applyFill="1" applyBorder="1" applyAlignment="1">
      <alignment horizontal="right" vertical="top" wrapText="1"/>
    </xf>
    <xf numFmtId="0" fontId="90" fillId="36" borderId="56" xfId="14" applyFont="1" applyFill="1" applyBorder="1" applyAlignment="1">
      <alignment vertical="top" wrapText="1"/>
    </xf>
    <xf numFmtId="0" fontId="10" fillId="36" borderId="55" xfId="14" applyFont="1" applyFill="1" applyBorder="1" applyAlignment="1">
      <alignment vertical="top" wrapText="1"/>
    </xf>
    <xf numFmtId="0" fontId="10" fillId="36" borderId="54" xfId="14" applyFont="1" applyFill="1" applyBorder="1" applyAlignment="1">
      <alignment vertical="top" wrapText="1"/>
    </xf>
    <xf numFmtId="3" fontId="10" fillId="36" borderId="53" xfId="14" applyNumberFormat="1" applyFont="1" applyFill="1" applyBorder="1" applyAlignment="1">
      <alignment vertical="top" wrapText="1"/>
    </xf>
    <xf numFmtId="3" fontId="10" fillId="36" borderId="53" xfId="14" applyNumberFormat="1" applyFont="1" applyFill="1" applyBorder="1" applyAlignment="1">
      <alignment horizontal="right" vertical="top" wrapText="1"/>
    </xf>
    <xf numFmtId="0" fontId="10" fillId="36" borderId="53" xfId="14" applyFont="1" applyFill="1" applyBorder="1" applyAlignment="1">
      <alignment horizontal="right" vertical="top"/>
    </xf>
    <xf numFmtId="0" fontId="10" fillId="36" borderId="52" xfId="14" applyFont="1" applyFill="1" applyBorder="1" applyAlignment="1">
      <alignment vertical="top" wrapText="1"/>
    </xf>
    <xf numFmtId="0" fontId="10" fillId="36" borderId="5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202" fontId="10" fillId="0" borderId="0" xfId="14" applyNumberFormat="1" applyFont="1" applyAlignment="1">
      <alignment vertical="top" wrapText="1"/>
    </xf>
    <xf numFmtId="0" fontId="9" fillId="17" borderId="4" xfId="0" applyFont="1" applyFill="1" applyBorder="1"/>
    <xf numFmtId="0" fontId="9" fillId="19" borderId="14"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5" xfId="0" applyFont="1" applyFill="1" applyBorder="1" applyAlignment="1">
      <alignment horizontal="center"/>
    </xf>
    <xf numFmtId="0" fontId="11" fillId="25" borderId="44" xfId="0" applyFont="1" applyFill="1" applyBorder="1" applyAlignment="1">
      <alignment horizontal="left" vertical="center" indent="1"/>
    </xf>
    <xf numFmtId="0" fontId="11" fillId="25" borderId="45" xfId="0" applyFont="1" applyFill="1" applyBorder="1" applyAlignment="1">
      <alignment horizontal="center" vertical="center" wrapText="1"/>
    </xf>
    <xf numFmtId="0" fontId="11" fillId="25" borderId="46" xfId="0" applyFont="1" applyFill="1" applyBorder="1" applyAlignment="1">
      <alignment horizontal="center" vertical="center" wrapText="1"/>
    </xf>
    <xf numFmtId="0" fontId="11" fillId="25" borderId="43" xfId="0" applyFont="1" applyFill="1" applyBorder="1" applyAlignment="1">
      <alignment horizontal="center" vertical="center" wrapText="1"/>
    </xf>
    <xf numFmtId="0" fontId="11" fillId="19" borderId="47" xfId="0" applyFont="1" applyFill="1" applyBorder="1" applyAlignment="1">
      <alignment horizontal="center" vertical="center" wrapText="1"/>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50" xfId="0" applyFont="1" applyFill="1" applyBorder="1" applyAlignment="1">
      <alignment horizontal="center" vertical="center"/>
    </xf>
    <xf numFmtId="0" fontId="11" fillId="19" borderId="46" xfId="0" applyFont="1" applyFill="1" applyBorder="1" applyAlignment="1">
      <alignment horizontal="center" vertical="center"/>
    </xf>
    <xf numFmtId="0" fontId="2" fillId="0" borderId="36" xfId="0" applyFont="1" applyBorder="1" applyAlignment="1">
      <alignment horizontal="left" inden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37" xfId="0" applyFont="1" applyBorder="1" applyAlignment="1">
      <alignment horizontal="center" wrapText="1"/>
    </xf>
    <xf numFmtId="0" fontId="2" fillId="0" borderId="7" xfId="0" applyFont="1" applyBorder="1" applyAlignment="1">
      <alignment horizontal="center" wrapText="1"/>
    </xf>
    <xf numFmtId="0" fontId="2" fillId="0" borderId="16" xfId="0" applyFont="1" applyBorder="1" applyAlignment="1">
      <alignment horizontal="center"/>
    </xf>
    <xf numFmtId="0" fontId="2" fillId="0" borderId="17" xfId="0" applyFont="1" applyBorder="1" applyAlignment="1">
      <alignment horizontal="center"/>
    </xf>
    <xf numFmtId="0" fontId="2" fillId="0" borderId="35" xfId="0" applyFont="1" applyBorder="1" applyAlignment="1">
      <alignment horizontal="center"/>
    </xf>
    <xf numFmtId="0" fontId="2" fillId="0" borderId="8" xfId="0" applyFont="1" applyBorder="1" applyAlignment="1">
      <alignment horizontal="center"/>
    </xf>
    <xf numFmtId="0" fontId="9" fillId="0" borderId="36" xfId="0" applyFont="1" applyBorder="1" applyAlignment="1">
      <alignment horizontal="left" indent="1"/>
    </xf>
    <xf numFmtId="197" fontId="9" fillId="0" borderId="0" xfId="0" applyNumberFormat="1" applyFont="1" applyAlignment="1">
      <alignment horizontal="center" wrapText="1"/>
    </xf>
    <xf numFmtId="0" fontId="9" fillId="0" borderId="8" xfId="0" applyFont="1" applyBorder="1" applyAlignment="1">
      <alignment horizontal="center" wrapText="1"/>
    </xf>
    <xf numFmtId="197" fontId="9" fillId="0" borderId="37" xfId="0" applyNumberFormat="1" applyFont="1" applyBorder="1" applyAlignment="1">
      <alignment horizontal="center" wrapText="1"/>
    </xf>
    <xf numFmtId="0" fontId="9" fillId="0" borderId="7" xfId="0" applyFont="1" applyBorder="1" applyAlignment="1">
      <alignment horizont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35" xfId="0" applyFont="1" applyBorder="1" applyAlignment="1">
      <alignment horizontal="center"/>
    </xf>
    <xf numFmtId="198" fontId="9" fillId="0" borderId="35" xfId="0" applyNumberFormat="1" applyFont="1" applyBorder="1" applyAlignment="1">
      <alignment horizontal="center"/>
    </xf>
    <xf numFmtId="2" fontId="9" fillId="0" borderId="8" xfId="0" applyNumberFormat="1" applyFont="1" applyBorder="1" applyAlignment="1">
      <alignment horizontal="center" wrapText="1"/>
    </xf>
    <xf numFmtId="2" fontId="9" fillId="0" borderId="35" xfId="0" applyNumberFormat="1" applyFont="1" applyBorder="1" applyAlignment="1">
      <alignment horizontal="center"/>
    </xf>
    <xf numFmtId="2" fontId="9" fillId="0" borderId="8" xfId="0" applyNumberFormat="1" applyFont="1" applyBorder="1" applyAlignment="1">
      <alignment horizontal="center"/>
    </xf>
    <xf numFmtId="0" fontId="9" fillId="24" borderId="7" xfId="0" applyFont="1" applyFill="1" applyBorder="1" applyAlignment="1">
      <alignment horizontal="center" wrapText="1"/>
    </xf>
    <xf numFmtId="0" fontId="9" fillId="24" borderId="16" xfId="0" applyFont="1" applyFill="1" applyBorder="1" applyAlignment="1">
      <alignment horizontal="center"/>
    </xf>
    <xf numFmtId="0" fontId="9" fillId="0" borderId="38" xfId="0" applyFont="1" applyBorder="1" applyAlignment="1">
      <alignment horizontal="left" indent="1"/>
    </xf>
    <xf numFmtId="197" fontId="9" fillId="0" borderId="4" xfId="0" applyNumberFormat="1" applyFont="1" applyBorder="1" applyAlignment="1">
      <alignment horizontal="center" wrapText="1"/>
    </xf>
    <xf numFmtId="0" fontId="9" fillId="0" borderId="10" xfId="0" applyFont="1" applyBorder="1" applyAlignment="1">
      <alignment horizontal="center" wrapText="1"/>
    </xf>
    <xf numFmtId="197" fontId="9" fillId="0" borderId="21"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9" xfId="0" applyFont="1" applyBorder="1" applyAlignment="1">
      <alignment horizontal="center"/>
    </xf>
    <xf numFmtId="0" fontId="9" fillId="0" borderId="40" xfId="0" applyFont="1" applyBorder="1" applyAlignment="1">
      <alignment horizontal="center"/>
    </xf>
    <xf numFmtId="0" fontId="9" fillId="0" borderId="41" xfId="0" applyFont="1" applyBorder="1" applyAlignment="1">
      <alignment horizontal="center"/>
    </xf>
    <xf numFmtId="198" fontId="9" fillId="0" borderId="41" xfId="0" applyNumberFormat="1" applyFont="1" applyBorder="1" applyAlignment="1">
      <alignment horizontal="center"/>
    </xf>
    <xf numFmtId="194" fontId="16" fillId="0" borderId="0" xfId="0" applyNumberFormat="1" applyFont="1" applyAlignment="1">
      <alignment horizontal="center"/>
    </xf>
    <xf numFmtId="0" fontId="2" fillId="21" borderId="33" xfId="0" applyFont="1" applyFill="1" applyBorder="1" applyAlignment="1">
      <alignment horizontal="center" vertical="center" wrapText="1"/>
    </xf>
    <xf numFmtId="0" fontId="2" fillId="21" borderId="34" xfId="0" applyFont="1" applyFill="1" applyBorder="1" applyAlignment="1">
      <alignment horizontal="center" vertical="center" wrapText="1"/>
    </xf>
    <xf numFmtId="0" fontId="2" fillId="21" borderId="42" xfId="0" applyFont="1" applyFill="1" applyBorder="1" applyAlignment="1">
      <alignment horizontal="center" vertical="center" wrapText="1"/>
    </xf>
    <xf numFmtId="0" fontId="2" fillId="34" borderId="33" xfId="0" applyFont="1" applyFill="1" applyBorder="1" applyAlignment="1">
      <alignment horizontal="center" vertical="center"/>
    </xf>
    <xf numFmtId="0" fontId="2" fillId="34" borderId="34" xfId="0" applyFont="1" applyFill="1" applyBorder="1" applyAlignment="1">
      <alignment horizontal="center" vertical="center"/>
    </xf>
    <xf numFmtId="0" fontId="2" fillId="34" borderId="42" xfId="0" applyFont="1" applyFill="1" applyBorder="1" applyAlignment="1">
      <alignment horizontal="center" vertical="center"/>
    </xf>
    <xf numFmtId="0" fontId="24" fillId="0" borderId="0" xfId="0" applyFont="1" applyAlignment="1">
      <alignment horizontal="left" vertical="center" wrapText="1"/>
    </xf>
    <xf numFmtId="0" fontId="24" fillId="19" borderId="0" xfId="0" applyFont="1" applyFill="1" applyAlignment="1">
      <alignment horizontal="left" vertical="center" wrapText="1"/>
    </xf>
    <xf numFmtId="0" fontId="32" fillId="0" borderId="0" xfId="14" applyFont="1" applyAlignment="1">
      <alignment vertical="top" wrapText="1"/>
    </xf>
    <xf numFmtId="0" fontId="88" fillId="0" borderId="0" xfId="14" applyFont="1"/>
    <xf numFmtId="0" fontId="10" fillId="37" borderId="58" xfId="14" applyFont="1" applyFill="1" applyBorder="1" applyAlignment="1">
      <alignment vertical="top" wrapText="1"/>
    </xf>
    <xf numFmtId="0" fontId="89" fillId="0" borderId="58" xfId="14" applyFont="1" applyBorder="1"/>
    <xf numFmtId="0" fontId="89" fillId="0" borderId="55" xfId="14" applyFont="1" applyBorder="1"/>
    <xf numFmtId="0" fontId="10" fillId="37" borderId="0" xfId="14" applyFont="1" applyFill="1" applyAlignment="1">
      <alignment horizontal="left" vertical="top" wrapText="1"/>
    </xf>
    <xf numFmtId="0" fontId="89" fillId="0" borderId="53" xfId="14" applyFont="1" applyBorder="1"/>
    <xf numFmtId="0" fontId="10" fillId="37" borderId="57" xfId="14" applyFont="1" applyFill="1" applyBorder="1" applyAlignment="1">
      <alignment vertical="top" wrapText="1"/>
    </xf>
    <xf numFmtId="0" fontId="89" fillId="0" borderId="57" xfId="14" applyFont="1" applyBorder="1"/>
    <xf numFmtId="0" fontId="89" fillId="0" borderId="51"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23%23%23/1.%20I%20N%20V%20E%20S%20T%20M%20E%20N%20T%20S%20%20-%20%20Global%20(Ex%20China)/0.%20E%20Q%20U%20I%20T%20Y/Flyr/1.%20Cap%20Table/FLYR%20Summary%20Cap%20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0" dT="2024-04-09T13:16:08.93" personId="{00000000-0000-0000-0000-000000000000}" id="{EE6B2636-8562-4C26-A84A-95E5C726EBAD}">
    <text>GP Fee (of 189K) and Fund Expenses (of 11K) until Sep24</text>
  </threadedComment>
  <threadedComment ref="M20" dT="2024-04-09T13:16:08.93" personId="{00000000-0000-0000-0000-000000000000}" id="{4F93B725-2295-476B-9FD2-E825C0855480}">
    <text>GP Fee (of 189K) and Fund Expenses (of 11K) until Sep24</text>
  </threadedComment>
  <threadedComment ref="N20" dT="2024-04-09T13:16:08.93" personId="{00000000-0000-0000-0000-000000000000}" id="{6C6E28D6-DC85-4A35-923F-1378B05FBCC4}">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coinmarketcap.com/currencies/worldcoin-org/" TargetMode="External"/><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printerSettings" Target="../printerSettings/printerSettings13.bin"/><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vmlDrawing" Target="../drawings/vmlDrawing4.v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comments" Target="../comments4.x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38"/>
  <sheetViews>
    <sheetView showGridLines="0" tabSelected="1" zoomScaleNormal="100" zoomScaleSheetLayoutView="115" workbookViewId="0">
      <selection activeCell="C11" sqref="C11"/>
    </sheetView>
  </sheetViews>
  <sheetFormatPr defaultColWidth="9.140625" defaultRowHeight="15" x14ac:dyDescent="0.25"/>
  <cols>
    <col min="1" max="1" width="9.140625" style="26"/>
    <col min="2" max="2" width="5.28515625" style="26" customWidth="1"/>
    <col min="3" max="3" width="17" style="27" customWidth="1"/>
    <col min="4" max="4" width="17.28515625" style="558"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7" t="s">
        <v>163</v>
      </c>
      <c r="C2" s="559"/>
      <c r="D2" s="251">
        <v>45565</v>
      </c>
      <c r="E2" s="464" t="str">
        <f>TEXT(D2,"dddddd")</f>
        <v>Monday</v>
      </c>
      <c r="H2" s="26"/>
      <c r="I2" s="26"/>
      <c r="J2" s="26"/>
      <c r="K2" s="26"/>
      <c r="L2" s="26"/>
      <c r="M2" s="153"/>
      <c r="N2" s="26"/>
      <c r="O2" s="26"/>
    </row>
    <row r="3" spans="2:15" s="58" customFormat="1" x14ac:dyDescent="0.25">
      <c r="C3" s="57"/>
      <c r="D3" s="560"/>
      <c r="E3" s="132"/>
      <c r="F3" s="463"/>
      <c r="H3" s="26"/>
      <c r="I3" s="26"/>
      <c r="J3" s="26"/>
      <c r="K3" s="26"/>
      <c r="L3" s="26"/>
      <c r="M3" s="26"/>
      <c r="N3" s="26"/>
      <c r="O3" s="26"/>
    </row>
    <row r="4" spans="2:15" s="552" customFormat="1" ht="27" customHeight="1" x14ac:dyDescent="0.25">
      <c r="B4" s="550"/>
      <c r="C4" s="550"/>
      <c r="D4" s="561"/>
      <c r="E4" s="550"/>
      <c r="F4" s="551"/>
      <c r="G4" s="551"/>
      <c r="H4" s="551" t="s">
        <v>169</v>
      </c>
      <c r="I4" s="551"/>
      <c r="J4" s="550"/>
      <c r="K4" s="550"/>
      <c r="L4" s="550"/>
      <c r="M4" s="550"/>
      <c r="N4" s="550"/>
    </row>
    <row r="5" spans="2:15" x14ac:dyDescent="0.25">
      <c r="B5" s="541"/>
      <c r="C5" s="542"/>
      <c r="E5" s="541"/>
      <c r="F5" s="541"/>
      <c r="G5" s="541"/>
      <c r="H5" s="541"/>
      <c r="I5" s="543"/>
      <c r="J5" s="541"/>
      <c r="K5" s="541"/>
      <c r="L5" s="541"/>
      <c r="M5" s="541"/>
      <c r="N5" s="541"/>
    </row>
    <row r="6" spans="2:15" ht="15.75" thickBot="1" x14ac:dyDescent="0.3">
      <c r="B6" s="544" t="s">
        <v>697</v>
      </c>
      <c r="C6" s="545"/>
      <c r="D6" s="562"/>
      <c r="E6" s="544"/>
      <c r="F6" s="546"/>
      <c r="G6" s="546"/>
      <c r="H6" s="546"/>
      <c r="I6" s="546"/>
      <c r="J6" s="546"/>
      <c r="K6" s="546"/>
      <c r="L6" s="546"/>
      <c r="M6" s="546"/>
      <c r="N6" s="547"/>
    </row>
    <row r="7" spans="2:15" x14ac:dyDescent="0.25">
      <c r="B7" s="146"/>
      <c r="C7" s="75"/>
      <c r="D7" s="563"/>
      <c r="E7" s="147"/>
      <c r="F7" s="147"/>
      <c r="G7" s="147"/>
      <c r="H7" s="147"/>
      <c r="I7" s="147"/>
      <c r="J7" s="147"/>
      <c r="K7" s="147"/>
      <c r="L7" s="147"/>
      <c r="M7" s="147"/>
      <c r="N7" s="77"/>
    </row>
    <row r="8" spans="2:15" ht="30" customHeight="1" x14ac:dyDescent="0.25">
      <c r="B8" s="81"/>
      <c r="E8" s="55" t="s">
        <v>168</v>
      </c>
      <c r="F8" s="55" t="s">
        <v>32</v>
      </c>
      <c r="G8" s="56" t="s">
        <v>2</v>
      </c>
      <c r="H8" s="56" t="s">
        <v>190</v>
      </c>
      <c r="I8" s="56" t="s">
        <v>33</v>
      </c>
      <c r="J8" s="56" t="s">
        <v>155</v>
      </c>
      <c r="K8" s="56" t="s">
        <v>187</v>
      </c>
      <c r="L8" s="56" t="s">
        <v>34</v>
      </c>
      <c r="M8" s="56" t="s">
        <v>94</v>
      </c>
      <c r="N8" s="82"/>
    </row>
    <row r="9" spans="2:15" x14ac:dyDescent="0.25">
      <c r="B9" s="81"/>
      <c r="E9" s="553" t="s">
        <v>84</v>
      </c>
      <c r="F9" s="553" t="s">
        <v>699</v>
      </c>
      <c r="G9" s="553" t="s">
        <v>699</v>
      </c>
      <c r="H9" s="553" t="s">
        <v>699</v>
      </c>
      <c r="I9" s="553" t="s">
        <v>699</v>
      </c>
      <c r="J9" s="553" t="s">
        <v>699</v>
      </c>
      <c r="K9" s="553" t="s">
        <v>699</v>
      </c>
      <c r="L9" s="553" t="s">
        <v>274</v>
      </c>
      <c r="M9" s="553" t="s">
        <v>274</v>
      </c>
      <c r="N9" s="82"/>
    </row>
    <row r="10" spans="2:15" x14ac:dyDescent="0.25">
      <c r="B10" s="81"/>
      <c r="D10" s="564"/>
      <c r="E10" s="27"/>
      <c r="N10" s="82"/>
    </row>
    <row r="11" spans="2:15" x14ac:dyDescent="0.25">
      <c r="B11" s="81"/>
      <c r="C11" s="26" t="s">
        <v>659</v>
      </c>
      <c r="D11" s="564" t="s">
        <v>292</v>
      </c>
      <c r="E11" s="151">
        <f>COUNTIF('1. Live'!$D$1:D26,$D11)</f>
        <v>13</v>
      </c>
      <c r="F11" s="128">
        <f ca="1">SUMIF('1. Live'!$D$1:$D$100,$D11,'1. Live'!K$1:K$100)</f>
        <v>757.75836697436648</v>
      </c>
      <c r="G11" s="128">
        <f ca="1">SUMIF('1. Live'!$D$1:$D$100,$D11,'1. Live'!L$1:L$100)</f>
        <v>754.00836697436648</v>
      </c>
      <c r="H11" s="128">
        <f ca="1">SUMIF('1. Live'!$D$1:$D$100,$D11,'1. Live'!M$1:M$100)</f>
        <v>3.75</v>
      </c>
      <c r="I11" s="128">
        <f ca="1">SUMIF('1. Live'!$D$1:$D$100,$D11,'1. Live'!N$1:N$100)</f>
        <v>0</v>
      </c>
      <c r="J11" s="128">
        <f ca="1">SUMIF('1. Live'!$D$1:$D$100,$D11,'1. Live'!O$1:O$100)</f>
        <v>772.04324355437552</v>
      </c>
      <c r="K11" s="128">
        <f ca="1">SUMIF('1. Live'!$D$1:$D$100,$D11,'1. Live'!P$1:P$100)</f>
        <v>18.034876580009112</v>
      </c>
      <c r="L11" s="155">
        <f ca="1">IFERROR((I11+J11)/G11,"")</f>
        <v>1.0239186690359661</v>
      </c>
      <c r="M11" s="129">
        <f ca="1">IFERROR(I11/G11,"")</f>
        <v>0</v>
      </c>
      <c r="N11" s="82"/>
    </row>
    <row r="12" spans="2:15" x14ac:dyDescent="0.25">
      <c r="B12" s="81"/>
      <c r="D12" s="564"/>
      <c r="E12" s="27"/>
      <c r="N12" s="82"/>
    </row>
    <row r="13" spans="2:15" x14ac:dyDescent="0.25">
      <c r="B13" s="81"/>
      <c r="C13" s="26" t="s">
        <v>165</v>
      </c>
      <c r="D13" s="564" t="s">
        <v>293</v>
      </c>
      <c r="E13" s="151">
        <f>COUNTIF('1. Live'!$D$1:D28,$D13)</f>
        <v>0</v>
      </c>
      <c r="F13" s="128">
        <f>SUMIF('1. Live'!$D$1:$D$100,$D13,'1. Live'!K$1:K$100)</f>
        <v>0</v>
      </c>
      <c r="G13" s="128">
        <f>SUMIF('1. Live'!$D$1:$D$100,$D13,'1. Live'!L$1:L$100)</f>
        <v>0</v>
      </c>
      <c r="H13" s="128">
        <f>SUMIF('1. Live'!$D$1:$D$100,$D13,'1. Live'!M$1:M$100)</f>
        <v>0</v>
      </c>
      <c r="I13" s="128">
        <f>SUMIF('1. Live'!$D$1:$D$100,$D13,'1. Live'!N$1:N$100)</f>
        <v>0</v>
      </c>
      <c r="J13" s="128">
        <f>SUMIF('1. Live'!$D$1:$D$100,$D13,'1. Live'!O$1:O$100)</f>
        <v>0</v>
      </c>
      <c r="K13" s="128">
        <f>SUMIF('1. Live'!$D$1:$D$100,$D13,'1. Live'!P$1:P$100)</f>
        <v>0</v>
      </c>
      <c r="L13" s="155" t="str">
        <f>IFERROR((I13+J13)/G13,"")</f>
        <v/>
      </c>
      <c r="M13" s="129" t="str">
        <f>IFERROR(I13/G13,"")</f>
        <v/>
      </c>
      <c r="N13" s="82"/>
    </row>
    <row r="14" spans="2:15" x14ac:dyDescent="0.25">
      <c r="B14" s="81"/>
      <c r="D14" s="564"/>
      <c r="E14" s="152"/>
      <c r="N14" s="82"/>
    </row>
    <row r="15" spans="2:15" x14ac:dyDescent="0.25">
      <c r="B15" s="81"/>
      <c r="C15" s="26" t="s">
        <v>166</v>
      </c>
      <c r="D15" s="564" t="s">
        <v>294</v>
      </c>
      <c r="E15" s="151">
        <f>COUNTIF('1. Live'!$D$1:D30,$D15)</f>
        <v>4</v>
      </c>
      <c r="F15" s="128">
        <f ca="1">SUMIF('1. Live'!$D$1:$D$100,$D15,'1. Live'!K$1:K$100)</f>
        <v>129.32657894989106</v>
      </c>
      <c r="G15" s="128">
        <f ca="1">SUMIF('1. Live'!$D$1:$D$100,$D15,'1. Live'!L$1:L$100)</f>
        <v>115.91380887458155</v>
      </c>
      <c r="H15" s="128">
        <f ca="1">SUMIF('1. Live'!$D$1:$D$100,$D15,'1. Live'!M$1:M$100)</f>
        <v>15.826355037830599</v>
      </c>
      <c r="I15" s="128">
        <f>SUMIF('1. Live'!$D$1:$D$100,$D15,'1. Live'!N$1:N$100)</f>
        <v>11.2353400781652</v>
      </c>
      <c r="J15" s="128">
        <f ca="1">SUMIF('1. Live'!$D$1:$D$100,$D15,'1. Live'!O$1:O$100)</f>
        <v>127.48673904840948</v>
      </c>
      <c r="K15" s="128">
        <f ca="1">SUMIF('1. Live'!$D$1:$D$100,$D15,'1. Live'!P$1:P$100)</f>
        <v>22.808270251993115</v>
      </c>
      <c r="L15" s="155">
        <f ca="1">IFERROR((I15+J15)/G15,"")</f>
        <v>1.1967692242489556</v>
      </c>
      <c r="M15" s="129">
        <f ca="1">IFERROR(I15/G15,"")</f>
        <v>9.6928400397245248E-2</v>
      </c>
      <c r="N15" s="82"/>
    </row>
    <row r="16" spans="2:15" x14ac:dyDescent="0.25">
      <c r="B16" s="81"/>
      <c r="D16" s="564"/>
      <c r="E16" s="27"/>
      <c r="N16" s="82"/>
    </row>
    <row r="17" spans="2:14" x14ac:dyDescent="0.25">
      <c r="B17" s="81"/>
      <c r="C17" s="26" t="s">
        <v>167</v>
      </c>
      <c r="D17" s="564"/>
      <c r="E17" s="151">
        <f t="shared" ref="E17:J17" si="0">E11+E13+E15</f>
        <v>17</v>
      </c>
      <c r="F17" s="128">
        <f t="shared" ca="1" si="0"/>
        <v>887.08494592425757</v>
      </c>
      <c r="G17" s="128">
        <f t="shared" ca="1" si="0"/>
        <v>869.92217584894797</v>
      </c>
      <c r="H17" s="128">
        <f t="shared" ca="1" si="0"/>
        <v>19.576355037830599</v>
      </c>
      <c r="I17" s="128">
        <f t="shared" ca="1" si="0"/>
        <v>11.2353400781652</v>
      </c>
      <c r="J17" s="128">
        <f t="shared" ca="1" si="0"/>
        <v>899.52998260278503</v>
      </c>
      <c r="K17" s="128">
        <f ca="1">I17+J17-G17</f>
        <v>40.843146832002276</v>
      </c>
      <c r="L17" s="155">
        <f ca="1">IFERROR((I17+J17)/G17,"")</f>
        <v>1.0469503456353941</v>
      </c>
      <c r="M17" s="129">
        <f ca="1">IFERROR(I17/G17,"")</f>
        <v>1.2915339314348146E-2</v>
      </c>
      <c r="N17" s="82"/>
    </row>
    <row r="18" spans="2:14" s="35" customFormat="1" ht="15.75" thickBot="1" x14ac:dyDescent="0.3">
      <c r="B18" s="148"/>
      <c r="C18" s="149"/>
      <c r="D18" s="565"/>
      <c r="E18" s="149"/>
      <c r="F18" s="189"/>
      <c r="G18" s="149"/>
      <c r="H18" s="149"/>
      <c r="I18" s="149"/>
      <c r="J18" s="149"/>
      <c r="K18" s="149"/>
      <c r="L18" s="149"/>
      <c r="M18" s="149"/>
      <c r="N18" s="150"/>
    </row>
    <row r="19" spans="2:14" x14ac:dyDescent="0.25">
      <c r="D19" s="564"/>
    </row>
    <row r="20" spans="2:14" ht="15.75" thickBot="1" x14ac:dyDescent="0.3">
      <c r="B20" s="554" t="s">
        <v>698</v>
      </c>
      <c r="C20" s="555"/>
      <c r="D20" s="566"/>
      <c r="E20" s="554"/>
      <c r="F20" s="556"/>
      <c r="G20" s="556"/>
      <c r="H20" s="556"/>
      <c r="I20" s="556"/>
      <c r="J20" s="556"/>
      <c r="K20" s="556"/>
      <c r="L20" s="556"/>
      <c r="M20" s="556"/>
      <c r="N20" s="557"/>
    </row>
    <row r="21" spans="2:14" x14ac:dyDescent="0.25">
      <c r="B21" s="146"/>
      <c r="C21" s="75"/>
      <c r="D21" s="567"/>
      <c r="E21" s="147"/>
      <c r="F21" s="147"/>
      <c r="G21" s="147"/>
      <c r="H21" s="147"/>
      <c r="I21" s="147"/>
      <c r="J21" s="147"/>
      <c r="K21" s="147"/>
      <c r="L21" s="147"/>
      <c r="M21" s="147"/>
      <c r="N21" s="77"/>
    </row>
    <row r="22" spans="2:14" ht="30" customHeight="1" x14ac:dyDescent="0.25">
      <c r="B22" s="81"/>
      <c r="D22" s="564"/>
      <c r="E22" s="55" t="s">
        <v>168</v>
      </c>
      <c r="F22" s="55" t="s">
        <v>32</v>
      </c>
      <c r="G22" s="56" t="s">
        <v>2</v>
      </c>
      <c r="H22" s="56" t="s">
        <v>190</v>
      </c>
      <c r="I22" s="56" t="s">
        <v>33</v>
      </c>
      <c r="J22" s="56" t="s">
        <v>155</v>
      </c>
      <c r="K22" s="56" t="s">
        <v>187</v>
      </c>
      <c r="L22" s="56" t="s">
        <v>34</v>
      </c>
      <c r="M22" s="56" t="s">
        <v>94</v>
      </c>
      <c r="N22" s="82"/>
    </row>
    <row r="23" spans="2:14" x14ac:dyDescent="0.25">
      <c r="B23" s="81"/>
      <c r="D23" s="564"/>
      <c r="E23" s="553" t="s">
        <v>84</v>
      </c>
      <c r="F23" s="553" t="s">
        <v>699</v>
      </c>
      <c r="G23" s="553" t="s">
        <v>699</v>
      </c>
      <c r="H23" s="553" t="s">
        <v>699</v>
      </c>
      <c r="I23" s="553" t="s">
        <v>699</v>
      </c>
      <c r="J23" s="553" t="s">
        <v>699</v>
      </c>
      <c r="K23" s="553" t="s">
        <v>699</v>
      </c>
      <c r="L23" s="553" t="s">
        <v>274</v>
      </c>
      <c r="M23" s="553" t="s">
        <v>274</v>
      </c>
      <c r="N23" s="82"/>
    </row>
    <row r="24" spans="2:14" x14ac:dyDescent="0.25">
      <c r="B24" s="81"/>
      <c r="D24" s="564"/>
      <c r="E24" s="27"/>
      <c r="N24" s="82"/>
    </row>
    <row r="25" spans="2:14" x14ac:dyDescent="0.25">
      <c r="B25" s="81"/>
      <c r="C25" s="26" t="s">
        <v>659</v>
      </c>
      <c r="D25" s="564" t="s">
        <v>292</v>
      </c>
      <c r="E25" s="151">
        <f>COUNTIF('2. Exited'!$D$1:D40,$D25)</f>
        <v>7</v>
      </c>
      <c r="F25" s="128">
        <f ca="1">SUMIF('2. Exited'!$D$1:$D$40,$D25,'2. Exited'!K$1:K$40)</f>
        <v>1394.0246763984774</v>
      </c>
      <c r="G25" s="128">
        <f ca="1">SUMIF('2. Exited'!$D$1:$D$40,$D25,'2. Exited'!L$1:L$40)</f>
        <v>1394.0246763984774</v>
      </c>
      <c r="H25" s="128">
        <f ca="1">SUMIF('2. Exited'!$D$1:$D$40,$D25,'2. Exited'!M$1:M$40)</f>
        <v>0</v>
      </c>
      <c r="I25" s="128">
        <f ca="1">SUMIF('2. Exited'!$D$1:$D$40,$D25,'2. Exited'!N$1:N$40)</f>
        <v>1243.24219253</v>
      </c>
      <c r="J25" s="128">
        <f>SUMIF('2. Exited'!$D$1:$D$40,$D25,'2. Exited'!O$1:O$40)</f>
        <v>0</v>
      </c>
      <c r="K25" s="128">
        <f ca="1">SUMIF('2. Exited'!$D$1:$D$40,$D25,'2. Exited'!P$1:P$40)</f>
        <v>-150.78248386847744</v>
      </c>
      <c r="L25" s="155">
        <f ca="1">IFERROR((I25+J25)/G25,"")</f>
        <v>0.89183657475990286</v>
      </c>
      <c r="M25" s="129">
        <f ca="1">IFERROR(I25/G25,"")</f>
        <v>0.89183657475990286</v>
      </c>
      <c r="N25" s="82"/>
    </row>
    <row r="26" spans="2:14" x14ac:dyDescent="0.25">
      <c r="B26" s="81"/>
      <c r="D26" s="564"/>
      <c r="E26" s="27"/>
      <c r="N26" s="82"/>
    </row>
    <row r="27" spans="2:14" x14ac:dyDescent="0.25">
      <c r="B27" s="81"/>
      <c r="C27" s="26" t="s">
        <v>165</v>
      </c>
      <c r="D27" s="564" t="s">
        <v>293</v>
      </c>
      <c r="E27" s="151">
        <f>COUNTIF('2. Exited'!$D$1:D42,$D27)</f>
        <v>3</v>
      </c>
      <c r="F27" s="128">
        <f>SUMIF('2. Exited'!$D$1:$D$40,$D27,'2. Exited'!K$1:K$40)</f>
        <v>10.765746999999999</v>
      </c>
      <c r="G27" s="128">
        <f>SUMIF('2. Exited'!$D$1:$D$40,$D27,'2. Exited'!L$1:L$40)</f>
        <v>10.765746999999999</v>
      </c>
      <c r="H27" s="128">
        <f>SUMIF('2. Exited'!$D$1:$D$40,$D27,'2. Exited'!M$1:M$40)</f>
        <v>0</v>
      </c>
      <c r="I27" s="128">
        <f>SUMIF('2. Exited'!$D$1:$D$40,$D27,'2. Exited'!N$1:N$40)</f>
        <v>0.47078465000000003</v>
      </c>
      <c r="J27" s="128">
        <f>SUMIF('2. Exited'!$D$1:$D$40,$D27,'2. Exited'!O$1:O$40)</f>
        <v>0</v>
      </c>
      <c r="K27" s="128">
        <f>SUMIF('2. Exited'!$D$1:$D$40,$D27,'2. Exited'!P$1:P$40)</f>
        <v>-10.294962349999999</v>
      </c>
      <c r="L27" s="155">
        <f>IFERROR((I27+J27)/G27,"")</f>
        <v>4.372986379858268E-2</v>
      </c>
      <c r="M27" s="129">
        <f>IFERROR(I27/G27,"")</f>
        <v>4.372986379858268E-2</v>
      </c>
      <c r="N27" s="82"/>
    </row>
    <row r="28" spans="2:14" x14ac:dyDescent="0.25">
      <c r="B28" s="81"/>
      <c r="D28" s="564"/>
      <c r="E28" s="152"/>
      <c r="N28" s="82"/>
    </row>
    <row r="29" spans="2:14" x14ac:dyDescent="0.25">
      <c r="B29" s="81"/>
      <c r="C29" s="26" t="s">
        <v>166</v>
      </c>
      <c r="D29" s="564" t="s">
        <v>294</v>
      </c>
      <c r="E29" s="151">
        <f>COUNTIF('2. Exited'!$D$1:D44,$D29)</f>
        <v>1</v>
      </c>
      <c r="F29" s="128">
        <f>SUMIF('2. Exited'!$D$1:$D$40,$D29,'2. Exited'!K$1:K$40)</f>
        <v>50</v>
      </c>
      <c r="G29" s="128">
        <f ca="1">SUMIF('2. Exited'!$D$1:$D$40,$D29,'2. Exited'!L$1:L$40)</f>
        <v>24.959693000000001</v>
      </c>
      <c r="H29" s="128">
        <f>SUMIF('2. Exited'!$D$1:$D$40,$D29,'2. Exited'!M$1:M$40)</f>
        <v>0</v>
      </c>
      <c r="I29" s="128">
        <f>SUMIF('2. Exited'!$D$1:$D$40,$D29,'2. Exited'!N$1:N$40)</f>
        <v>25.403521350000002</v>
      </c>
      <c r="J29" s="128">
        <f>SUMIF('2. Exited'!$D$1:$D$40,$D29,'2. Exited'!O$1:O$40)</f>
        <v>0</v>
      </c>
      <c r="K29" s="128">
        <f ca="1">SUMIF('2. Exited'!$D$1:$D$40,$D29,'2. Exited'!P$1:P$40)</f>
        <v>0.44382835000000043</v>
      </c>
      <c r="L29" s="155">
        <f ca="1">IFERROR((I29+J29)/G29,"")</f>
        <v>1.0177818032457371</v>
      </c>
      <c r="M29" s="129">
        <f ca="1">IFERROR(I29/G29,"")</f>
        <v>1.0177818032457371</v>
      </c>
      <c r="N29" s="82"/>
    </row>
    <row r="30" spans="2:14" x14ac:dyDescent="0.25">
      <c r="B30" s="81"/>
      <c r="D30" s="564"/>
      <c r="E30" s="27"/>
      <c r="N30" s="82"/>
    </row>
    <row r="31" spans="2:14" x14ac:dyDescent="0.25">
      <c r="B31" s="81"/>
      <c r="C31" s="26" t="s">
        <v>167</v>
      </c>
      <c r="D31" s="568"/>
      <c r="E31" s="151">
        <f t="shared" ref="E31:K31" si="1">E25+E27+E29</f>
        <v>11</v>
      </c>
      <c r="F31" s="128">
        <f t="shared" ca="1" si="1"/>
        <v>1454.7904233984773</v>
      </c>
      <c r="G31" s="128">
        <f t="shared" ca="1" si="1"/>
        <v>1429.7501163984773</v>
      </c>
      <c r="H31" s="128">
        <f t="shared" ca="1" si="1"/>
        <v>0</v>
      </c>
      <c r="I31" s="128">
        <f t="shared" ca="1" si="1"/>
        <v>1269.1164985299999</v>
      </c>
      <c r="J31" s="128">
        <f t="shared" si="1"/>
        <v>0</v>
      </c>
      <c r="K31" s="128">
        <f t="shared" ca="1" si="1"/>
        <v>-160.63361786847744</v>
      </c>
      <c r="L31" s="155">
        <f ca="1">IFERROR((I31+J31)/G31,"")</f>
        <v>0.88764916608427247</v>
      </c>
      <c r="M31" s="129">
        <f ca="1">IFERROR(I31/G31,"")</f>
        <v>0.88764916608427247</v>
      </c>
      <c r="N31" s="82"/>
    </row>
    <row r="32" spans="2:14" ht="15.75" thickBot="1" x14ac:dyDescent="0.3">
      <c r="B32" s="148"/>
      <c r="C32" s="149"/>
      <c r="D32" s="569"/>
      <c r="E32" s="149"/>
      <c r="F32" s="189"/>
      <c r="G32" s="149"/>
      <c r="H32" s="149"/>
      <c r="I32" s="149"/>
      <c r="J32" s="149"/>
      <c r="K32" s="149"/>
      <c r="L32" s="149"/>
      <c r="M32" s="149"/>
      <c r="N32" s="150"/>
    </row>
    <row r="33" spans="2:11" s="153" customFormat="1" x14ac:dyDescent="0.25">
      <c r="C33" s="122"/>
      <c r="D33" s="570"/>
    </row>
    <row r="34" spans="2:11" x14ac:dyDescent="0.25">
      <c r="B34" s="549" t="s">
        <v>660</v>
      </c>
    </row>
    <row r="36" spans="2:11" x14ac:dyDescent="0.25">
      <c r="C36" s="26"/>
      <c r="E36" s="190" t="s">
        <v>656</v>
      </c>
      <c r="F36" s="190" t="b">
        <f ca="1">ROUND(F17,5)=ROUND('1. Live'!K44,5)</f>
        <v>1</v>
      </c>
      <c r="G36" s="190" t="b">
        <f ca="1">ROUND(G17,5)=ROUND('1. Live'!L44,5)</f>
        <v>1</v>
      </c>
      <c r="H36" s="190" t="b">
        <f ca="1">ROUND(H17,5)=ROUND('1. Live'!M44,5)</f>
        <v>1</v>
      </c>
      <c r="I36" s="190" t="b">
        <f ca="1">ROUND(I17,5)=ROUND('1. Live'!N44,5)</f>
        <v>1</v>
      </c>
      <c r="J36" s="190" t="b">
        <f ca="1">ROUND(J17,5)=ROUND('1. Live'!O44,5)</f>
        <v>1</v>
      </c>
      <c r="K36" s="190" t="b">
        <f ca="1">ROUND(K17,5)=ROUND('1. Live'!P44,5)</f>
        <v>1</v>
      </c>
    </row>
    <row r="37" spans="2:11" x14ac:dyDescent="0.25">
      <c r="F37" s="190" t="b">
        <f ca="1">F31='2. Exited'!K35</f>
        <v>1</v>
      </c>
      <c r="G37" s="190" t="b">
        <f ca="1">G31='2. Exited'!L35</f>
        <v>1</v>
      </c>
      <c r="H37" s="190" t="b">
        <f ca="1">H31='2. Exited'!M35</f>
        <v>1</v>
      </c>
      <c r="I37" s="190" t="b">
        <f ca="1">I31='2. Exited'!N35</f>
        <v>1</v>
      </c>
      <c r="J37" s="190" t="b">
        <f>J31='2. Exited'!O35</f>
        <v>1</v>
      </c>
      <c r="K37" s="190" t="b">
        <f ca="1">K31='2. Exited'!P35</f>
        <v>1</v>
      </c>
    </row>
    <row r="38" spans="2:11" x14ac:dyDescent="0.25">
      <c r="F38" s="190" t="b">
        <v>1</v>
      </c>
      <c r="G38" s="190" t="b">
        <v>1</v>
      </c>
      <c r="H38" s="190" t="b">
        <v>1</v>
      </c>
      <c r="I38" s="190" t="b">
        <v>1</v>
      </c>
      <c r="J38" s="190" t="b">
        <v>1</v>
      </c>
      <c r="K38" s="190" t="b">
        <v>1</v>
      </c>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52"/>
  <sheetViews>
    <sheetView showGridLines="0" view="pageBreakPreview" zoomScale="80" zoomScaleNormal="60" zoomScaleSheetLayoutView="80" workbookViewId="0">
      <selection activeCell="C12" sqref="C12"/>
    </sheetView>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5.85546875" style="27" customWidth="1"/>
    <col min="10" max="10" width="12.5703125" style="27" customWidth="1"/>
    <col min="11" max="12" width="15.140625" style="27" customWidth="1"/>
    <col min="13" max="16" width="17.5703125" style="27" customWidth="1"/>
    <col min="17" max="17" width="17.5703125" style="27" hidden="1" customWidth="1"/>
    <col min="18" max="18" width="17.5703125" style="95" customWidth="1"/>
    <col min="19" max="19" width="25.5703125" style="27" bestFit="1" customWidth="1"/>
    <col min="20" max="20" width="3" style="26" customWidth="1"/>
    <col min="21" max="21" width="6.28515625" style="26" customWidth="1"/>
    <col min="22" max="16384" width="9.140625" style="26"/>
  </cols>
  <sheetData>
    <row r="1" spans="2:20" ht="21.75" customHeight="1" thickBot="1" x14ac:dyDescent="0.3">
      <c r="C1" s="159"/>
      <c r="D1" s="159"/>
    </row>
    <row r="2" spans="2:20" ht="15.75" thickBot="1" x14ac:dyDescent="0.3">
      <c r="C2" s="185" t="s">
        <v>170</v>
      </c>
      <c r="D2" s="186">
        <f>'D1'!D2</f>
        <v>45565</v>
      </c>
      <c r="F2" s="26"/>
      <c r="G2" s="26"/>
      <c r="H2" s="26"/>
      <c r="I2" s="26"/>
      <c r="J2" s="26"/>
      <c r="K2" s="26"/>
      <c r="L2" s="26"/>
      <c r="M2" s="26"/>
      <c r="N2" s="26"/>
      <c r="O2" s="26"/>
      <c r="P2" s="26"/>
      <c r="Q2" s="26"/>
      <c r="R2" s="26"/>
      <c r="S2" s="26"/>
    </row>
    <row r="3" spans="2:20" ht="21.75" customHeight="1" thickBot="1" x14ac:dyDescent="0.3">
      <c r="C3" s="159"/>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6"/>
      <c r="C5" s="237"/>
      <c r="D5" s="237"/>
      <c r="E5" s="238">
        <v>2</v>
      </c>
      <c r="F5" s="238">
        <v>3</v>
      </c>
      <c r="G5" s="238">
        <v>4</v>
      </c>
      <c r="H5" s="238">
        <v>5</v>
      </c>
      <c r="I5" s="238">
        <v>6</v>
      </c>
      <c r="J5" s="238">
        <v>7</v>
      </c>
      <c r="K5" s="238">
        <v>8</v>
      </c>
      <c r="L5" s="238">
        <v>9</v>
      </c>
      <c r="M5" s="238">
        <v>10</v>
      </c>
      <c r="N5" s="238">
        <v>11</v>
      </c>
      <c r="O5" s="238">
        <v>12</v>
      </c>
      <c r="P5" s="238">
        <v>13</v>
      </c>
      <c r="Q5" s="238"/>
      <c r="R5" s="238">
        <v>14</v>
      </c>
      <c r="S5" s="238">
        <v>15</v>
      </c>
      <c r="T5" s="239"/>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408</v>
      </c>
      <c r="R6" s="1" t="s">
        <v>34</v>
      </c>
      <c r="S6" s="1" t="s">
        <v>448</v>
      </c>
      <c r="T6" s="79"/>
    </row>
    <row r="7" spans="2:20" x14ac:dyDescent="0.25">
      <c r="B7" s="81"/>
      <c r="C7" s="5"/>
      <c r="D7" s="5"/>
      <c r="E7" s="8"/>
      <c r="F7" s="8"/>
      <c r="G7" s="8"/>
      <c r="H7" s="8"/>
      <c r="I7" s="8" t="s">
        <v>84</v>
      </c>
      <c r="J7" s="8" t="s">
        <v>53</v>
      </c>
      <c r="K7" s="8" t="s">
        <v>273</v>
      </c>
      <c r="L7" s="8" t="s">
        <v>273</v>
      </c>
      <c r="M7" s="8" t="s">
        <v>273</v>
      </c>
      <c r="N7" s="8" t="s">
        <v>273</v>
      </c>
      <c r="O7" s="8" t="s">
        <v>273</v>
      </c>
      <c r="P7" s="8" t="s">
        <v>273</v>
      </c>
      <c r="Q7" s="8"/>
      <c r="R7" s="12" t="s">
        <v>274</v>
      </c>
      <c r="S7" s="8"/>
      <c r="T7" s="82"/>
    </row>
    <row r="8" spans="2:20" x14ac:dyDescent="0.25">
      <c r="B8" s="81"/>
      <c r="C8" s="514" t="s">
        <v>604</v>
      </c>
      <c r="D8" s="424"/>
      <c r="E8" s="425"/>
      <c r="F8" s="425"/>
      <c r="G8" s="425"/>
      <c r="H8" s="425"/>
      <c r="I8" s="426"/>
      <c r="J8" s="427"/>
      <c r="K8" s="428"/>
      <c r="L8" s="428"/>
      <c r="M8" s="428"/>
      <c r="N8" s="428"/>
      <c r="O8" s="428"/>
      <c r="P8" s="428"/>
      <c r="Q8" s="428"/>
      <c r="R8" s="429"/>
      <c r="S8" s="425"/>
      <c r="T8" s="82"/>
    </row>
    <row r="9" spans="2:20" ht="17.25" x14ac:dyDescent="0.25">
      <c r="B9" s="81"/>
      <c r="C9" s="4" t="s">
        <v>420</v>
      </c>
      <c r="D9" s="44" t="s">
        <v>292</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434</v>
      </c>
      <c r="T9" s="82"/>
    </row>
    <row r="10" spans="2:20" x14ac:dyDescent="0.25">
      <c r="B10" s="81"/>
      <c r="C10" s="4" t="s">
        <v>409</v>
      </c>
      <c r="D10" s="44" t="s">
        <v>292</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118.21249999999999</v>
      </c>
      <c r="P10" s="17">
        <f ca="1">VLOOKUP($C10,'9. All deals (a)'!$C$6:$Q$49,P$5,0)</f>
        <v>118.205625</v>
      </c>
      <c r="Q10" s="17" t="s">
        <v>124</v>
      </c>
      <c r="R10" s="10" t="str">
        <f>VLOOKUP($C10,'9. All deals (a)'!$C$6:$Q$49,R$5,0)</f>
        <v>NM</v>
      </c>
      <c r="S10" s="2"/>
      <c r="T10" s="82"/>
    </row>
    <row r="11" spans="2:20" x14ac:dyDescent="0.25">
      <c r="B11" s="81"/>
      <c r="C11" s="4" t="s">
        <v>344</v>
      </c>
      <c r="D11" s="44" t="s">
        <v>292</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0" x14ac:dyDescent="0.25">
      <c r="B12" s="81"/>
      <c r="C12" s="4" t="s">
        <v>275</v>
      </c>
      <c r="D12" s="44" t="s">
        <v>292</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row>
    <row r="13" spans="2:20" x14ac:dyDescent="0.25">
      <c r="B13" s="81"/>
      <c r="C13" s="4" t="s">
        <v>246</v>
      </c>
      <c r="D13" s="44" t="s">
        <v>292</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row>
    <row r="14" spans="2:20" x14ac:dyDescent="0.25">
      <c r="B14" s="81"/>
      <c r="C14" s="4" t="s">
        <v>40</v>
      </c>
      <c r="D14" s="44" t="s">
        <v>292</v>
      </c>
      <c r="E14" s="2" t="str">
        <f>VLOOKUP($C14,'9. All deals (a)'!$C$6:$Q$49,E$5,0)</f>
        <v>Unrealized</v>
      </c>
      <c r="F14" s="2" t="str">
        <f>VLOOKUP($C14,'9. All deals (a)'!$C$6:$Q$49,F$5,0)</f>
        <v>Ignasi</v>
      </c>
      <c r="G14" s="2" t="str">
        <f>VLOOKUP($C14,'9. All deals (a)'!$C$6:$Q$49,G$5,0)</f>
        <v>Mozn</v>
      </c>
      <c r="H14" s="6">
        <f>VLOOKUP($C14,'9. All deals (a)'!$C$6:$Q$49,H$5,0)</f>
        <v>2021</v>
      </c>
      <c r="I14" s="6" t="str">
        <f>VLOOKUP($C14,'9. All deals (a)'!$C$6:$Q$49,I$5,0)</f>
        <v>F Prefs</v>
      </c>
      <c r="J14" s="105">
        <f>VLOOKUP($C14,'9. All deals (a)'!$C$6:$Q$49,J$5,0)</f>
        <v>9.117206771726628E-3</v>
      </c>
      <c r="K14" s="17">
        <f ca="1">VLOOKUP($C14,'9. All deals (a)'!$C$6:$Q$49,K$5,0)</f>
        <v>39.999983359999995</v>
      </c>
      <c r="L14" s="17">
        <f ca="1">VLOOKUP($C14,'9. All deals (a)'!$C$6:$Q$49,L$5,0)</f>
        <v>39.999983359999995</v>
      </c>
      <c r="M14" s="17">
        <f>VLOOKUP($C14,'9. All deals (a)'!$C$6:$Q$49,M$5,0)</f>
        <v>0</v>
      </c>
      <c r="N14" s="17">
        <f ca="1">VLOOKUP($C14,'9. All deals (a)'!$C$6:$Q$49,N$5,0)</f>
        <v>0</v>
      </c>
      <c r="O14" s="17">
        <f>VLOOKUP($C14,'9. All deals (a)'!$C$6:$Q$49,O$5,0)</f>
        <v>21.135483260000001</v>
      </c>
      <c r="P14" s="17">
        <f ca="1">VLOOKUP($C14,'9. All deals (a)'!$C$6:$Q$49,P$5,0)</f>
        <v>-18.864500099999994</v>
      </c>
      <c r="Q14" s="17">
        <v>0</v>
      </c>
      <c r="R14" s="10">
        <f ca="1">VLOOKUP($C14,'9. All deals (a)'!$C$6:$Q$49,R$5,0)</f>
        <v>0.52838730130911749</v>
      </c>
      <c r="S14" s="2"/>
      <c r="T14" s="82"/>
    </row>
    <row r="15" spans="2:20" x14ac:dyDescent="0.25">
      <c r="B15" s="81"/>
      <c r="C15" s="4" t="s">
        <v>41</v>
      </c>
      <c r="D15" s="44" t="s">
        <v>292</v>
      </c>
      <c r="E15" s="2" t="str">
        <f>VLOOKUP($C15,'9. All deals (a)'!$C$6:$Q$49,E$5,0)</f>
        <v>Unrealized</v>
      </c>
      <c r="F15" s="2" t="str">
        <f>VLOOKUP($C15,'9. All deals (a)'!$C$6:$Q$49,F$5,0)</f>
        <v>Sushil</v>
      </c>
      <c r="G15" s="2" t="str">
        <f>VLOOKUP($C15,'9. All deals (a)'!$C$6:$Q$49,G$5,0)</f>
        <v>Mozn</v>
      </c>
      <c r="H15" s="6">
        <f>VLOOKUP($C15,'9. All deals (a)'!$C$6:$Q$49,H$5,0)</f>
        <v>2021</v>
      </c>
      <c r="I15" s="6" t="str">
        <f>VLOOKUP($C15,'9. All deals (a)'!$C$6:$Q$49,I$5,0)</f>
        <v>A Pref Units</v>
      </c>
      <c r="J15" s="105">
        <f>VLOOKUP($C15,'9. All deals (a)'!$C$6:$Q$49,J$5,0)</f>
        <v>0.16080402010050251</v>
      </c>
      <c r="K15" s="17">
        <f ca="1">VLOOKUP($C15,'9. All deals (a)'!$C$6:$Q$49,K$5,0)</f>
        <v>8</v>
      </c>
      <c r="L15" s="17">
        <f ca="1">VLOOKUP($C15,'9. All deals (a)'!$C$6:$Q$49,L$5,0)</f>
        <v>8</v>
      </c>
      <c r="M15" s="17">
        <f>VLOOKUP($C15,'9. All deals (a)'!$C$6:$Q$49,M$5,0)</f>
        <v>0</v>
      </c>
      <c r="N15" s="17">
        <f ca="1">VLOOKUP($C15,'9. All deals (a)'!$C$6:$Q$49,N$5,0)</f>
        <v>0</v>
      </c>
      <c r="O15" s="17">
        <f>VLOOKUP($C15,'9. All deals (a)'!$C$6:$Q$49,O$5,0)</f>
        <v>8</v>
      </c>
      <c r="P15" s="17">
        <f ca="1">VLOOKUP($C15,'9. All deals (a)'!$C$6:$Q$49,P$5,0)</f>
        <v>0</v>
      </c>
      <c r="Q15" s="17">
        <v>0</v>
      </c>
      <c r="R15" s="10">
        <f ca="1">VLOOKUP($C15,'9. All deals (a)'!$C$6:$Q$49,R$5,0)</f>
        <v>1</v>
      </c>
      <c r="S15" s="2"/>
      <c r="T15" s="82"/>
    </row>
    <row r="16" spans="2:20" x14ac:dyDescent="0.25">
      <c r="B16" s="81"/>
      <c r="C16" s="4" t="s">
        <v>9</v>
      </c>
      <c r="D16" s="44" t="s">
        <v>292</v>
      </c>
      <c r="E16" s="2" t="str">
        <f>VLOOKUP($C16,'9. All deals (a)'!$C$6:$Q$49,E$5,0)</f>
        <v>Unrealized</v>
      </c>
      <c r="F16" s="2" t="str">
        <f>VLOOKUP($C16,'9. All deals (a)'!$C$6:$Q$49,F$5,0)</f>
        <v>Elaine</v>
      </c>
      <c r="G16" s="2" t="str">
        <f>VLOOKUP($C16,'9. All deals (a)'!$C$6:$Q$49,G$5,0)</f>
        <v>Mozn</v>
      </c>
      <c r="H16" s="6">
        <f>VLOOKUP($C16,'9. All deals (a)'!$C$6:$Q$49,H$5,0)</f>
        <v>2020</v>
      </c>
      <c r="I16" s="6" t="str">
        <f>VLOOKUP($C16,'9. All deals (a)'!$C$6:$Q$49,I$5,0)</f>
        <v>Registered Capital</v>
      </c>
      <c r="J16" s="105">
        <f>VLOOKUP($C16,'9. All deals (a)'!$C$6:$Q$49,J$5,0)</f>
        <v>0.14380000000000001</v>
      </c>
      <c r="K16" s="17">
        <f ca="1">VLOOKUP($C16,'9. All deals (a)'!$C$6:$Q$49,K$5,0)</f>
        <v>60</v>
      </c>
      <c r="L16" s="17">
        <f ca="1">VLOOKUP($C16,'9. All deals (a)'!$C$6:$Q$49,L$5,0)</f>
        <v>60</v>
      </c>
      <c r="M16" s="17">
        <f>VLOOKUP($C16,'9. All deals (a)'!$C$6:$Q$49,M$5,0)</f>
        <v>0</v>
      </c>
      <c r="N16" s="17">
        <f ca="1">VLOOKUP($C16,'9. All deals (a)'!$C$6:$Q$49,N$5,0)</f>
        <v>0</v>
      </c>
      <c r="O16" s="17">
        <f>VLOOKUP($C16,'9. All deals (a)'!$C$6:$Q$49,O$5,0)</f>
        <v>153.73258334414044</v>
      </c>
      <c r="P16" s="17">
        <f ca="1">VLOOKUP($C16,'9. All deals (a)'!$C$6:$Q$49,P$5,0)</f>
        <v>93.732583344140437</v>
      </c>
      <c r="Q16" s="17">
        <v>96.4</v>
      </c>
      <c r="R16" s="10">
        <f ca="1">VLOOKUP($C16,'9. All deals (a)'!$C$6:$Q$49,R$5,0)</f>
        <v>2.5622097224023408</v>
      </c>
      <c r="S16" s="2"/>
      <c r="T16" s="82"/>
    </row>
    <row r="17" spans="2:20" x14ac:dyDescent="0.25">
      <c r="B17" s="81"/>
      <c r="C17" s="4" t="s">
        <v>37</v>
      </c>
      <c r="D17" s="44" t="s">
        <v>292</v>
      </c>
      <c r="E17" s="2" t="str">
        <f>VLOOKUP($C17,'9. All deals (a)'!$C$6:$Q$49,E$5,0)</f>
        <v>Unrealized</v>
      </c>
      <c r="F17" s="2" t="str">
        <f>VLOOKUP($C17,'9. All deals (a)'!$C$6:$Q$49,F$5,0)</f>
        <v>Divyesh</v>
      </c>
      <c r="G17" s="2" t="str">
        <f>VLOOKUP($C17,'9. All deals (a)'!$C$6:$Q$49,G$5,0)</f>
        <v>Mozn</v>
      </c>
      <c r="H17" s="6">
        <f>VLOOKUP($C17,'9. All deals (a)'!$C$6:$Q$49,H$5,0)</f>
        <v>2020</v>
      </c>
      <c r="I17" s="6" t="str">
        <f>VLOOKUP($C17,'9. All deals (a)'!$C$6:$Q$49,I$5,0)</f>
        <v>C Prefs</v>
      </c>
      <c r="J17" s="105">
        <f>VLOOKUP($C17,'9. All deals (a)'!$C$6:$Q$49,J$5,0)</f>
        <v>9.4347728005070269E-2</v>
      </c>
      <c r="K17" s="17">
        <f ca="1">VLOOKUP($C17,'9. All deals (a)'!$C$6:$Q$49,K$5,0)</f>
        <v>90</v>
      </c>
      <c r="L17" s="17">
        <f ca="1">VLOOKUP($C17,'9. All deals (a)'!$C$6:$Q$49,L$5,0)</f>
        <v>90</v>
      </c>
      <c r="M17" s="17">
        <f>VLOOKUP($C17,'9. All deals (a)'!$C$6:$Q$49,M$5,0)</f>
        <v>0</v>
      </c>
      <c r="N17" s="17">
        <f ca="1">VLOOKUP($C17,'9. All deals (a)'!$C$6:$Q$49,N$5,0)</f>
        <v>0</v>
      </c>
      <c r="O17" s="17">
        <f>VLOOKUP($C17,'9. All deals (a)'!$C$6:$Q$49,O$5,0)</f>
        <v>45.500770150000008</v>
      </c>
      <c r="P17" s="17">
        <f ca="1">VLOOKUP($C17,'9. All deals (a)'!$C$6:$Q$49,P$5,0)</f>
        <v>-44.499229849999992</v>
      </c>
      <c r="Q17" s="17">
        <v>1.042</v>
      </c>
      <c r="R17" s="10">
        <f ca="1">VLOOKUP($C17,'9. All deals (a)'!$C$6:$Q$49,R$5,0)</f>
        <v>0.50556411277777791</v>
      </c>
      <c r="S17" s="2"/>
      <c r="T17" s="82"/>
    </row>
    <row r="18" spans="2:20" x14ac:dyDescent="0.25">
      <c r="B18" s="81"/>
      <c r="C18" s="4" t="s">
        <v>87</v>
      </c>
      <c r="D18" s="44" t="s">
        <v>292</v>
      </c>
      <c r="E18" s="2" t="str">
        <f>VLOOKUP($C18,'9. All deals (a)'!$C$6:$Q$49,E$5,0)</f>
        <v>Unrealized</v>
      </c>
      <c r="F18" s="2" t="str">
        <f>VLOOKUP($C18,'9. All deals (a)'!$C$6:$Q$49,F$5,0)</f>
        <v>Divyesh</v>
      </c>
      <c r="G18" s="2" t="str">
        <f>VLOOKUP($C18,'9. All deals (a)'!$C$6:$Q$49,G$5,0)</f>
        <v>Mozn</v>
      </c>
      <c r="H18" s="6">
        <f>VLOOKUP($C18,'9. All deals (a)'!$C$6:$Q$49,H$5,0)</f>
        <v>2020</v>
      </c>
      <c r="I18" s="6" t="str">
        <f>VLOOKUP($C18,'9. All deals (a)'!$C$6:$Q$49,I$5,0)</f>
        <v>Ordinary Shares</v>
      </c>
      <c r="J18" s="105">
        <f>VLOOKUP($C18,'9. All deals (a)'!$C$6:$Q$49,J$5,0)</f>
        <v>4.7112658862960358E-2</v>
      </c>
      <c r="K18" s="17">
        <f ca="1">VLOOKUP($C18,'9. All deals (a)'!$C$6:$Q$49,K$5,0)</f>
        <v>141.4702596743665</v>
      </c>
      <c r="L18" s="17">
        <f ca="1">VLOOKUP($C18,'9. All deals (a)'!$C$6:$Q$49,L$5,0)</f>
        <v>141.4702596743665</v>
      </c>
      <c r="M18" s="17">
        <f>VLOOKUP($C18,'9. All deals (a)'!$C$6:$Q$49,M$5,0)</f>
        <v>0</v>
      </c>
      <c r="N18" s="17">
        <f ca="1">VLOOKUP($C18,'9. All deals (a)'!$C$6:$Q$49,N$5,0)</f>
        <v>0</v>
      </c>
      <c r="O18" s="17">
        <f>VLOOKUP($C18,'9. All deals (a)'!$C$6:$Q$49,O$5,0)</f>
        <v>94.332808617835184</v>
      </c>
      <c r="P18" s="17">
        <f ca="1">VLOOKUP($C18,'9. All deals (a)'!$C$6:$Q$49,P$5,0)</f>
        <v>-47.137451056531319</v>
      </c>
      <c r="Q18" s="17">
        <v>-9.8450000000000006</v>
      </c>
      <c r="R18" s="10">
        <f ca="1">VLOOKUP($C18,'9. All deals (a)'!$C$6:$Q$49,R$5,0)</f>
        <v>0.66680310642652818</v>
      </c>
      <c r="S18" s="2"/>
      <c r="T18" s="82"/>
    </row>
    <row r="19" spans="2:20" ht="17.25" x14ac:dyDescent="0.25">
      <c r="B19" s="81"/>
      <c r="C19" s="4" t="s">
        <v>38</v>
      </c>
      <c r="D19" s="44" t="s">
        <v>292</v>
      </c>
      <c r="E19" s="2" t="str">
        <f>VLOOKUP($C19,'9. All deals (a)'!$C$6:$Q$49,E$5,0)</f>
        <v>Unrealized</v>
      </c>
      <c r="F19" s="2" t="str">
        <f>VLOOKUP($C19,'9. All deals (a)'!$C$6:$Q$49,F$5,0)</f>
        <v>Sushil</v>
      </c>
      <c r="G19" s="2" t="str">
        <f>VLOOKUP($C19,'9. All deals (a)'!$C$6:$Q$49,G$5,0)</f>
        <v>Mozn</v>
      </c>
      <c r="H19" s="6">
        <f>VLOOKUP($C19,'9. All deals (a)'!$C$6:$Q$49,H$5,0)</f>
        <v>2019</v>
      </c>
      <c r="I19" s="6" t="str">
        <f>VLOOKUP($C19,'9. All deals (a)'!$C$6:$Q$49,I$5,0)</f>
        <v>B-1,2 Prefs</v>
      </c>
      <c r="J19" s="105">
        <f>VLOOKUP($C19,'9. All deals (a)'!$C$6:$Q$49,J$5,0)</f>
        <v>4.1582449367391403E-2</v>
      </c>
      <c r="K19" s="17">
        <f ca="1">VLOOKUP($C19,'9. All deals (a)'!$C$6:$Q$49,K$5,0)</f>
        <v>10</v>
      </c>
      <c r="L19" s="17">
        <f ca="1">VLOOKUP($C19,'9. All deals (a)'!$C$6:$Q$49,L$5,0)</f>
        <v>10</v>
      </c>
      <c r="M19" s="17">
        <f>VLOOKUP($C19,'9. All deals (a)'!$C$6:$Q$49,M$5,0)</f>
        <v>0</v>
      </c>
      <c r="N19" s="17">
        <f ca="1">VLOOKUP($C19,'9. All deals (a)'!$C$6:$Q$49,N$5,0)</f>
        <v>0</v>
      </c>
      <c r="O19" s="17">
        <f>VLOOKUP($C19,'9. All deals (a)'!$C$6:$Q$49,O$5,0)</f>
        <v>37.118730497400001</v>
      </c>
      <c r="P19" s="17">
        <f ca="1">VLOOKUP($C19,'9. All deals (a)'!$C$6:$Q$49,P$5,0)</f>
        <v>27.118730497400001</v>
      </c>
      <c r="Q19" s="17">
        <v>68.099999999999994</v>
      </c>
      <c r="R19" s="10">
        <f ca="1">VLOOKUP($C19,'9. All deals (a)'!$C$6:$Q$49,R$5,0)</f>
        <v>3.7118730497400003</v>
      </c>
      <c r="S19" s="2" t="s">
        <v>144</v>
      </c>
      <c r="T19" s="82"/>
    </row>
    <row r="20" spans="2:20" x14ac:dyDescent="0.25">
      <c r="B20" s="81"/>
      <c r="C20" s="5"/>
      <c r="D20" s="13"/>
      <c r="E20" s="7"/>
      <c r="F20" s="7"/>
      <c r="G20" s="7"/>
      <c r="H20" s="7"/>
      <c r="I20" s="14"/>
      <c r="J20" s="206"/>
      <c r="K20" s="24"/>
      <c r="L20" s="24"/>
      <c r="M20" s="24"/>
      <c r="N20" s="24"/>
      <c r="O20" s="24"/>
      <c r="P20" s="24"/>
      <c r="Q20" s="24"/>
      <c r="R20" s="15"/>
      <c r="S20" s="219"/>
      <c r="T20" s="82"/>
    </row>
    <row r="21" spans="2:20" x14ac:dyDescent="0.25">
      <c r="B21" s="81"/>
      <c r="C21" s="9"/>
      <c r="D21" s="9"/>
      <c r="E21" s="9"/>
      <c r="F21" s="9"/>
      <c r="G21" s="9"/>
      <c r="H21" s="9"/>
      <c r="I21" s="9"/>
      <c r="J21" s="108"/>
      <c r="K21" s="18">
        <f ca="1">SUM(K9:K19)</f>
        <v>400.47711697436648</v>
      </c>
      <c r="L21" s="18">
        <f ca="1">SUM(L9:L19)</f>
        <v>396.97711697436648</v>
      </c>
      <c r="M21" s="18">
        <f ca="1">SUM(M9:M19)</f>
        <v>3.5</v>
      </c>
      <c r="N21" s="18">
        <f ca="1">SUM(N9:N19)</f>
        <v>0</v>
      </c>
      <c r="O21" s="18">
        <f ca="1">SUM(O9:O19)</f>
        <v>531.42099634937551</v>
      </c>
      <c r="P21" s="18">
        <f ca="1">O21+N21-L21</f>
        <v>134.44387937500903</v>
      </c>
      <c r="Q21" s="18">
        <f>SUM(Q9:Q19)</f>
        <v>155.697</v>
      </c>
      <c r="R21" s="11">
        <f ca="1">(N21+O21)/L21</f>
        <v>1.3386690910541585</v>
      </c>
      <c r="S21" s="9"/>
      <c r="T21" s="82"/>
    </row>
    <row r="22" spans="2:20" x14ac:dyDescent="0.25">
      <c r="B22" s="81"/>
      <c r="C22" s="181"/>
      <c r="D22" s="181"/>
      <c r="E22" s="181"/>
      <c r="F22" s="181"/>
      <c r="G22" s="181"/>
      <c r="H22" s="181"/>
      <c r="I22" s="181"/>
      <c r="J22" s="107"/>
      <c r="M22" s="182"/>
      <c r="R22" s="183"/>
      <c r="S22" s="181"/>
      <c r="T22" s="82"/>
    </row>
    <row r="23" spans="2:20" x14ac:dyDescent="0.25">
      <c r="B23" s="81"/>
      <c r="C23" s="514" t="s">
        <v>605</v>
      </c>
      <c r="D23" s="424"/>
      <c r="E23" s="425"/>
      <c r="F23" s="425"/>
      <c r="G23" s="425"/>
      <c r="H23" s="425"/>
      <c r="I23" s="426"/>
      <c r="J23" s="427"/>
      <c r="K23" s="428"/>
      <c r="L23" s="428"/>
      <c r="M23" s="428"/>
      <c r="N23" s="428"/>
      <c r="O23" s="428"/>
      <c r="P23" s="428"/>
      <c r="Q23" s="428"/>
      <c r="R23" s="429"/>
      <c r="S23" s="425"/>
      <c r="T23" s="82"/>
    </row>
    <row r="24" spans="2:20" ht="17.25" x14ac:dyDescent="0.25">
      <c r="B24" s="81"/>
      <c r="C24" s="4" t="s">
        <v>19</v>
      </c>
      <c r="D24" s="44" t="s">
        <v>292</v>
      </c>
      <c r="E24" s="2" t="str">
        <f>VLOOKUP($C24,'9. All deals (a)'!$C$6:$Q$49,E$5,0)</f>
        <v>Unrealized</v>
      </c>
      <c r="F24" s="2" t="str">
        <f>VLOOKUP($C24,'9. All deals (a)'!$C$6:$Q$49,F$5,0)</f>
        <v>Anton</v>
      </c>
      <c r="G24" s="2" t="str">
        <f>VLOOKUP($C24,'9. All deals (a)'!$C$6:$Q$49,G$5,0)</f>
        <v>G42</v>
      </c>
      <c r="H24" s="6">
        <f>VLOOKUP($C24,'9. All deals (a)'!$C$6:$Q$49,H$5,0)</f>
        <v>2022</v>
      </c>
      <c r="I24" s="6" t="str">
        <f>VLOOKUP($C24,'9. All deals (a)'!$C$6:$Q$49,I$5,0)</f>
        <v>Equity-TBC</v>
      </c>
      <c r="J24" s="105">
        <f>VLOOKUP($C24,'9. All deals (a)'!$C$6:$Q$49,J$5,0)</f>
        <v>0.11141913554582343</v>
      </c>
      <c r="K24" s="17">
        <f ca="1">VLOOKUP($C24,'9. All deals (a)'!$C$6:$Q$49,K$5,0)</f>
        <v>300</v>
      </c>
      <c r="L24" s="17">
        <f ca="1">VLOOKUP($C24,'9. All deals (a)'!$C$6:$Q$49,L$5,0)</f>
        <v>300</v>
      </c>
      <c r="M24" s="17">
        <f>VLOOKUP($C24,'9. All deals (a)'!$C$6:$Q$49,M$5,0)</f>
        <v>0</v>
      </c>
      <c r="N24" s="17">
        <f ca="1">VLOOKUP($C24,'9. All deals (a)'!$C$6:$Q$49,N$5,0)</f>
        <v>0</v>
      </c>
      <c r="O24" s="17">
        <f>VLOOKUP($C24,'9. All deals (a)'!$C$6:$Q$49,O$5,0)</f>
        <v>204.6</v>
      </c>
      <c r="P24" s="17">
        <f ca="1">VLOOKUP($C24,'9. All deals (a)'!$C$6:$Q$49,P$5,0)</f>
        <v>-95.4</v>
      </c>
      <c r="Q24" s="17">
        <v>0</v>
      </c>
      <c r="R24" s="10">
        <f ca="1">VLOOKUP($C24,'9. All deals (a)'!$C$6:$Q$49,R$5,0)</f>
        <v>0.68199999999999994</v>
      </c>
      <c r="S24" s="102" t="s">
        <v>145</v>
      </c>
      <c r="T24" s="82"/>
    </row>
    <row r="25" spans="2:20" ht="17.25" x14ac:dyDescent="0.25">
      <c r="B25" s="81"/>
      <c r="C25" s="4" t="s">
        <v>88</v>
      </c>
      <c r="D25" s="44" t="s">
        <v>292</v>
      </c>
      <c r="E25" s="2" t="str">
        <f>VLOOKUP($C25,'9. All deals (a)'!$C$6:$Q$49,E$5,0)</f>
        <v>Unrealized</v>
      </c>
      <c r="F25" s="2" t="str">
        <f>VLOOKUP($C25,'9. All deals (a)'!$C$6:$Q$49,F$5,0)</f>
        <v>Divyesh</v>
      </c>
      <c r="G25" s="2" t="str">
        <f>VLOOKUP($C25,'9. All deals (a)'!$C$6:$Q$49,G$5,0)</f>
        <v>G42</v>
      </c>
      <c r="H25" s="6">
        <f>VLOOKUP($C25,'9. All deals (a)'!$C$6:$Q$49,H$5,0)</f>
        <v>2022</v>
      </c>
      <c r="I25" s="6" t="str">
        <f>VLOOKUP($C25,'9. All deals (a)'!$C$6:$Q$49,I$5,0)</f>
        <v>Ordinary Shares</v>
      </c>
      <c r="J25" s="105">
        <f>VLOOKUP($C25,'9. All deals (a)'!$C$6:$Q$49,J$5,0)</f>
        <v>2.134358174658308E-3</v>
      </c>
      <c r="K25" s="17">
        <f ca="1">VLOOKUP($C25,'9. All deals (a)'!$C$6:$Q$49,K$5,0)</f>
        <v>24.53125</v>
      </c>
      <c r="L25" s="17">
        <f ca="1">VLOOKUP($C25,'9. All deals (a)'!$C$6:$Q$49,L$5,0)</f>
        <v>24.53125</v>
      </c>
      <c r="M25" s="17">
        <f ca="1">VLOOKUP($C25,'9. All deals (a)'!$C$6:$Q$49,M$5,0)</f>
        <v>0</v>
      </c>
      <c r="N25" s="17">
        <f ca="1">VLOOKUP($C25,'9. All deals (a)'!$C$6:$Q$49,N$5,0)</f>
        <v>0</v>
      </c>
      <c r="O25" s="17">
        <f>VLOOKUP($C25,'9. All deals (a)'!$C$6:$Q$49,O$5,0)</f>
        <v>3.5222472049999998</v>
      </c>
      <c r="P25" s="17">
        <f ca="1">VLOOKUP($C25,'9. All deals (a)'!$C$6:$Q$49,P$5,0)</f>
        <v>-21.009002795000001</v>
      </c>
      <c r="Q25" s="17">
        <v>-1.3480000000000001</v>
      </c>
      <c r="R25" s="10">
        <f ca="1">VLOOKUP($C25,'9. All deals (a)'!$C$6:$Q$49,R$5,0)</f>
        <v>0.14358205166878979</v>
      </c>
      <c r="S25" s="102" t="s">
        <v>161</v>
      </c>
      <c r="T25" s="82"/>
    </row>
    <row r="26" spans="2:20" x14ac:dyDescent="0.25">
      <c r="B26" s="81"/>
      <c r="C26" s="4" t="s">
        <v>1</v>
      </c>
      <c r="D26" s="44" t="s">
        <v>294</v>
      </c>
      <c r="E26" s="2" t="str">
        <f>VLOOKUP($C26,'9. All deals (a)'!$C$6:$Q$49,E$5,0)</f>
        <v>Unrealized</v>
      </c>
      <c r="F26" s="2" t="str">
        <f>VLOOKUP($C26,'9. All deals (a)'!$C$6:$Q$49,F$5,0)</f>
        <v>Elaine</v>
      </c>
      <c r="G26" s="2" t="str">
        <f>VLOOKUP($C26,'9. All deals (a)'!$C$6:$Q$49,G$5,0)</f>
        <v>G42 Investments</v>
      </c>
      <c r="H26" s="6">
        <f>VLOOKUP($C26,'9. All deals (a)'!$C$6:$Q$49,H$5,0)</f>
        <v>2020</v>
      </c>
      <c r="I26" s="6" t="str">
        <f>VLOOKUP($C26,'9. All deals (a)'!$C$6:$Q$49,I$5,0)</f>
        <v xml:space="preserve">LP </v>
      </c>
      <c r="J26" s="105" t="str">
        <f>VLOOKUP($C26,'9. All deals (a)'!$C$6:$Q$49,J$5,0)</f>
        <v>n/a</v>
      </c>
      <c r="K26" s="17">
        <f ca="1">VLOOKUP($C26,'9. All deals (a)'!$C$6:$Q$49,K$5,0)</f>
        <v>83.630349999999979</v>
      </c>
      <c r="L26" s="17">
        <f ca="1">VLOOKUP($C26,'9. All deals (a)'!$C$6:$Q$49,L$5,0)</f>
        <v>83.270349999999979</v>
      </c>
      <c r="M26" s="17">
        <f>VLOOKUP($C26,'9. All deals (a)'!$C$6:$Q$49,M$5,0)</f>
        <v>0.36</v>
      </c>
      <c r="N26" s="17">
        <f>VLOOKUP($C26,'9. All deals (a)'!$C$6:$Q$49,N$5,0)</f>
        <v>7.8158709999999996</v>
      </c>
      <c r="O26" s="17">
        <f>VLOOKUP($C26,'9. All deals (a)'!$C$6:$Q$49,O$5,0)</f>
        <v>91.324445999999995</v>
      </c>
      <c r="P26" s="17">
        <f ca="1">VLOOKUP($C26,'9. All deals (a)'!$C$6:$Q$49,P$5,0)</f>
        <v>15.869967000000017</v>
      </c>
      <c r="Q26" s="17">
        <v>-0.30599999999999999</v>
      </c>
      <c r="R26" s="10">
        <f ca="1">VLOOKUP($C26,'9. All deals (a)'!$C$6:$Q$49,R$5,0)</f>
        <v>1.190583647120494</v>
      </c>
      <c r="S26" s="2"/>
      <c r="T26" s="82"/>
    </row>
    <row r="27" spans="2:20" x14ac:dyDescent="0.25">
      <c r="B27" s="81"/>
      <c r="C27" s="4" t="s">
        <v>118</v>
      </c>
      <c r="D27" s="44" t="s">
        <v>294</v>
      </c>
      <c r="E27" s="2" t="str">
        <f>VLOOKUP($C27,'9. All deals (a)'!$C$6:$Q$49,E$5,0)</f>
        <v>Unrealized</v>
      </c>
      <c r="F27" s="2" t="str">
        <f>VLOOKUP($C27,'9. All deals (a)'!$C$6:$Q$49,F$5,0)</f>
        <v>Sushil</v>
      </c>
      <c r="G27" s="2" t="str">
        <f>VLOOKUP($C27,'9. All deals (a)'!$C$6:$Q$49,G$5,0)</f>
        <v>G42 Investments</v>
      </c>
      <c r="H27" s="6">
        <f>VLOOKUP($C27,'9. All deals (a)'!$C$6:$Q$49,H$5,0)</f>
        <v>2020</v>
      </c>
      <c r="I27" s="6" t="str">
        <f>VLOOKUP($C27,'9. All deals (a)'!$C$6:$Q$49,I$5,0)</f>
        <v xml:space="preserve">LP </v>
      </c>
      <c r="J27" s="105" t="str">
        <f>VLOOKUP($C27,'9. All deals (a)'!$C$6:$Q$49,J$5,0)</f>
        <v>n/a</v>
      </c>
      <c r="K27" s="17">
        <f>VLOOKUP($C27,'9. All deals (a)'!$C$6:$Q$49,K$5,0)</f>
        <v>25.877846596949897</v>
      </c>
      <c r="L27" s="17">
        <f ca="1">VLOOKUP($C27,'9. All deals (a)'!$C$6:$Q$49,L$5,0)</f>
        <v>15.922439021640404</v>
      </c>
      <c r="M27" s="17">
        <f>VLOOKUP($C27,'9. All deals (a)'!$C$6:$Q$49,M$5,0)</f>
        <v>12.368992537830598</v>
      </c>
      <c r="N27" s="17">
        <f>VLOOKUP($C27,'9. All deals (a)'!$C$6:$Q$49,N$5,0)</f>
        <v>3.4194690781652</v>
      </c>
      <c r="O27" s="17">
        <f>VLOOKUP($C27,'9. All deals (a)'!$C$6:$Q$49,O$5,0)</f>
        <v>21.613971432657998</v>
      </c>
      <c r="P27" s="17">
        <f ca="1">VLOOKUP($C27,'9. All deals (a)'!$C$6:$Q$49,P$5,0)</f>
        <v>9.1110014891827937</v>
      </c>
      <c r="Q27" s="17">
        <v>5.4450000000000003</v>
      </c>
      <c r="R27" s="10">
        <f ca="1">VLOOKUP($C27,'9. All deals (a)'!$C$6:$Q$49,R$5,0)</f>
        <v>1.5722114229358899</v>
      </c>
      <c r="S27" s="2"/>
      <c r="T27" s="82"/>
    </row>
    <row r="28" spans="2:20" x14ac:dyDescent="0.25">
      <c r="B28" s="81"/>
      <c r="C28" s="4" t="s">
        <v>343</v>
      </c>
      <c r="D28" s="44" t="s">
        <v>294</v>
      </c>
      <c r="E28" s="2" t="str">
        <f>VLOOKUP($C28,'9. All deals (a)'!$C$6:$Q$49,E$5,0)</f>
        <v>Unrealized</v>
      </c>
      <c r="F28" s="2" t="str">
        <f>VLOOKUP($C28,'9. All deals (a)'!$C$6:$Q$49,F$5,0)</f>
        <v>Sushil</v>
      </c>
      <c r="G28" s="2" t="str">
        <f>VLOOKUP($C28,'9. All deals (a)'!$C$6:$Q$49,G$5,0)</f>
        <v>G42 Investments</v>
      </c>
      <c r="H28" s="6">
        <f>VLOOKUP($C28,'9. All deals (a)'!$C$6:$Q$49,H$5,0)</f>
        <v>2023</v>
      </c>
      <c r="I28" s="6" t="str">
        <f>VLOOKUP($C28,'9. All deals (a)'!$C$6:$Q$49,I$5,0)</f>
        <v xml:space="preserve">LP </v>
      </c>
      <c r="J28" s="105" t="str">
        <f>VLOOKUP($C28,'9. All deals (a)'!$C$6:$Q$49,J$5,0)</f>
        <v>n/a</v>
      </c>
      <c r="K28" s="17">
        <f>VLOOKUP($C28,'9. All deals (a)'!$C$6:$Q$49,K$5,0)</f>
        <v>2.7058823529411762</v>
      </c>
      <c r="L28" s="17">
        <f>VLOOKUP($C28,'9. All deals (a)'!$C$6:$Q$49,L$5,0)</f>
        <v>2.7058823529411762</v>
      </c>
      <c r="M28" s="17">
        <f>VLOOKUP($C28,'9. All deals (a)'!$C$6:$Q$49,M$5,0)</f>
        <v>0</v>
      </c>
      <c r="N28" s="17">
        <f>VLOOKUP($C28,'9. All deals (a)'!$C$6:$Q$49,N$5,0)</f>
        <v>0</v>
      </c>
      <c r="O28" s="17">
        <f ca="1">VLOOKUP($C28,'9. All deals (a)'!$C$6:$Q$49,O$5,0)</f>
        <v>3.673109615751482</v>
      </c>
      <c r="P28" s="17">
        <f ca="1">VLOOKUP($C28,'9. All deals (a)'!$C$6:$Q$49,P$5,0)</f>
        <v>0.9672272628103058</v>
      </c>
      <c r="Q28" s="17">
        <v>0</v>
      </c>
      <c r="R28" s="10">
        <f ca="1">VLOOKUP($C28,'9. All deals (a)'!$C$6:$Q$49,R$5,0)</f>
        <v>1.3574535536472869</v>
      </c>
      <c r="S28" s="94"/>
      <c r="T28" s="82"/>
    </row>
    <row r="29" spans="2:20" ht="17.25" x14ac:dyDescent="0.25">
      <c r="B29" s="81"/>
      <c r="C29" s="4" t="s">
        <v>164</v>
      </c>
      <c r="D29" s="44" t="s">
        <v>294</v>
      </c>
      <c r="E29" s="2" t="str">
        <f>VLOOKUP($C29,'9. All deals (a)'!$C$6:$Q$49,E$5,0)</f>
        <v>Unrealized</v>
      </c>
      <c r="F29" s="2" t="str">
        <f>VLOOKUP($C29,'9. All deals (a)'!$C$6:$Q$49,F$5,0)</f>
        <v>Divyesh</v>
      </c>
      <c r="G29" s="2" t="str">
        <f>VLOOKUP($C29,'9. All deals (a)'!$C$6:$Q$49,G$5,0)</f>
        <v>G42 Investments</v>
      </c>
      <c r="H29" s="6">
        <f>VLOOKUP($C29,'9. All deals (a)'!$C$6:$Q$49,H$5,0)</f>
        <v>2021</v>
      </c>
      <c r="I29" s="6" t="str">
        <f>VLOOKUP($C29,'9. All deals (a)'!$C$6:$Q$49,I$5,0)</f>
        <v xml:space="preserve">LP </v>
      </c>
      <c r="J29" s="105">
        <f>VLOOKUP($C29,'9. All deals (a)'!$C$6:$Q$49,J$5,0)</f>
        <v>0.33</v>
      </c>
      <c r="K29" s="17">
        <f>VLOOKUP($C29,'9. All deals (a)'!$C$6:$Q$49,K$5,0)</f>
        <v>17.112500000000001</v>
      </c>
      <c r="L29" s="17">
        <f ca="1">VLOOKUP($C29,'9. All deals (a)'!$C$6:$Q$49,L$5,0)</f>
        <v>14.0151375</v>
      </c>
      <c r="M29" s="17">
        <f ca="1">VLOOKUP($C29,'9. All deals (a)'!$C$6:$Q$49,M$5,0)</f>
        <v>3.0973625000000009</v>
      </c>
      <c r="N29" s="17">
        <f>VLOOKUP($C29,'9. All deals (a)'!$C$6:$Q$49,N$5,0)</f>
        <v>0</v>
      </c>
      <c r="O29" s="17">
        <f>VLOOKUP($C29,'9. All deals (a)'!$C$6:$Q$49,O$5,0)</f>
        <v>10.875211999999999</v>
      </c>
      <c r="P29" s="17">
        <f ca="1">VLOOKUP($C29,'9. All deals (a)'!$C$6:$Q$49,P$5,0)</f>
        <v>-3.1399255000000004</v>
      </c>
      <c r="Q29" s="17">
        <v>-0.30599999999999999</v>
      </c>
      <c r="R29" s="10">
        <f ca="1">VLOOKUP($C29,'9. All deals (a)'!$C$6:$Q$49,R$5,0)</f>
        <v>0.77596184839428084</v>
      </c>
      <c r="S29" s="2" t="s">
        <v>435</v>
      </c>
      <c r="T29" s="82"/>
    </row>
    <row r="30" spans="2:20" x14ac:dyDescent="0.25">
      <c r="B30" s="81"/>
      <c r="C30" s="4"/>
      <c r="D30" s="44"/>
      <c r="E30" s="2"/>
      <c r="F30" s="2"/>
      <c r="G30" s="2"/>
      <c r="H30" s="2"/>
      <c r="I30" s="6"/>
      <c r="J30" s="105"/>
      <c r="K30" s="17"/>
      <c r="L30" s="17"/>
      <c r="M30" s="17"/>
      <c r="N30" s="17"/>
      <c r="O30" s="17"/>
      <c r="P30" s="17"/>
      <c r="Q30" s="17"/>
      <c r="R30" s="10"/>
      <c r="S30" s="102"/>
      <c r="T30" s="82"/>
    </row>
    <row r="31" spans="2:20" s="85" customFormat="1" x14ac:dyDescent="0.25">
      <c r="B31" s="83"/>
      <c r="C31" s="9"/>
      <c r="D31" s="9"/>
      <c r="E31" s="9"/>
      <c r="F31" s="9"/>
      <c r="G31" s="9"/>
      <c r="H31" s="9"/>
      <c r="I31" s="9"/>
      <c r="J31" s="108"/>
      <c r="K31" s="18">
        <f ca="1">SUM(K24:K29)</f>
        <v>453.85782894989103</v>
      </c>
      <c r="L31" s="18">
        <f ca="1">SUM(L24:L29)</f>
        <v>440.44505887458155</v>
      </c>
      <c r="M31" s="18">
        <f ca="1">SUM(M24:M29)</f>
        <v>15.826355037830599</v>
      </c>
      <c r="N31" s="18">
        <f ca="1">SUM(N24:N29)</f>
        <v>11.2353400781652</v>
      </c>
      <c r="O31" s="18">
        <f ca="1">SUM(O24:O29)</f>
        <v>335.6089862534094</v>
      </c>
      <c r="P31" s="18">
        <f ca="1">O31+N31-L31</f>
        <v>-93.600732543006927</v>
      </c>
      <c r="Q31" s="18">
        <f>SUM(Q24:Q29)</f>
        <v>3.4850000000000003</v>
      </c>
      <c r="R31" s="11">
        <f ca="1">(N31+O31)/L31</f>
        <v>0.78748601974971844</v>
      </c>
      <c r="S31" s="9"/>
      <c r="T31" s="84"/>
    </row>
    <row r="32" spans="2:20" s="85" customFormat="1" x14ac:dyDescent="0.25">
      <c r="B32" s="83"/>
      <c r="C32" s="181"/>
      <c r="D32" s="181"/>
      <c r="E32" s="181"/>
      <c r="F32" s="181"/>
      <c r="G32" s="181"/>
      <c r="H32" s="181"/>
      <c r="I32" s="181"/>
      <c r="J32" s="107"/>
      <c r="K32" s="182"/>
      <c r="L32" s="182"/>
      <c r="M32" s="182"/>
      <c r="N32" s="182"/>
      <c r="O32" s="182"/>
      <c r="P32" s="182"/>
      <c r="Q32" s="182"/>
      <c r="R32" s="183"/>
      <c r="S32" s="181"/>
      <c r="T32" s="84"/>
    </row>
    <row r="33" spans="2:20" s="85" customFormat="1" x14ac:dyDescent="0.25">
      <c r="B33" s="83"/>
      <c r="C33" s="514" t="s">
        <v>608</v>
      </c>
      <c r="D33" s="424"/>
      <c r="E33" s="425"/>
      <c r="F33" s="425"/>
      <c r="G33" s="425"/>
      <c r="H33" s="425"/>
      <c r="I33" s="426"/>
      <c r="J33" s="427"/>
      <c r="K33" s="428"/>
      <c r="L33" s="428"/>
      <c r="M33" s="428"/>
      <c r="N33" s="428"/>
      <c r="O33" s="428"/>
      <c r="P33" s="428"/>
      <c r="Q33" s="428"/>
      <c r="R33" s="429"/>
      <c r="S33" s="425"/>
      <c r="T33" s="84"/>
    </row>
    <row r="34" spans="2:20" s="85" customFormat="1" x14ac:dyDescent="0.25">
      <c r="B34" s="83"/>
      <c r="C34" s="4" t="s">
        <v>602</v>
      </c>
      <c r="D34" s="44" t="s">
        <v>292</v>
      </c>
      <c r="E34" s="2" t="str">
        <f>VLOOKUP($C34,'9. All deals (a)'!$C$6:$Q$49,E$5,0)</f>
        <v>Unrealized</v>
      </c>
      <c r="F34" s="2" t="str">
        <f>VLOOKUP($C34,'9. All deals (a)'!$C$6:$Q$49,F$5,0)</f>
        <v>Divyesh</v>
      </c>
      <c r="G34" s="2" t="str">
        <f>VLOOKUP($C34,'9. All deals (a)'!$C$6:$Q$49,G$5,0)</f>
        <v>G42 Capital</v>
      </c>
      <c r="H34" s="6">
        <f>VLOOKUP($C34,'9. All deals (a)'!$C$6:$Q$49,H$5,0)</f>
        <v>2024</v>
      </c>
      <c r="I34" s="6" t="str">
        <f>VLOOKUP($C34,'9. All deals (a)'!$C$6:$Q$49,I$5,0)</f>
        <v>Convertible Note</v>
      </c>
      <c r="J34" s="105" t="str">
        <f>VLOOKUP($C34,'9. All deals (a)'!$C$6:$Q$49,J$5,0)</f>
        <v>n/a</v>
      </c>
      <c r="K34" s="17">
        <f ca="1">VLOOKUP($C34,'9. All deals (a)'!$C$6:$Q$49,K$5,0)</f>
        <v>20</v>
      </c>
      <c r="L34" s="17">
        <f ca="1">VLOOKUP($C34,'9. All deals (a)'!$C$6:$Q$49,L$5,0)</f>
        <v>20</v>
      </c>
      <c r="M34" s="17">
        <f ca="1">VLOOKUP($C34,'9. All deals (a)'!$C$6:$Q$49,M$5,0)</f>
        <v>0</v>
      </c>
      <c r="N34" s="17">
        <f>VLOOKUP($C34,'9. All deals (a)'!$C$6:$Q$49,N$5,0)</f>
        <v>0</v>
      </c>
      <c r="O34" s="17">
        <f>VLOOKUP($C34,'9. All deals (a)'!$C$6:$Q$49,O$5,0)</f>
        <v>20</v>
      </c>
      <c r="P34" s="17">
        <f ca="1">VLOOKUP($C34,'9. All deals (a)'!$C$6:$Q$49,P$5,0)</f>
        <v>0</v>
      </c>
      <c r="Q34" s="17">
        <v>0</v>
      </c>
      <c r="R34" s="10">
        <f ca="1">VLOOKUP($C34,'9. All deals (a)'!$C$6:$Q$49,R$5,0)</f>
        <v>1</v>
      </c>
      <c r="S34" s="102"/>
      <c r="T34" s="84"/>
    </row>
    <row r="35" spans="2:20" s="85" customFormat="1" x14ac:dyDescent="0.25">
      <c r="B35" s="83"/>
      <c r="C35" s="4" t="s">
        <v>676</v>
      </c>
      <c r="D35" s="44" t="s">
        <v>292</v>
      </c>
      <c r="E35" s="2" t="str">
        <f>VLOOKUP($C35,'9. All deals (a)'!$C$6:$Q$49,E$5,0)</f>
        <v>Unrealized</v>
      </c>
      <c r="F35" s="2" t="str">
        <f>VLOOKUP($C35,'9. All deals (a)'!$C$6:$Q$49,F$5,0)</f>
        <v>Divyesh</v>
      </c>
      <c r="G35" s="2" t="str">
        <f>VLOOKUP($C35,'9. All deals (a)'!$C$6:$Q$49,G$5,0)</f>
        <v>G42 Capital</v>
      </c>
      <c r="H35" s="6">
        <f>VLOOKUP($C35,'9. All deals (a)'!$C$6:$Q$49,H$5,0)</f>
        <v>2024</v>
      </c>
      <c r="I35" s="6" t="str">
        <f>VLOOKUP($C35,'9. All deals (a)'!$C$6:$Q$49,I$5,0)</f>
        <v>Convertible Debenture</v>
      </c>
      <c r="J35" s="105" t="str">
        <f>VLOOKUP($C35,'9. All deals (a)'!$C$6:$Q$49,J$5,0)</f>
        <v>n/a</v>
      </c>
      <c r="K35" s="17">
        <f>VLOOKUP($C35,'9. All deals (a)'!$C$6:$Q$49,K$5,0)</f>
        <v>10</v>
      </c>
      <c r="L35" s="17">
        <f ca="1">VLOOKUP($C35,'9. All deals (a)'!$C$6:$Q$49,L$5,0)</f>
        <v>10</v>
      </c>
      <c r="M35" s="17">
        <f ca="1">VLOOKUP($C35,'9. All deals (a)'!$C$6:$Q$49,M$5,0)</f>
        <v>0</v>
      </c>
      <c r="N35" s="17">
        <f>VLOOKUP($C35,'9. All deals (a)'!$C$6:$Q$49,N$5,0)</f>
        <v>0</v>
      </c>
      <c r="O35" s="17">
        <f>VLOOKUP($C35,'9. All deals (a)'!$C$6:$Q$49,O$5,0)</f>
        <v>10</v>
      </c>
      <c r="P35" s="17">
        <f ca="1">VLOOKUP($C35,'9. All deals (a)'!$C$6:$Q$49,P$5,0)</f>
        <v>0</v>
      </c>
      <c r="Q35" s="17">
        <v>0</v>
      </c>
      <c r="R35" s="10">
        <f ca="1">VLOOKUP($C35,'9. All deals (a)'!$C$6:$Q$49,R$5,0)</f>
        <v>1</v>
      </c>
      <c r="S35" s="102" t="str">
        <f>VLOOKUP($C35,'9. All deals (a)'!$C$6:$Q$49,S$5,0)</f>
        <v>Revenue linked RSUs</v>
      </c>
      <c r="T35" s="84"/>
    </row>
    <row r="36" spans="2:20" x14ac:dyDescent="0.25">
      <c r="B36" s="81"/>
      <c r="C36" s="5"/>
      <c r="D36" s="13"/>
      <c r="E36" s="7"/>
      <c r="F36" s="7"/>
      <c r="G36" s="7"/>
      <c r="H36" s="7"/>
      <c r="I36" s="14"/>
      <c r="J36" s="206"/>
      <c r="K36" s="24"/>
      <c r="L36" s="24"/>
      <c r="M36" s="24"/>
      <c r="N36" s="24"/>
      <c r="O36" s="24"/>
      <c r="P36" s="24"/>
      <c r="Q36" s="24"/>
      <c r="R36" s="15"/>
      <c r="S36" s="219"/>
      <c r="T36" s="82"/>
    </row>
    <row r="37" spans="2:20" s="85" customFormat="1" x14ac:dyDescent="0.25">
      <c r="B37" s="83"/>
      <c r="C37" s="9"/>
      <c r="D37" s="9"/>
      <c r="E37" s="9"/>
      <c r="F37" s="9"/>
      <c r="G37" s="9"/>
      <c r="H37" s="9"/>
      <c r="I37" s="9"/>
      <c r="J37" s="108"/>
      <c r="K37" s="18">
        <f ca="1">SUM(K34:K35)</f>
        <v>30</v>
      </c>
      <c r="L37" s="18">
        <f t="shared" ref="L37:Q37" ca="1" si="0">SUM(L34:L35)</f>
        <v>30</v>
      </c>
      <c r="M37" s="18">
        <f ca="1">SUM(M34:M35)</f>
        <v>0</v>
      </c>
      <c r="N37" s="18">
        <f t="shared" si="0"/>
        <v>0</v>
      </c>
      <c r="O37" s="18">
        <f t="shared" si="0"/>
        <v>30</v>
      </c>
      <c r="P37" s="18">
        <f t="shared" ca="1" si="0"/>
        <v>0</v>
      </c>
      <c r="Q37" s="18">
        <f t="shared" si="0"/>
        <v>0</v>
      </c>
      <c r="R37" s="11">
        <f ca="1">(N37+O37)/L37</f>
        <v>1</v>
      </c>
      <c r="S37" s="9"/>
      <c r="T37" s="84"/>
    </row>
    <row r="38" spans="2:20" s="85" customFormat="1" x14ac:dyDescent="0.25">
      <c r="B38" s="83"/>
      <c r="C38" s="181"/>
      <c r="D38" s="181"/>
      <c r="E38" s="181"/>
      <c r="F38" s="181"/>
      <c r="G38" s="181"/>
      <c r="H38" s="181"/>
      <c r="I38" s="181"/>
      <c r="J38" s="107"/>
      <c r="K38" s="182"/>
      <c r="L38" s="182"/>
      <c r="M38" s="182"/>
      <c r="N38" s="182"/>
      <c r="O38" s="182"/>
      <c r="P38" s="182"/>
      <c r="Q38" s="182"/>
      <c r="R38" s="183"/>
      <c r="S38" s="181"/>
      <c r="T38" s="84"/>
    </row>
    <row r="39" spans="2:20" s="85" customFormat="1" x14ac:dyDescent="0.25">
      <c r="B39" s="83"/>
      <c r="C39" s="514" t="s">
        <v>609</v>
      </c>
      <c r="D39" s="424"/>
      <c r="E39" s="425"/>
      <c r="F39" s="425"/>
      <c r="G39" s="425"/>
      <c r="H39" s="425"/>
      <c r="I39" s="426"/>
      <c r="J39" s="427"/>
      <c r="K39" s="428"/>
      <c r="L39" s="428"/>
      <c r="M39" s="428"/>
      <c r="N39" s="428"/>
      <c r="O39" s="428"/>
      <c r="P39" s="428"/>
      <c r="Q39" s="428"/>
      <c r="R39" s="429"/>
      <c r="S39" s="425"/>
      <c r="T39" s="84"/>
    </row>
    <row r="40" spans="2:20" ht="17.25" x14ac:dyDescent="0.25">
      <c r="B40" s="81"/>
      <c r="C40" s="4" t="s">
        <v>462</v>
      </c>
      <c r="D40" s="44" t="s">
        <v>292</v>
      </c>
      <c r="E40" s="2" t="str">
        <f>VLOOKUP($C40,'9. All deals (a)'!$C$6:$Q$49,E$5,0)</f>
        <v>Unrealized</v>
      </c>
      <c r="F40" s="2" t="str">
        <f>VLOOKUP($C40,'9. All deals (a)'!$C$6:$Q$49,F$5,0)</f>
        <v>Camillo</v>
      </c>
      <c r="G40" s="2" t="str">
        <f>VLOOKUP($C40,'9. All deals (a)'!$C$6:$Q$49,G$5,0)</f>
        <v>Core42 5</v>
      </c>
      <c r="H40" s="6">
        <f>VLOOKUP($C40,'9. All deals (a)'!$C$6:$Q$49,H$5,0)</f>
        <v>2024</v>
      </c>
      <c r="I40" s="6" t="str">
        <f>VLOOKUP($C40,'9. All deals (a)'!$C$6:$Q$49,I$5,0)</f>
        <v>Preferred Shares</v>
      </c>
      <c r="J40" s="105">
        <f>VLOOKUP($C40,'9. All deals (a)'!$C$6:$Q$49,J$5,0)</f>
        <v>0.25</v>
      </c>
      <c r="K40" s="17">
        <f ca="1">VLOOKUP($C40,'9. All deals (a)'!$C$6:$Q$49,K$5,0)</f>
        <v>2.75</v>
      </c>
      <c r="L40" s="17">
        <f ca="1">VLOOKUP($C40,'9. All deals (a)'!$C$6:$Q$49,L$5,0)</f>
        <v>2.5</v>
      </c>
      <c r="M40" s="17">
        <f ca="1">VLOOKUP($C40,'9. All deals (a)'!$C$6:$Q$49,M$5,0)</f>
        <v>0.25</v>
      </c>
      <c r="N40" s="17">
        <f>VLOOKUP($C40,'9. All deals (a)'!$C$6:$Q$49,N$5,0)</f>
        <v>0</v>
      </c>
      <c r="O40" s="17">
        <f ca="1">VLOOKUP($C40,'9. All deals (a)'!$C$6:$Q$49,O$5,0)</f>
        <v>2.5</v>
      </c>
      <c r="P40" s="17">
        <f ca="1">VLOOKUP($C40,'9. All deals (a)'!$C$6:$Q$49,P$5,0)</f>
        <v>0</v>
      </c>
      <c r="Q40" s="17">
        <v>0</v>
      </c>
      <c r="R40" s="10">
        <f ca="1">VLOOKUP($C40,'9. All deals (a)'!$C$6:$Q$49,R$5,0)</f>
        <v>1</v>
      </c>
      <c r="S40" s="2" t="s">
        <v>536</v>
      </c>
      <c r="T40" s="82"/>
    </row>
    <row r="41" spans="2:20" x14ac:dyDescent="0.25">
      <c r="B41" s="81"/>
      <c r="C41" s="5"/>
      <c r="D41" s="13"/>
      <c r="E41" s="7"/>
      <c r="F41" s="7"/>
      <c r="G41" s="7"/>
      <c r="H41" s="14"/>
      <c r="I41" s="14"/>
      <c r="J41" s="206"/>
      <c r="K41" s="24"/>
      <c r="L41" s="24"/>
      <c r="M41" s="24"/>
      <c r="N41" s="24"/>
      <c r="O41" s="24"/>
      <c r="P41" s="24"/>
      <c r="Q41" s="24"/>
      <c r="R41" s="15"/>
      <c r="S41" s="7"/>
      <c r="T41" s="82"/>
    </row>
    <row r="42" spans="2:20" s="85" customFormat="1" x14ac:dyDescent="0.25">
      <c r="B42" s="83"/>
      <c r="C42" s="9"/>
      <c r="D42" s="9"/>
      <c r="E42" s="9"/>
      <c r="F42" s="9"/>
      <c r="G42" s="9"/>
      <c r="H42" s="9"/>
      <c r="I42" s="9"/>
      <c r="J42" s="108"/>
      <c r="K42" s="18">
        <f t="shared" ref="K42:Q42" ca="1" si="1">SUM(K40)</f>
        <v>2.75</v>
      </c>
      <c r="L42" s="18">
        <f t="shared" ca="1" si="1"/>
        <v>2.5</v>
      </c>
      <c r="M42" s="18">
        <f ca="1">SUM(M40)</f>
        <v>0.25</v>
      </c>
      <c r="N42" s="18">
        <f t="shared" si="1"/>
        <v>0</v>
      </c>
      <c r="O42" s="18">
        <f t="shared" ca="1" si="1"/>
        <v>2.5</v>
      </c>
      <c r="P42" s="18">
        <f t="shared" ca="1" si="1"/>
        <v>0</v>
      </c>
      <c r="Q42" s="18">
        <f t="shared" si="1"/>
        <v>0</v>
      </c>
      <c r="R42" s="11">
        <f ca="1">(N42+O42)/L42</f>
        <v>1</v>
      </c>
      <c r="S42" s="9"/>
      <c r="T42" s="84"/>
    </row>
    <row r="43" spans="2:20" s="85" customFormat="1" x14ac:dyDescent="0.25">
      <c r="B43" s="83"/>
      <c r="C43" s="181"/>
      <c r="D43" s="181"/>
      <c r="E43" s="181"/>
      <c r="F43" s="181"/>
      <c r="G43" s="181"/>
      <c r="H43" s="181"/>
      <c r="I43" s="181"/>
      <c r="J43" s="107"/>
      <c r="K43" s="182"/>
      <c r="L43" s="182"/>
      <c r="M43" s="182"/>
      <c r="N43" s="182"/>
      <c r="O43" s="182"/>
      <c r="P43" s="182"/>
      <c r="Q43" s="182"/>
      <c r="R43" s="183"/>
      <c r="S43" s="181"/>
      <c r="T43" s="84"/>
    </row>
    <row r="44" spans="2:20" s="85" customFormat="1" x14ac:dyDescent="0.25">
      <c r="B44" s="83"/>
      <c r="C44" s="446"/>
      <c r="D44" s="446"/>
      <c r="E44" s="447"/>
      <c r="F44" s="447"/>
      <c r="G44" s="447"/>
      <c r="H44" s="447"/>
      <c r="I44" s="447"/>
      <c r="J44" s="508"/>
      <c r="K44" s="509">
        <f t="shared" ref="K44:Q44" ca="1" si="2">K21+K31+K37+K42</f>
        <v>887.08494592425745</v>
      </c>
      <c r="L44" s="509">
        <f t="shared" ca="1" si="2"/>
        <v>869.92217584894797</v>
      </c>
      <c r="M44" s="509">
        <f t="shared" ca="1" si="2"/>
        <v>19.576355037830599</v>
      </c>
      <c r="N44" s="509">
        <f t="shared" ca="1" si="2"/>
        <v>11.2353400781652</v>
      </c>
      <c r="O44" s="509">
        <f t="shared" ca="1" si="2"/>
        <v>899.52998260278491</v>
      </c>
      <c r="P44" s="509">
        <f t="shared" ca="1" si="2"/>
        <v>40.843146832002105</v>
      </c>
      <c r="Q44" s="509">
        <f t="shared" si="2"/>
        <v>159.18200000000002</v>
      </c>
      <c r="R44" s="510">
        <f ca="1">(N44+O44)/L44</f>
        <v>1.0469503456353941</v>
      </c>
      <c r="S44" s="447"/>
      <c r="T44" s="84"/>
    </row>
    <row r="45" spans="2:20" s="217" customFormat="1" ht="15.75" thickBot="1" x14ac:dyDescent="0.3">
      <c r="B45" s="210"/>
      <c r="C45" s="211"/>
      <c r="D45" s="211"/>
      <c r="E45" s="212"/>
      <c r="F45" s="212"/>
      <c r="G45" s="212"/>
      <c r="H45" s="212"/>
      <c r="I45" s="212"/>
      <c r="J45" s="213"/>
      <c r="K45" s="214"/>
      <c r="L45" s="214"/>
      <c r="M45" s="214"/>
      <c r="N45" s="214"/>
      <c r="O45" s="214"/>
      <c r="P45" s="214"/>
      <c r="Q45" s="214"/>
      <c r="R45" s="215"/>
      <c r="S45" s="212"/>
      <c r="T45" s="216"/>
    </row>
    <row r="46" spans="2:20" x14ac:dyDescent="0.25">
      <c r="J46" s="91"/>
    </row>
    <row r="47" spans="2:20" x14ac:dyDescent="0.25">
      <c r="I47" s="240" t="s">
        <v>303</v>
      </c>
      <c r="J47" s="235"/>
      <c r="K47" s="548" t="b">
        <f ca="1">K21+'2. Exited'!K19='9. All deals (b)'!K30</f>
        <v>1</v>
      </c>
      <c r="L47" s="548" t="b">
        <f ca="1">L21+'2. Exited'!L19='9. All deals (b)'!L30</f>
        <v>1</v>
      </c>
      <c r="M47" s="548" t="b">
        <f ca="1">M21+'2. Exited'!M19='9. All deals (b)'!M30</f>
        <v>1</v>
      </c>
      <c r="N47" s="548" t="b">
        <f ca="1">N21+'2. Exited'!N19='9. All deals (b)'!N30</f>
        <v>1</v>
      </c>
      <c r="O47" s="548" t="b">
        <f ca="1">O21+'2. Exited'!O19='9. All deals (b)'!O30</f>
        <v>1</v>
      </c>
      <c r="P47" s="548" t="b">
        <f ca="1">P21+'2. Exited'!P19='9. All deals (b)'!P30</f>
        <v>1</v>
      </c>
      <c r="Q47" s="548" t="b">
        <f>Q21+'2. Exited'!Q19='9. All deals (b)'!Q30</f>
        <v>1</v>
      </c>
    </row>
    <row r="48" spans="2:20" x14ac:dyDescent="0.25">
      <c r="B48" s="153"/>
      <c r="C48" s="153" t="s">
        <v>696</v>
      </c>
      <c r="D48" s="5"/>
      <c r="E48" s="7"/>
      <c r="F48" s="7"/>
      <c r="G48" s="7"/>
      <c r="H48" s="7"/>
      <c r="I48" s="241"/>
      <c r="J48" s="125"/>
      <c r="K48" s="548" t="b">
        <f ca="1">ROUND(K31+'2. Exited'!K25,5)=ROUND('9. All deals (b)'!K42,5)</f>
        <v>1</v>
      </c>
      <c r="L48" s="548" t="b">
        <f ca="1">ROUND(L31+'2. Exited'!L25,5)=ROUND('9. All deals (b)'!L42,5)</f>
        <v>1</v>
      </c>
      <c r="M48" s="548" t="b">
        <f ca="1">ROUND(M31+'2. Exited'!M25,5)=ROUND('9. All deals (b)'!M42,5)</f>
        <v>1</v>
      </c>
      <c r="N48" s="548" t="b">
        <f ca="1">ROUND(N31+'2. Exited'!N25,5)=ROUND('9. All deals (b)'!N42,5)</f>
        <v>1</v>
      </c>
      <c r="O48" s="548" t="b">
        <f ca="1">ROUND(O31+'2. Exited'!O25,5)=ROUND('9. All deals (b)'!O42,5)</f>
        <v>1</v>
      </c>
      <c r="P48" s="548" t="b">
        <f ca="1">ROUND(P31+'2. Exited'!P25,5)=ROUND('9. All deals (b)'!P42,5)</f>
        <v>1</v>
      </c>
      <c r="Q48" s="548" t="b">
        <f>ROUND(Q31+'2. Exited'!Q25,5)=ROUND('9. All deals (b)'!Q42,5)</f>
        <v>1</v>
      </c>
      <c r="R48" s="15"/>
      <c r="S48" s="7"/>
    </row>
    <row r="49" spans="2:20" x14ac:dyDescent="0.25">
      <c r="B49" s="153"/>
      <c r="C49" s="511" t="s">
        <v>625</v>
      </c>
      <c r="D49" s="512"/>
      <c r="E49" s="513"/>
      <c r="F49" s="232"/>
      <c r="G49" s="232"/>
      <c r="H49" s="232"/>
      <c r="I49" s="232"/>
      <c r="J49" s="232"/>
      <c r="K49" s="548" t="b">
        <f ca="1">ROUND(K44+'2. Exited'!K35,5)=ROUND('9. All deals (b)'!K55,5)</f>
        <v>1</v>
      </c>
      <c r="L49" s="548" t="b">
        <f ca="1">ROUND(L44+'2. Exited'!L35,5)=ROUND('9. All deals (b)'!L55,5)</f>
        <v>1</v>
      </c>
      <c r="M49" s="548" t="b">
        <f ca="1">ROUND(M44+'2. Exited'!M35,5)=ROUND('9. All deals (b)'!M55,5)</f>
        <v>1</v>
      </c>
      <c r="N49" s="548" t="b">
        <f ca="1">ROUND(N44+'2. Exited'!N35,5)=ROUND('9. All deals (b)'!N55,5)</f>
        <v>1</v>
      </c>
      <c r="O49" s="548" t="b">
        <f ca="1">ROUND(O44+'2. Exited'!O35,5)=ROUND('9. All deals (b)'!O55,5)</f>
        <v>1</v>
      </c>
      <c r="P49" s="548" t="b">
        <f ca="1">ROUND(P44+'2. Exited'!P35,5)=ROUND('9. All deals (b)'!P55,5)</f>
        <v>1</v>
      </c>
      <c r="Q49" s="548" t="b">
        <f>ROUND(Q44+'2. Exited'!Q35,5)=ROUND('9. All deals (b)'!Q55,5)</f>
        <v>1</v>
      </c>
      <c r="R49" s="232"/>
    </row>
    <row r="50" spans="2:20" s="27" customFormat="1" x14ac:dyDescent="0.25">
      <c r="B50" s="26"/>
      <c r="C50" s="13"/>
      <c r="D50" s="13"/>
      <c r="L50" s="289"/>
      <c r="T50" s="26"/>
    </row>
    <row r="51" spans="2:20" s="27" customFormat="1" x14ac:dyDescent="0.25">
      <c r="B51" s="26"/>
      <c r="C51" s="72"/>
      <c r="D51" s="72"/>
      <c r="E51" s="232"/>
      <c r="F51" s="232"/>
      <c r="G51" s="232"/>
      <c r="H51" s="233"/>
      <c r="I51" s="232"/>
      <c r="J51" s="232"/>
      <c r="K51" s="232"/>
      <c r="L51" s="232"/>
      <c r="M51" s="232"/>
      <c r="N51" s="232"/>
      <c r="O51" s="232"/>
      <c r="Q51" s="232"/>
      <c r="R51" s="232"/>
      <c r="T51" s="26"/>
    </row>
    <row r="52" spans="2:20" s="27" customFormat="1" x14ac:dyDescent="0.25">
      <c r="B52" s="26"/>
      <c r="C52" s="72"/>
      <c r="D52" s="72"/>
      <c r="O52" s="95"/>
      <c r="P52" s="95"/>
      <c r="Q52" s="95"/>
      <c r="T52" s="26"/>
    </row>
  </sheetData>
  <dataConsolidate/>
  <pageMargins left="0.7" right="0.7" top="0.75" bottom="0.75" header="0.3" footer="0.3"/>
  <pageSetup paperSize="9" scale="24" orientation="portrait" verticalDpi="0" r:id="rId1"/>
  <colBreaks count="1" manualBreakCount="1">
    <brk id="20" max="1048575" man="1"/>
  </colBreaks>
  <ignoredErrors>
    <ignoredError sqref="P31 P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1"/>
  <sheetViews>
    <sheetView showGridLines="0" view="pageBreakPreview" zoomScale="80" zoomScaleNormal="90" zoomScaleSheetLayoutView="80" workbookViewId="0">
      <selection activeCell="C5" sqref="C5"/>
    </sheetView>
  </sheetViews>
  <sheetFormatPr defaultColWidth="9.140625" defaultRowHeight="15" outlineLevelCol="1" x14ac:dyDescent="0.25"/>
  <cols>
    <col min="1" max="2" width="5.42578125" style="26" customWidth="1"/>
    <col min="3" max="3" width="42.7109375" style="7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5" customWidth="1"/>
    <col min="19" max="19" width="25.5703125" style="27" bestFit="1" customWidth="1"/>
    <col min="20" max="20" width="3" style="26" customWidth="1"/>
    <col min="21" max="16384" width="9.140625" style="26"/>
  </cols>
  <sheetData>
    <row r="1" spans="2:20" ht="21.75" customHeight="1" thickBot="1" x14ac:dyDescent="0.3">
      <c r="C1" s="159"/>
      <c r="D1" s="159"/>
    </row>
    <row r="2" spans="2:20" ht="15.75" thickBot="1" x14ac:dyDescent="0.3">
      <c r="C2" s="185" t="s">
        <v>170</v>
      </c>
      <c r="D2" s="186">
        <f>'D1'!D2</f>
        <v>45565</v>
      </c>
      <c r="F2" s="26"/>
      <c r="G2" s="26"/>
      <c r="H2" s="26"/>
      <c r="I2" s="26"/>
      <c r="J2" s="26"/>
      <c r="K2" s="26"/>
      <c r="L2" s="26"/>
      <c r="M2" s="26"/>
      <c r="N2" s="26"/>
      <c r="O2" s="26"/>
      <c r="P2" s="26"/>
      <c r="Q2" s="26"/>
      <c r="R2" s="26"/>
      <c r="S2" s="26"/>
    </row>
    <row r="3" spans="2:20" ht="21.75" customHeight="1" thickBot="1" x14ac:dyDescent="0.3">
      <c r="C3" s="159" t="s">
        <v>695</v>
      </c>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6"/>
      <c r="C5" s="237"/>
      <c r="D5" s="237"/>
      <c r="E5" s="238">
        <v>2</v>
      </c>
      <c r="F5" s="238">
        <v>3</v>
      </c>
      <c r="G5" s="238">
        <v>4</v>
      </c>
      <c r="H5" s="238">
        <v>5</v>
      </c>
      <c r="I5" s="238">
        <v>6</v>
      </c>
      <c r="J5" s="238">
        <v>7</v>
      </c>
      <c r="K5" s="238">
        <v>8</v>
      </c>
      <c r="L5" s="238">
        <v>9</v>
      </c>
      <c r="M5" s="238">
        <v>10</v>
      </c>
      <c r="N5" s="238">
        <v>11</v>
      </c>
      <c r="O5" s="238">
        <v>12</v>
      </c>
      <c r="P5" s="238">
        <v>13</v>
      </c>
      <c r="Q5" s="238"/>
      <c r="R5" s="238">
        <v>14</v>
      </c>
      <c r="S5" s="238">
        <v>15</v>
      </c>
      <c r="T5" s="239"/>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408</v>
      </c>
      <c r="R6" s="1" t="s">
        <v>34</v>
      </c>
      <c r="S6" s="1" t="s">
        <v>448</v>
      </c>
      <c r="T6" s="79"/>
    </row>
    <row r="7" spans="2:20" x14ac:dyDescent="0.25">
      <c r="B7" s="81"/>
      <c r="C7" s="5"/>
      <c r="D7" s="5"/>
      <c r="E7" s="8"/>
      <c r="F7" s="8"/>
      <c r="G7" s="8"/>
      <c r="H7" s="8"/>
      <c r="I7" s="8" t="s">
        <v>84</v>
      </c>
      <c r="J7" s="8" t="s">
        <v>53</v>
      </c>
      <c r="K7" s="8" t="s">
        <v>273</v>
      </c>
      <c r="L7" s="8" t="s">
        <v>273</v>
      </c>
      <c r="M7" s="8" t="s">
        <v>273</v>
      </c>
      <c r="N7" s="8" t="s">
        <v>273</v>
      </c>
      <c r="O7" s="8" t="s">
        <v>273</v>
      </c>
      <c r="P7" s="8" t="s">
        <v>273</v>
      </c>
      <c r="Q7" s="8"/>
      <c r="R7" s="12" t="s">
        <v>274</v>
      </c>
      <c r="S7" s="8"/>
      <c r="T7" s="82"/>
    </row>
    <row r="8" spans="2:20" x14ac:dyDescent="0.25">
      <c r="B8" s="81"/>
      <c r="C8" s="514" t="s">
        <v>604</v>
      </c>
      <c r="D8" s="424"/>
      <c r="E8" s="425"/>
      <c r="F8" s="425"/>
      <c r="G8" s="425"/>
      <c r="H8" s="425"/>
      <c r="I8" s="426"/>
      <c r="J8" s="427"/>
      <c r="K8" s="428"/>
      <c r="L8" s="428"/>
      <c r="M8" s="428"/>
      <c r="N8" s="428"/>
      <c r="O8" s="428"/>
      <c r="P8" s="428"/>
      <c r="Q8" s="428"/>
      <c r="R8" s="429"/>
      <c r="S8" s="425"/>
      <c r="T8" s="82"/>
    </row>
    <row r="9" spans="2:20" x14ac:dyDescent="0.25">
      <c r="B9" s="81"/>
      <c r="C9" s="499" t="s">
        <v>70</v>
      </c>
      <c r="D9" s="500" t="s">
        <v>292</v>
      </c>
      <c r="E9" s="501" t="str">
        <f>VLOOKUP($C9,'9. All deals (a)'!$C$6:$Q$49,E$5,0)</f>
        <v>Realized</v>
      </c>
      <c r="F9" s="501" t="str">
        <f>VLOOKUP($C9,'9. All deals (a)'!$C$6:$Q$49,F$5,0)</f>
        <v>Elaine</v>
      </c>
      <c r="G9" s="501" t="str">
        <f>VLOOKUP($C9,'9. All deals (a)'!$C$6:$Q$49,G$5,0)</f>
        <v>Mozn 2</v>
      </c>
      <c r="H9" s="502">
        <f>VLOOKUP($C9,'9. All deals (a)'!$C$6:$Q$49,H$5,0)</f>
        <v>2022</v>
      </c>
      <c r="I9" s="502" t="str">
        <f>VLOOKUP($C9,'9. All deals (a)'!$C$6:$Q$49,I$5,0)</f>
        <v>Equity-TBC</v>
      </c>
      <c r="J9" s="503">
        <f>VLOOKUP($C9,'9. All deals (a)'!$C$6:$Q$49,J$5,0)</f>
        <v>5.1000000000000004E-2</v>
      </c>
      <c r="K9" s="504">
        <f ca="1">VLOOKUP($C9,'9. All deals (a)'!$C$6:$Q$49,K$5,0)</f>
        <v>493.50095619999996</v>
      </c>
      <c r="L9" s="504">
        <f ca="1">VLOOKUP($C9,'9. All deals (a)'!$C$6:$Q$49,L$5,0)</f>
        <v>493.50095619999996</v>
      </c>
      <c r="M9" s="504">
        <f>VLOOKUP($C9,'9. All deals (a)'!$C$6:$Q$49,M$5,0)</f>
        <v>0</v>
      </c>
      <c r="N9" s="504">
        <f ca="1">VLOOKUP($C9,'9. All deals (a)'!$C$6:$Q$49,N$5,0)</f>
        <v>403</v>
      </c>
      <c r="O9" s="504">
        <f>VLOOKUP($C9,'9. All deals (a)'!$C$6:$Q$49,O$5,0)</f>
        <v>0</v>
      </c>
      <c r="P9" s="504">
        <f ca="1">VLOOKUP($C9,'9. All deals (a)'!$C$6:$Q$49,P$5,0)</f>
        <v>-90.500956199999962</v>
      </c>
      <c r="Q9" s="504">
        <v>-64.391000000000005</v>
      </c>
      <c r="R9" s="505">
        <f ca="1">VLOOKUP($C9,'9. All deals (a)'!$C$6:$Q$49,R$5,0)</f>
        <v>0.81661442584252486</v>
      </c>
      <c r="S9" s="501" t="s">
        <v>607</v>
      </c>
      <c r="T9" s="82"/>
    </row>
    <row r="10" spans="2:20" x14ac:dyDescent="0.25">
      <c r="B10" s="81"/>
      <c r="C10" s="499" t="s">
        <v>248</v>
      </c>
      <c r="D10" s="500" t="s">
        <v>293</v>
      </c>
      <c r="E10" s="501" t="str">
        <f>VLOOKUP($C10,'9. All deals (a)'!$C$6:$Q$49,E$5,0)</f>
        <v>Written-off</v>
      </c>
      <c r="F10" s="501" t="str">
        <f>VLOOKUP($C10,'9. All deals (a)'!$C$6:$Q$49,F$5,0)</f>
        <v>Elaine</v>
      </c>
      <c r="G10" s="501" t="str">
        <f>VLOOKUP($C10,'9. All deals (a)'!$C$6:$Q$49,G$5,0)</f>
        <v>Mozn</v>
      </c>
      <c r="H10" s="502">
        <f>VLOOKUP($C10,'9. All deals (a)'!$C$6:$Q$49,H$5,0)</f>
        <v>2021</v>
      </c>
      <c r="I10" s="502" t="str">
        <f>VLOOKUP($C10,'9. All deals (a)'!$C$6:$Q$49,I$5,0)</f>
        <v xml:space="preserve">Loan </v>
      </c>
      <c r="J10" s="503" t="str">
        <f>VLOOKUP($C10,'9. All deals (a)'!$C$6:$Q$49,J$5,0)</f>
        <v>n/a</v>
      </c>
      <c r="K10" s="504">
        <f>VLOOKUP($C10,'9. All deals (a)'!$C$6:$Q$49,K$5,0)</f>
        <v>2.3539819999999998</v>
      </c>
      <c r="L10" s="504">
        <f>VLOOKUP($C10,'9. All deals (a)'!$C$6:$Q$49,L$5,0)</f>
        <v>2.3539819999999998</v>
      </c>
      <c r="M10" s="504">
        <f>VLOOKUP($C10,'9. All deals (a)'!$C$6:$Q$49,M$5,0)</f>
        <v>0</v>
      </c>
      <c r="N10" s="504">
        <f>VLOOKUP($C10,'9. All deals (a)'!$C$6:$Q$49,N$5,0)</f>
        <v>0</v>
      </c>
      <c r="O10" s="504">
        <f>VLOOKUP($C10,'9. All deals (a)'!$C$6:$Q$49,O$5,0)</f>
        <v>0</v>
      </c>
      <c r="P10" s="504">
        <f>VLOOKUP($C10,'9. All deals (a)'!$C$6:$Q$49,P$5,0)</f>
        <v>-2.3539819999999998</v>
      </c>
      <c r="Q10" s="504">
        <v>0</v>
      </c>
      <c r="R10" s="505">
        <f>VLOOKUP($C10,'9. All deals (a)'!$C$6:$Q$49,R$5,0)</f>
        <v>0</v>
      </c>
      <c r="S10" s="501" t="s">
        <v>443</v>
      </c>
      <c r="T10" s="82"/>
    </row>
    <row r="11" spans="2:20" x14ac:dyDescent="0.25">
      <c r="B11" s="81"/>
      <c r="C11" s="499" t="s">
        <v>240</v>
      </c>
      <c r="D11" s="500" t="s">
        <v>293</v>
      </c>
      <c r="E11" s="501" t="str">
        <f>VLOOKUP($C11,'9. All deals (a)'!$C$6:$Q$49,E$5,0)</f>
        <v>Realized</v>
      </c>
      <c r="F11" s="501" t="str">
        <f>VLOOKUP($C11,'9. All deals (a)'!$C$6:$Q$49,F$5,0)</f>
        <v>Sushil</v>
      </c>
      <c r="G11" s="501" t="str">
        <f>VLOOKUP($C11,'9. All deals (a)'!$C$6:$Q$49,G$5,0)</f>
        <v>Mozn</v>
      </c>
      <c r="H11" s="502">
        <f>VLOOKUP($C11,'9. All deals (a)'!$C$6:$Q$49,H$5,0)</f>
        <v>2021</v>
      </c>
      <c r="I11" s="502" t="str">
        <f>VLOOKUP($C11,'9. All deals (a)'!$C$6:$Q$49,I$5,0)</f>
        <v xml:space="preserve">Loan </v>
      </c>
      <c r="J11" s="503" t="str">
        <f>VLOOKUP($C11,'9. All deals (a)'!$C$6:$Q$49,J$5,0)</f>
        <v>n/a</v>
      </c>
      <c r="K11" s="504">
        <f>VLOOKUP($C11,'9. All deals (a)'!$C$6:$Q$49,K$5,0)</f>
        <v>0.41176499999999999</v>
      </c>
      <c r="L11" s="504">
        <f>VLOOKUP($C11,'9. All deals (a)'!$C$6:$Q$49,L$5,0)</f>
        <v>0.41176499999999999</v>
      </c>
      <c r="M11" s="504">
        <f>VLOOKUP($C11,'9. All deals (a)'!$C$6:$Q$49,M$5,0)</f>
        <v>0</v>
      </c>
      <c r="N11" s="504">
        <f>VLOOKUP($C11,'9. All deals (a)'!$C$6:$Q$49,N$5,0)</f>
        <v>0.47078465000000003</v>
      </c>
      <c r="O11" s="504">
        <f>VLOOKUP($C11,'9. All deals (a)'!$C$6:$Q$49,O$5,0)</f>
        <v>0</v>
      </c>
      <c r="P11" s="504">
        <f>VLOOKUP($C11,'9. All deals (a)'!$C$6:$Q$49,P$5,0)</f>
        <v>5.9019650000000035E-2</v>
      </c>
      <c r="Q11" s="504">
        <v>5.9019650000000035E-2</v>
      </c>
      <c r="R11" s="505">
        <f>VLOOKUP($C11,'9. All deals (a)'!$C$6:$Q$49,R$5,0)</f>
        <v>1.1433333333333333</v>
      </c>
      <c r="S11" s="501" t="s">
        <v>607</v>
      </c>
      <c r="T11" s="82"/>
    </row>
    <row r="12" spans="2:20" x14ac:dyDescent="0.25">
      <c r="B12" s="81"/>
      <c r="C12" s="499" t="s">
        <v>18</v>
      </c>
      <c r="D12" s="500" t="s">
        <v>292</v>
      </c>
      <c r="E12" s="501" t="str">
        <f>VLOOKUP($C12,'9. All deals (a)'!$C$6:$Q$49,E$5,0)</f>
        <v>Realized</v>
      </c>
      <c r="F12" s="501" t="str">
        <f>VLOOKUP($C12,'9. All deals (a)'!$C$6:$Q$49,F$5,0)</f>
        <v>Sushil</v>
      </c>
      <c r="G12" s="501" t="str">
        <f>VLOOKUP($C12,'9. All deals (a)'!$C$6:$Q$49,G$5,0)</f>
        <v>Mozn 1</v>
      </c>
      <c r="H12" s="502">
        <f>VLOOKUP($C12,'9. All deals (a)'!$C$6:$Q$49,H$5,0)</f>
        <v>2021</v>
      </c>
      <c r="I12" s="502" t="str">
        <f>VLOOKUP($C12,'9. All deals (a)'!$C$6:$Q$49,I$5,0)</f>
        <v>A (Ordinary Shares)</v>
      </c>
      <c r="J12" s="503">
        <f>VLOOKUP($C12,'9. All deals (a)'!$C$6:$Q$49,J$5,0)</f>
        <v>0.03</v>
      </c>
      <c r="K12" s="504">
        <f ca="1">VLOOKUP($C12,'9. All deals (a)'!$C$6:$Q$49,K$5,0)</f>
        <v>20</v>
      </c>
      <c r="L12" s="504">
        <f ca="1">VLOOKUP($C12,'9. All deals (a)'!$C$6:$Q$49,L$5,0)</f>
        <v>20</v>
      </c>
      <c r="M12" s="504">
        <f>VLOOKUP($C12,'9. All deals (a)'!$C$6:$Q$49,M$5,0)</f>
        <v>0</v>
      </c>
      <c r="N12" s="504">
        <f ca="1">VLOOKUP($C12,'9. All deals (a)'!$C$6:$Q$49,N$5,0)</f>
        <v>24.5</v>
      </c>
      <c r="O12" s="504">
        <f>VLOOKUP($C12,'9. All deals (a)'!$C$6:$Q$49,O$5,0)</f>
        <v>0</v>
      </c>
      <c r="P12" s="504">
        <f ca="1">VLOOKUP($C12,'9. All deals (a)'!$C$6:$Q$49,P$5,0)</f>
        <v>4.5</v>
      </c>
      <c r="Q12" s="504">
        <v>0</v>
      </c>
      <c r="R12" s="505">
        <f ca="1">VLOOKUP($C12,'9. All deals (a)'!$C$6:$Q$49,R$5,0)</f>
        <v>1.2250000000000001</v>
      </c>
      <c r="S12" s="501" t="s">
        <v>607</v>
      </c>
      <c r="T12" s="82"/>
    </row>
    <row r="13" spans="2:20" x14ac:dyDescent="0.25">
      <c r="B13" s="81"/>
      <c r="C13" s="499" t="s">
        <v>42</v>
      </c>
      <c r="D13" s="500" t="s">
        <v>292</v>
      </c>
      <c r="E13" s="501" t="str">
        <f>VLOOKUP($C13,'9. All deals (a)'!$C$6:$Q$49,E$5,0)</f>
        <v>Realized</v>
      </c>
      <c r="F13" s="501" t="str">
        <f>VLOOKUP($C13,'9. All deals (a)'!$C$6:$Q$49,F$5,0)</f>
        <v>Ignasi</v>
      </c>
      <c r="G13" s="501" t="str">
        <f>VLOOKUP($C13,'9. All deals (a)'!$C$6:$Q$49,G$5,0)</f>
        <v>Mozn</v>
      </c>
      <c r="H13" s="502">
        <f>VLOOKUP($C13,'9. All deals (a)'!$C$6:$Q$49,H$5,0)</f>
        <v>2021</v>
      </c>
      <c r="I13" s="502" t="str">
        <f>VLOOKUP($C13,'9. All deals (a)'!$C$6:$Q$49,I$5,0)</f>
        <v xml:space="preserve">B Prefs </v>
      </c>
      <c r="J13" s="503">
        <f>VLOOKUP($C13,'9. All deals (a)'!$C$6:$Q$49,J$5,0)</f>
        <v>1.1489405791845828E-2</v>
      </c>
      <c r="K13" s="504">
        <f ca="1">VLOOKUP($C13,'9. All deals (a)'!$C$6:$Q$49,K$5,0)</f>
        <v>5.0237201984774336</v>
      </c>
      <c r="L13" s="504">
        <f ca="1">VLOOKUP($C13,'9. All deals (a)'!$C$6:$Q$49,L$5,0)</f>
        <v>5.0237201984774336</v>
      </c>
      <c r="M13" s="504">
        <f>VLOOKUP($C13,'9. All deals (a)'!$C$6:$Q$49,M$5,0)</f>
        <v>0</v>
      </c>
      <c r="N13" s="504">
        <f ca="1">VLOOKUP($C13,'9. All deals (a)'!$C$6:$Q$49,N$5,0)</f>
        <v>7.9421925299999989</v>
      </c>
      <c r="O13" s="504">
        <f>VLOOKUP($C13,'9. All deals (a)'!$C$6:$Q$49,O$5,0)</f>
        <v>0</v>
      </c>
      <c r="P13" s="504">
        <f ca="1">VLOOKUP($C13,'9. All deals (a)'!$C$6:$Q$49,P$5,0)</f>
        <v>2.9184723315225654</v>
      </c>
      <c r="Q13" s="504">
        <v>1.6721788054421767</v>
      </c>
      <c r="R13" s="505">
        <f ca="1">VLOOKUP($C13,'9. All deals (a)'!$C$6:$Q$49,R$5,0)</f>
        <v>1.5809384711368046</v>
      </c>
      <c r="S13" s="501" t="s">
        <v>607</v>
      </c>
      <c r="T13" s="82"/>
    </row>
    <row r="14" spans="2:20" x14ac:dyDescent="0.25">
      <c r="B14" s="81"/>
      <c r="C14" s="499" t="s">
        <v>39</v>
      </c>
      <c r="D14" s="500" t="s">
        <v>292</v>
      </c>
      <c r="E14" s="501" t="str">
        <f>VLOOKUP($C14,'9. All deals (a)'!$C$6:$Q$49,E$5,0)</f>
        <v>Realized</v>
      </c>
      <c r="F14" s="501" t="str">
        <f>VLOOKUP($C14,'9. All deals (a)'!$C$6:$Q$49,F$5,0)</f>
        <v>Sushil</v>
      </c>
      <c r="G14" s="501" t="str">
        <f>VLOOKUP($C14,'9. All deals (a)'!$C$6:$Q$49,G$5,0)</f>
        <v>Mozn</v>
      </c>
      <c r="H14" s="502">
        <f>VLOOKUP($C14,'9. All deals (a)'!$C$6:$Q$49,H$5,0)</f>
        <v>2020</v>
      </c>
      <c r="I14" s="502" t="str">
        <f>VLOOKUP($C14,'9. All deals (a)'!$C$6:$Q$49,I$5,0)</f>
        <v>Convertible Note</v>
      </c>
      <c r="J14" s="503" t="str">
        <f>VLOOKUP($C14,'9. All deals (a)'!$C$6:$Q$49,J$5,0)</f>
        <v>n/a</v>
      </c>
      <c r="K14" s="504">
        <f ca="1">VLOOKUP($C14,'9. All deals (a)'!$C$6:$Q$49,K$5,0)</f>
        <v>2.5</v>
      </c>
      <c r="L14" s="504">
        <f ca="1">VLOOKUP($C14,'9. All deals (a)'!$C$6:$Q$49,L$5,0)</f>
        <v>2.5</v>
      </c>
      <c r="M14" s="504">
        <f>VLOOKUP($C14,'9. All deals (a)'!$C$6:$Q$49,M$5,0)</f>
        <v>0</v>
      </c>
      <c r="N14" s="504">
        <f ca="1">VLOOKUP($C14,'9. All deals (a)'!$C$6:$Q$49,N$5,0)</f>
        <v>5</v>
      </c>
      <c r="O14" s="504">
        <f>VLOOKUP($C14,'9. All deals (a)'!$C$6:$Q$49,O$5,0)</f>
        <v>0</v>
      </c>
      <c r="P14" s="504">
        <f ca="1">VLOOKUP($C14,'9. All deals (a)'!$C$6:$Q$49,P$5,0)</f>
        <v>2.5</v>
      </c>
      <c r="Q14" s="504">
        <v>2.5</v>
      </c>
      <c r="R14" s="505">
        <f ca="1">VLOOKUP($C14,'9. All deals (a)'!$C$6:$Q$49,R$5,0)</f>
        <v>2</v>
      </c>
      <c r="S14" s="501" t="s">
        <v>607</v>
      </c>
      <c r="T14" s="82"/>
    </row>
    <row r="15" spans="2:20" x14ac:dyDescent="0.25">
      <c r="B15" s="81"/>
      <c r="C15" s="499" t="s">
        <v>0</v>
      </c>
      <c r="D15" s="500" t="s">
        <v>292</v>
      </c>
      <c r="E15" s="501" t="str">
        <f>VLOOKUP($C15,'9. All deals (a)'!$C$6:$Q$49,E$5,0)</f>
        <v>Written-off</v>
      </c>
      <c r="F15" s="501" t="str">
        <f>VLOOKUP($C15,'9. All deals (a)'!$C$6:$Q$49,F$5,0)</f>
        <v>Elaine</v>
      </c>
      <c r="G15" s="501" t="str">
        <f>VLOOKUP($C15,'9. All deals (a)'!$C$6:$Q$49,G$5,0)</f>
        <v>Mozn</v>
      </c>
      <c r="H15" s="502">
        <f>VLOOKUP($C15,'9. All deals (a)'!$C$6:$Q$49,H$5,0)</f>
        <v>2019</v>
      </c>
      <c r="I15" s="502" t="str">
        <f>VLOOKUP($C15,'9. All deals (a)'!$C$6:$Q$49,I$5,0)</f>
        <v>B Prefs</v>
      </c>
      <c r="J15" s="503">
        <f>VLOOKUP($C15,'9. All deals (a)'!$C$6:$Q$49,J$5,0)</f>
        <v>0.14000000235296001</v>
      </c>
      <c r="K15" s="504">
        <f ca="1">VLOOKUP($C15,'9. All deals (a)'!$C$6:$Q$49,K$5,0)</f>
        <v>8</v>
      </c>
      <c r="L15" s="504">
        <f ca="1">VLOOKUP($C15,'9. All deals (a)'!$C$6:$Q$49,L$5,0)</f>
        <v>8</v>
      </c>
      <c r="M15" s="504">
        <f>VLOOKUP($C15,'9. All deals (a)'!$C$6:$Q$49,M$5,0)</f>
        <v>0</v>
      </c>
      <c r="N15" s="504">
        <f ca="1">VLOOKUP($C15,'9. All deals (a)'!$C$6:$Q$49,N$5,0)</f>
        <v>0</v>
      </c>
      <c r="O15" s="504">
        <f>VLOOKUP($C15,'9. All deals (a)'!$C$6:$Q$49,O$5,0)</f>
        <v>0</v>
      </c>
      <c r="P15" s="504">
        <f ca="1">VLOOKUP($C15,'9. All deals (a)'!$C$6:$Q$49,P$5,0)</f>
        <v>-8</v>
      </c>
      <c r="Q15" s="504">
        <v>-8</v>
      </c>
      <c r="R15" s="505">
        <f ca="1">VLOOKUP($C15,'9. All deals (a)'!$C$6:$Q$49,R$5,0)</f>
        <v>0</v>
      </c>
      <c r="S15" s="501" t="s">
        <v>443</v>
      </c>
      <c r="T15" s="82"/>
    </row>
    <row r="16" spans="2:20" x14ac:dyDescent="0.25">
      <c r="B16" s="81"/>
      <c r="C16" s="499" t="s">
        <v>48</v>
      </c>
      <c r="D16" s="500" t="s">
        <v>293</v>
      </c>
      <c r="E16" s="501" t="str">
        <f>VLOOKUP($C16,'9. All deals (a)'!$C$6:$Q$49,E$5,0)</f>
        <v>Written-off</v>
      </c>
      <c r="F16" s="501" t="str">
        <f>VLOOKUP($C16,'9. All deals (a)'!$C$6:$Q$49,F$5,0)</f>
        <v xml:space="preserve">Marty </v>
      </c>
      <c r="G16" s="501" t="str">
        <f>VLOOKUP($C16,'9. All deals (a)'!$C$6:$Q$49,G$5,0)</f>
        <v>Mozn</v>
      </c>
      <c r="H16" s="502">
        <f>VLOOKUP($C16,'9. All deals (a)'!$C$6:$Q$49,H$5,0)</f>
        <v>2019</v>
      </c>
      <c r="I16" s="502" t="str">
        <f>VLOOKUP($C16,'9. All deals (a)'!$C$6:$Q$49,I$5,0)</f>
        <v>Promissory Note</v>
      </c>
      <c r="J16" s="503" t="str">
        <f>VLOOKUP($C16,'9. All deals (a)'!$C$6:$Q$49,J$5,0)</f>
        <v>n/a</v>
      </c>
      <c r="K16" s="504">
        <f>VLOOKUP($C16,'9. All deals (a)'!$C$6:$Q$49,K$5,0)</f>
        <v>8</v>
      </c>
      <c r="L16" s="504">
        <f>VLOOKUP($C16,'9. All deals (a)'!$C$6:$Q$49,L$5,0)</f>
        <v>8</v>
      </c>
      <c r="M16" s="504">
        <f>VLOOKUP($C16,'9. All deals (a)'!$C$6:$Q$49,M$5,0)</f>
        <v>0</v>
      </c>
      <c r="N16" s="504">
        <f>VLOOKUP($C16,'9. All deals (a)'!$C$6:$Q$49,N$5,0)</f>
        <v>0</v>
      </c>
      <c r="O16" s="504">
        <f>VLOOKUP($C16,'9. All deals (a)'!$C$6:$Q$49,O$5,0)</f>
        <v>0</v>
      </c>
      <c r="P16" s="504">
        <f>VLOOKUP($C16,'9. All deals (a)'!$C$6:$Q$49,P$5,0)</f>
        <v>-8</v>
      </c>
      <c r="Q16" s="504">
        <v>-8</v>
      </c>
      <c r="R16" s="505">
        <f>VLOOKUP($C16,'9. All deals (a)'!$C$6:$Q$49,R$5,0)</f>
        <v>0</v>
      </c>
      <c r="S16" s="501" t="str">
        <f>VLOOKUP($C16,'9. All deals (a)'!$C$6:$Q$49,S$5,0)</f>
        <v>In Default</v>
      </c>
      <c r="T16" s="82"/>
    </row>
    <row r="17" spans="2:20" x14ac:dyDescent="0.25">
      <c r="B17" s="81"/>
      <c r="C17" s="499" t="s">
        <v>47</v>
      </c>
      <c r="D17" s="500" t="s">
        <v>292</v>
      </c>
      <c r="E17" s="501" t="str">
        <f>VLOOKUP($C17,'9. All deals (a)'!$C$6:$Q$49,E$5,0)</f>
        <v>Written-off</v>
      </c>
      <c r="F17" s="501" t="str">
        <f>VLOOKUP($C17,'9. All deals (a)'!$C$6:$Q$49,F$5,0)</f>
        <v>Elaine</v>
      </c>
      <c r="G17" s="501" t="str">
        <f>VLOOKUP($C17,'9. All deals (a)'!$C$6:$Q$49,G$5,0)</f>
        <v>Mozn</v>
      </c>
      <c r="H17" s="502">
        <f>VLOOKUP($C17,'9. All deals (a)'!$C$6:$Q$49,H$5,0)</f>
        <v>2019</v>
      </c>
      <c r="I17" s="502" t="str">
        <f>VLOOKUP($C17,'9. All deals (a)'!$C$6:$Q$49,I$5,0)</f>
        <v>C+ Prefs</v>
      </c>
      <c r="J17" s="503">
        <f>VLOOKUP($C17,'9. All deals (a)'!$C$6:$Q$49,J$5,0)</f>
        <v>5.6999998161926343E-2</v>
      </c>
      <c r="K17" s="504">
        <f ca="1">VLOOKUP($C17,'9. All deals (a)'!$C$6:$Q$49,K$5,0)</f>
        <v>65</v>
      </c>
      <c r="L17" s="504">
        <f ca="1">VLOOKUP($C17,'9. All deals (a)'!$C$6:$Q$49,L$5,0)</f>
        <v>65</v>
      </c>
      <c r="M17" s="504">
        <f>VLOOKUP($C17,'9. All deals (a)'!$C$6:$Q$49,M$5,0)</f>
        <v>0</v>
      </c>
      <c r="N17" s="504">
        <f ca="1">VLOOKUP($C17,'9. All deals (a)'!$C$6:$Q$49,N$5,0)</f>
        <v>0</v>
      </c>
      <c r="O17" s="504">
        <f>VLOOKUP($C17,'9. All deals (a)'!$C$6:$Q$49,O$5,0)</f>
        <v>0</v>
      </c>
      <c r="P17" s="504">
        <f ca="1">VLOOKUP($C17,'9. All deals (a)'!$C$6:$Q$49,P$5,0)</f>
        <v>-65</v>
      </c>
      <c r="Q17" s="504">
        <v>-65</v>
      </c>
      <c r="R17" s="505">
        <f ca="1">VLOOKUP($C17,'9. All deals (a)'!$C$6:$Q$49,R$5,0)</f>
        <v>0</v>
      </c>
      <c r="S17" s="501" t="str">
        <f>VLOOKUP($C17,'9. All deals (a)'!$C$6:$Q$49,S$5,0)</f>
        <v>In Liquidation</v>
      </c>
      <c r="T17" s="82"/>
    </row>
    <row r="18" spans="2:20" x14ac:dyDescent="0.25">
      <c r="B18" s="81"/>
      <c r="C18" s="5"/>
      <c r="D18" s="13"/>
      <c r="E18" s="7"/>
      <c r="F18" s="7"/>
      <c r="G18" s="7"/>
      <c r="H18" s="7"/>
      <c r="I18" s="14"/>
      <c r="J18" s="206"/>
      <c r="K18" s="24"/>
      <c r="L18" s="24"/>
      <c r="M18" s="24"/>
      <c r="N18" s="24"/>
      <c r="O18" s="24"/>
      <c r="P18" s="24"/>
      <c r="Q18" s="24"/>
      <c r="R18" s="15"/>
      <c r="S18" s="219"/>
      <c r="T18" s="82"/>
    </row>
    <row r="19" spans="2:20" x14ac:dyDescent="0.25">
      <c r="B19" s="81"/>
      <c r="C19" s="9"/>
      <c r="D19" s="9"/>
      <c r="E19" s="9"/>
      <c r="F19" s="9"/>
      <c r="G19" s="9"/>
      <c r="H19" s="9"/>
      <c r="I19" s="9"/>
      <c r="J19" s="108"/>
      <c r="K19" s="18">
        <f ca="1">SUM(K9:K17)</f>
        <v>604.7904233984774</v>
      </c>
      <c r="L19" s="18">
        <f ca="1">SUM(L9:L17)</f>
        <v>604.7904233984774</v>
      </c>
      <c r="M19" s="18">
        <f>SUM(M9:M17)</f>
        <v>0</v>
      </c>
      <c r="N19" s="18">
        <f ca="1">SUM(N9:N17)</f>
        <v>440.91297717999998</v>
      </c>
      <c r="O19" s="18">
        <f>SUM(O9:O17)</f>
        <v>0</v>
      </c>
      <c r="P19" s="18">
        <f ca="1">O19+N19-L19</f>
        <v>-163.87744621847742</v>
      </c>
      <c r="Q19" s="18">
        <f>SUM(Q9:Q17)</f>
        <v>-141.15980154455784</v>
      </c>
      <c r="R19" s="11">
        <f ca="1">(N19+O19)/L19</f>
        <v>0.72903432349737507</v>
      </c>
      <c r="S19" s="9"/>
      <c r="T19" s="82"/>
    </row>
    <row r="20" spans="2:20" x14ac:dyDescent="0.25">
      <c r="B20" s="81"/>
      <c r="C20" s="181"/>
      <c r="D20" s="181"/>
      <c r="E20" s="181"/>
      <c r="F20" s="181"/>
      <c r="G20" s="181"/>
      <c r="H20" s="181"/>
      <c r="I20" s="181"/>
      <c r="J20" s="107"/>
      <c r="K20" s="182"/>
      <c r="L20" s="182"/>
      <c r="M20" s="182"/>
      <c r="N20" s="182"/>
      <c r="O20" s="182"/>
      <c r="P20" s="182"/>
      <c r="Q20" s="182"/>
      <c r="R20" s="183"/>
      <c r="S20" s="181"/>
      <c r="T20" s="82"/>
    </row>
    <row r="21" spans="2:20" x14ac:dyDescent="0.25">
      <c r="B21" s="81"/>
      <c r="C21" s="514" t="s">
        <v>605</v>
      </c>
      <c r="D21" s="424"/>
      <c r="E21" s="425"/>
      <c r="F21" s="425"/>
      <c r="G21" s="425"/>
      <c r="H21" s="425"/>
      <c r="I21" s="426"/>
      <c r="J21" s="427"/>
      <c r="K21" s="428"/>
      <c r="L21" s="428"/>
      <c r="M21" s="428"/>
      <c r="N21" s="428"/>
      <c r="O21" s="428"/>
      <c r="P21" s="428"/>
      <c r="Q21" s="428"/>
      <c r="R21" s="429"/>
      <c r="S21" s="425"/>
      <c r="T21" s="82"/>
    </row>
    <row r="22" spans="2:20" x14ac:dyDescent="0.25">
      <c r="B22" s="81"/>
      <c r="C22" s="499" t="s">
        <v>35</v>
      </c>
      <c r="D22" s="500" t="s">
        <v>292</v>
      </c>
      <c r="E22" s="501" t="str">
        <f>VLOOKUP($C22,'9. All deals (a)'!$C$6:$Q$49,E$5,0)</f>
        <v>Realized</v>
      </c>
      <c r="F22" s="501" t="str">
        <f>VLOOKUP($C22,'9. All deals (a)'!$C$6:$Q$49,F$5,0)</f>
        <v>Elaine</v>
      </c>
      <c r="G22" s="501" t="str">
        <f>VLOOKUP($C22,'9. All deals (a)'!$C$6:$Q$49,G$5,0)</f>
        <v>G42 3</v>
      </c>
      <c r="H22" s="502">
        <f>VLOOKUP($C22,'9. All deals (a)'!$C$6:$Q$49,H$5,0)</f>
        <v>2022</v>
      </c>
      <c r="I22" s="502" t="str">
        <f>VLOOKUP($C22,'9. All deals (a)'!$C$6:$Q$49,I$5,0)</f>
        <v>Equity-TBC</v>
      </c>
      <c r="J22" s="503">
        <f>VLOOKUP($C22,'9. All deals (a)'!$C$6:$Q$49,J$5,0)</f>
        <v>1.8823528000000003E-2</v>
      </c>
      <c r="K22" s="504">
        <f ca="1">VLOOKUP($C22,'9. All deals (a)'!$C$6:$Q$49,K$5,0)</f>
        <v>800</v>
      </c>
      <c r="L22" s="504">
        <f ca="1">VLOOKUP($C22,'9. All deals (a)'!$C$6:$Q$49,L$5,0)</f>
        <v>800</v>
      </c>
      <c r="M22" s="504">
        <f ca="1">VLOOKUP($C22,'9. All deals (a)'!$C$6:$Q$49,M$5,0)</f>
        <v>0</v>
      </c>
      <c r="N22" s="504">
        <f ca="1">VLOOKUP($C22,'9. All deals (a)'!$C$6:$Q$49,N$5,0)</f>
        <v>802.8</v>
      </c>
      <c r="O22" s="504">
        <f>VLOOKUP($C22,'9. All deals (a)'!$C$6:$Q$49,O$5,0)</f>
        <v>0</v>
      </c>
      <c r="P22" s="504">
        <f ca="1">VLOOKUP($C22,'9. All deals (a)'!$C$6:$Q$49,P$5,0)</f>
        <v>2.7999999999999545</v>
      </c>
      <c r="Q22" s="504">
        <v>54.67</v>
      </c>
      <c r="R22" s="505">
        <f ca="1">VLOOKUP($C22,'9. All deals (a)'!$C$6:$Q$49,R$5,0)</f>
        <v>1.0034999999999998</v>
      </c>
      <c r="S22" s="506"/>
      <c r="T22" s="82"/>
    </row>
    <row r="23" spans="2:20" x14ac:dyDescent="0.25">
      <c r="B23" s="81"/>
      <c r="C23" s="499" t="s">
        <v>12</v>
      </c>
      <c r="D23" s="500" t="s">
        <v>294</v>
      </c>
      <c r="E23" s="501" t="str">
        <f>VLOOKUP($C23,'9. All deals (a)'!$C$6:$Q$49,E$5,0)</f>
        <v>Realized</v>
      </c>
      <c r="F23" s="501" t="str">
        <f>VLOOKUP($C23,'9. All deals (a)'!$C$6:$Q$49,F$5,0)</f>
        <v>Elaine</v>
      </c>
      <c r="G23" s="501" t="str">
        <f>VLOOKUP($C23,'9. All deals (a)'!$C$6:$Q$49,G$5,0)</f>
        <v>G42 Investments</v>
      </c>
      <c r="H23" s="502">
        <f>VLOOKUP($C23,'9. All deals (a)'!$C$6:$Q$49,H$5,0)</f>
        <v>2020</v>
      </c>
      <c r="I23" s="502" t="str">
        <f>VLOOKUP($C23,'9. All deals (a)'!$C$6:$Q$49,I$5,0)</f>
        <v xml:space="preserve">LP </v>
      </c>
      <c r="J23" s="503" t="str">
        <f>VLOOKUP($C23,'9. All deals (a)'!$C$6:$Q$49,J$5,0)</f>
        <v>n/a</v>
      </c>
      <c r="K23" s="504">
        <f>VLOOKUP($C23,'9. All deals (a)'!$C$6:$Q$49,K$5,0)</f>
        <v>50</v>
      </c>
      <c r="L23" s="504">
        <f ca="1">VLOOKUP($C23,'9. All deals (a)'!$C$6:$Q$49,L$5,0)</f>
        <v>24.959693000000001</v>
      </c>
      <c r="M23" s="504">
        <f>VLOOKUP($C23,'9. All deals (a)'!$C$6:$Q$49,M$5,0)</f>
        <v>0</v>
      </c>
      <c r="N23" s="504">
        <f>VLOOKUP($C23,'9. All deals (a)'!$C$6:$Q$49,N$5,0)</f>
        <v>25.403521350000002</v>
      </c>
      <c r="O23" s="504">
        <f>VLOOKUP($C23,'9. All deals (a)'!$C$6:$Q$49,O$5,0)</f>
        <v>0</v>
      </c>
      <c r="P23" s="504">
        <f ca="1">VLOOKUP($C23,'9. All deals (a)'!$C$6:$Q$49,P$5,0)</f>
        <v>0.44382835000000043</v>
      </c>
      <c r="Q23" s="504">
        <v>-1.2649999999999999</v>
      </c>
      <c r="R23" s="505">
        <f ca="1">VLOOKUP($C23,'9. All deals (a)'!$C$6:$Q$49,R$5,0)</f>
        <v>1.0177818032457371</v>
      </c>
      <c r="S23" s="507"/>
      <c r="T23" s="82"/>
    </row>
    <row r="24" spans="2:20" x14ac:dyDescent="0.25">
      <c r="B24" s="81"/>
      <c r="C24" s="4"/>
      <c r="D24" s="44"/>
      <c r="E24" s="2"/>
      <c r="F24" s="2"/>
      <c r="G24" s="2"/>
      <c r="H24" s="2"/>
      <c r="I24" s="6"/>
      <c r="J24" s="105"/>
      <c r="K24" s="17"/>
      <c r="L24" s="17"/>
      <c r="M24" s="17"/>
      <c r="N24" s="17"/>
      <c r="O24" s="17"/>
      <c r="P24" s="17"/>
      <c r="Q24" s="17"/>
      <c r="R24" s="10"/>
      <c r="S24" s="102"/>
      <c r="T24" s="82"/>
    </row>
    <row r="25" spans="2:20" s="85" customFormat="1" x14ac:dyDescent="0.25">
      <c r="B25" s="83"/>
      <c r="C25" s="9"/>
      <c r="D25" s="9"/>
      <c r="E25" s="9"/>
      <c r="F25" s="9"/>
      <c r="G25" s="9"/>
      <c r="H25" s="9"/>
      <c r="I25" s="9"/>
      <c r="J25" s="108"/>
      <c r="K25" s="18">
        <f ca="1">SUM(K22:K23)</f>
        <v>850</v>
      </c>
      <c r="L25" s="18">
        <f ca="1">SUM(L22:L23)</f>
        <v>824.95969300000002</v>
      </c>
      <c r="M25" s="18">
        <f ca="1">SUM(M22:M23)</f>
        <v>0</v>
      </c>
      <c r="N25" s="18">
        <f ca="1">SUM(N22:N23)</f>
        <v>828.20352134999996</v>
      </c>
      <c r="O25" s="18">
        <f>SUM(O22:O23)</f>
        <v>0</v>
      </c>
      <c r="P25" s="18">
        <f ca="1">O25+N25-L25</f>
        <v>3.2438283499999443</v>
      </c>
      <c r="Q25" s="18">
        <f>SUM(Q22:Q23)</f>
        <v>53.405000000000001</v>
      </c>
      <c r="R25" s="11">
        <f ca="1">(N25+O25)/L25</f>
        <v>1.0039321052622627</v>
      </c>
      <c r="S25" s="9">
        <f ca="1">O25+N25-L25</f>
        <v>3.2438283499999443</v>
      </c>
      <c r="T25" s="84"/>
    </row>
    <row r="26" spans="2:20" s="85" customFormat="1" x14ac:dyDescent="0.25">
      <c r="B26" s="83"/>
      <c r="C26" s="181"/>
      <c r="D26" s="181"/>
      <c r="E26" s="181"/>
      <c r="F26" s="181"/>
      <c r="G26" s="181"/>
      <c r="H26" s="181"/>
      <c r="I26" s="181"/>
      <c r="J26" s="107"/>
      <c r="K26" s="182"/>
      <c r="L26" s="182"/>
      <c r="M26" s="182"/>
      <c r="N26" s="182"/>
      <c r="O26" s="182"/>
      <c r="P26" s="182"/>
      <c r="Q26" s="182"/>
      <c r="R26" s="183"/>
      <c r="S26" s="181"/>
      <c r="T26" s="84"/>
    </row>
    <row r="27" spans="2:20" s="85" customFormat="1" x14ac:dyDescent="0.25">
      <c r="B27" s="83"/>
      <c r="C27" s="514" t="s">
        <v>608</v>
      </c>
      <c r="D27" s="424"/>
      <c r="E27" s="425"/>
      <c r="F27" s="425"/>
      <c r="G27" s="425"/>
      <c r="H27" s="425"/>
      <c r="I27" s="426"/>
      <c r="J27" s="427"/>
      <c r="K27" s="428"/>
      <c r="L27" s="428"/>
      <c r="M27" s="428"/>
      <c r="N27" s="428"/>
      <c r="O27" s="428"/>
      <c r="P27" s="428"/>
      <c r="Q27" s="428"/>
      <c r="R27" s="429"/>
      <c r="S27" s="425"/>
      <c r="T27" s="84"/>
    </row>
    <row r="28" spans="2:20" x14ac:dyDescent="0.25">
      <c r="B28" s="81"/>
      <c r="C28" s="5"/>
      <c r="D28" s="13"/>
      <c r="E28" s="7"/>
      <c r="F28" s="7"/>
      <c r="G28" s="7"/>
      <c r="H28" s="7"/>
      <c r="I28" s="14"/>
      <c r="J28" s="206"/>
      <c r="K28" s="24"/>
      <c r="L28" s="24"/>
      <c r="M28" s="24"/>
      <c r="N28" s="24"/>
      <c r="O28" s="24"/>
      <c r="P28" s="24"/>
      <c r="Q28" s="24"/>
      <c r="R28" s="15"/>
      <c r="S28" s="219"/>
      <c r="T28" s="82"/>
    </row>
    <row r="29" spans="2:20" s="85" customFormat="1" x14ac:dyDescent="0.25">
      <c r="B29" s="83"/>
      <c r="C29" s="9"/>
      <c r="D29" s="9"/>
      <c r="E29" s="9"/>
      <c r="F29" s="9"/>
      <c r="G29" s="9"/>
      <c r="H29" s="9"/>
      <c r="I29" s="9"/>
      <c r="J29" s="108"/>
      <c r="K29" s="18"/>
      <c r="L29" s="18"/>
      <c r="M29" s="18"/>
      <c r="N29" s="18"/>
      <c r="O29" s="18"/>
      <c r="P29" s="18"/>
      <c r="Q29" s="18"/>
      <c r="R29" s="11"/>
      <c r="S29" s="9"/>
      <c r="T29" s="84"/>
    </row>
    <row r="30" spans="2:20" s="85" customFormat="1" x14ac:dyDescent="0.25">
      <c r="B30" s="83"/>
      <c r="C30" s="181"/>
      <c r="D30" s="181"/>
      <c r="E30" s="181"/>
      <c r="F30" s="181"/>
      <c r="G30" s="181"/>
      <c r="H30" s="181"/>
      <c r="I30" s="181"/>
      <c r="J30" s="107"/>
      <c r="K30" s="182"/>
      <c r="L30" s="182"/>
      <c r="M30" s="182"/>
      <c r="N30" s="182"/>
      <c r="O30" s="182"/>
      <c r="P30" s="182"/>
      <c r="Q30" s="182"/>
      <c r="R30" s="183"/>
      <c r="S30" s="181"/>
      <c r="T30" s="84"/>
    </row>
    <row r="31" spans="2:20" s="85" customFormat="1" x14ac:dyDescent="0.25">
      <c r="B31" s="83"/>
      <c r="C31" s="514" t="s">
        <v>609</v>
      </c>
      <c r="D31" s="424"/>
      <c r="E31" s="425"/>
      <c r="F31" s="425"/>
      <c r="G31" s="425"/>
      <c r="H31" s="425"/>
      <c r="I31" s="426"/>
      <c r="J31" s="427"/>
      <c r="K31" s="428"/>
      <c r="L31" s="428"/>
      <c r="M31" s="428"/>
      <c r="N31" s="428"/>
      <c r="O31" s="428"/>
      <c r="P31" s="428"/>
      <c r="Q31" s="428"/>
      <c r="R31" s="429"/>
      <c r="S31" s="425"/>
      <c r="T31" s="84"/>
    </row>
    <row r="32" spans="2:20" x14ac:dyDescent="0.25">
      <c r="B32" s="81"/>
      <c r="C32" s="5"/>
      <c r="D32" s="13"/>
      <c r="E32" s="7"/>
      <c r="F32" s="7"/>
      <c r="G32" s="7"/>
      <c r="H32" s="14"/>
      <c r="I32" s="14"/>
      <c r="J32" s="206"/>
      <c r="K32" s="24"/>
      <c r="L32" s="24"/>
      <c r="M32" s="24"/>
      <c r="N32" s="24"/>
      <c r="O32" s="24"/>
      <c r="P32" s="24"/>
      <c r="Q32" s="24"/>
      <c r="R32" s="15"/>
      <c r="S32" s="7"/>
      <c r="T32" s="82"/>
    </row>
    <row r="33" spans="2:20" s="85" customFormat="1" x14ac:dyDescent="0.25">
      <c r="B33" s="83"/>
      <c r="C33" s="9"/>
      <c r="D33" s="9"/>
      <c r="E33" s="9"/>
      <c r="F33" s="9"/>
      <c r="G33" s="9"/>
      <c r="H33" s="9"/>
      <c r="I33" s="9"/>
      <c r="J33" s="108"/>
      <c r="K33" s="18"/>
      <c r="L33" s="18"/>
      <c r="M33" s="18"/>
      <c r="N33" s="18"/>
      <c r="O33" s="18"/>
      <c r="P33" s="18"/>
      <c r="Q33" s="18"/>
      <c r="R33" s="11"/>
      <c r="S33" s="9"/>
      <c r="T33" s="84"/>
    </row>
    <row r="34" spans="2:20" s="85" customFormat="1" x14ac:dyDescent="0.25">
      <c r="B34" s="83"/>
      <c r="C34" s="181"/>
      <c r="D34" s="181"/>
      <c r="E34" s="181"/>
      <c r="F34" s="181"/>
      <c r="G34" s="181"/>
      <c r="H34" s="181"/>
      <c r="I34" s="181"/>
      <c r="J34" s="107"/>
      <c r="K34" s="182"/>
      <c r="L34" s="182"/>
      <c r="M34" s="182"/>
      <c r="N34" s="182"/>
      <c r="O34" s="182"/>
      <c r="P34" s="182"/>
      <c r="Q34" s="182"/>
      <c r="R34" s="183"/>
      <c r="S34" s="181"/>
      <c r="T34" s="84"/>
    </row>
    <row r="35" spans="2:20" s="85" customFormat="1" x14ac:dyDescent="0.25">
      <c r="B35" s="83"/>
      <c r="C35" s="446"/>
      <c r="D35" s="446"/>
      <c r="E35" s="447"/>
      <c r="F35" s="447"/>
      <c r="G35" s="447"/>
      <c r="H35" s="447"/>
      <c r="I35" s="447"/>
      <c r="J35" s="508"/>
      <c r="K35" s="509">
        <f t="shared" ref="K35:Q35" ca="1" si="0">K19+K25+K29+K33</f>
        <v>1454.7904233984773</v>
      </c>
      <c r="L35" s="509">
        <f t="shared" ca="1" si="0"/>
        <v>1429.7501163984775</v>
      </c>
      <c r="M35" s="509">
        <f t="shared" ca="1" si="0"/>
        <v>0</v>
      </c>
      <c r="N35" s="509">
        <f t="shared" ca="1" si="0"/>
        <v>1269.1164985299999</v>
      </c>
      <c r="O35" s="509">
        <f t="shared" si="0"/>
        <v>0</v>
      </c>
      <c r="P35" s="509">
        <f t="shared" ca="1" si="0"/>
        <v>-160.63361786847747</v>
      </c>
      <c r="Q35" s="509">
        <f t="shared" si="0"/>
        <v>-87.754801544557836</v>
      </c>
      <c r="R35" s="510">
        <f ca="1">(N35+O35)/L35</f>
        <v>0.88764916608427236</v>
      </c>
      <c r="S35" s="447"/>
      <c r="T35" s="84"/>
    </row>
    <row r="36" spans="2:20" s="217" customFormat="1" ht="15.75" thickBot="1" x14ac:dyDescent="0.3">
      <c r="B36" s="210"/>
      <c r="C36" s="211"/>
      <c r="D36" s="211"/>
      <c r="E36" s="212"/>
      <c r="F36" s="212"/>
      <c r="G36" s="212"/>
      <c r="H36" s="212"/>
      <c r="I36" s="212"/>
      <c r="J36" s="213"/>
      <c r="K36" s="214"/>
      <c r="L36" s="214"/>
      <c r="M36" s="214"/>
      <c r="N36" s="214"/>
      <c r="O36" s="214"/>
      <c r="P36" s="214"/>
      <c r="Q36" s="214"/>
      <c r="R36" s="215"/>
      <c r="S36" s="212"/>
      <c r="T36" s="216"/>
    </row>
    <row r="37" spans="2:20" x14ac:dyDescent="0.25">
      <c r="J37" s="91"/>
    </row>
    <row r="38" spans="2:20" x14ac:dyDescent="0.25">
      <c r="I38" s="240"/>
      <c r="J38" s="235"/>
      <c r="K38" s="235"/>
      <c r="L38" s="235"/>
      <c r="M38" s="304"/>
      <c r="N38" s="235"/>
      <c r="O38" s="235"/>
      <c r="P38" s="235"/>
      <c r="Q38" s="235"/>
    </row>
    <row r="39" spans="2:20" x14ac:dyDescent="0.25">
      <c r="B39" s="153"/>
      <c r="C39" s="153" t="s">
        <v>696</v>
      </c>
      <c r="D39" s="5"/>
      <c r="E39" s="7"/>
      <c r="F39" s="7"/>
      <c r="G39" s="7"/>
      <c r="H39" s="7"/>
      <c r="I39" s="241"/>
      <c r="J39" s="125"/>
      <c r="K39" s="242"/>
      <c r="L39" s="26"/>
      <c r="M39" s="26"/>
      <c r="N39" s="242"/>
      <c r="O39" s="242"/>
      <c r="P39" s="242"/>
      <c r="Q39" s="242"/>
      <c r="R39" s="15"/>
      <c r="S39" s="7"/>
    </row>
    <row r="40" spans="2:20" x14ac:dyDescent="0.25">
      <c r="B40" s="153"/>
      <c r="C40" s="511" t="s">
        <v>625</v>
      </c>
      <c r="D40" s="512"/>
      <c r="E40" s="513"/>
      <c r="F40" s="232"/>
      <c r="G40" s="232"/>
      <c r="H40" s="232"/>
      <c r="I40" s="232"/>
      <c r="J40" s="232"/>
      <c r="K40" s="232"/>
      <c r="L40" s="289"/>
      <c r="M40" s="232"/>
      <c r="N40" s="232"/>
      <c r="O40" s="232"/>
      <c r="P40" s="289"/>
      <c r="Q40" s="232"/>
      <c r="R40" s="232"/>
    </row>
    <row r="41" spans="2:20" s="27" customFormat="1" x14ac:dyDescent="0.25">
      <c r="B41" s="26"/>
      <c r="C41" s="13"/>
      <c r="D41" s="13"/>
      <c r="L41" s="289"/>
      <c r="T41" s="26"/>
    </row>
    <row r="42" spans="2:20" s="27" customFormat="1" x14ac:dyDescent="0.25">
      <c r="B42" s="26"/>
      <c r="C42" s="72"/>
      <c r="D42" s="72"/>
      <c r="E42" s="232"/>
      <c r="F42" s="232"/>
      <c r="G42" s="232"/>
      <c r="H42" s="233"/>
      <c r="I42" s="232"/>
      <c r="J42" s="232"/>
      <c r="K42" s="232"/>
      <c r="L42" s="232"/>
      <c r="M42" s="232"/>
      <c r="N42" s="232"/>
      <c r="O42" s="232"/>
      <c r="Q42" s="232"/>
      <c r="R42" s="232"/>
      <c r="T42" s="26"/>
    </row>
    <row r="43" spans="2:20" s="27" customFormat="1" x14ac:dyDescent="0.25">
      <c r="B43" s="26"/>
      <c r="C43" s="13"/>
      <c r="D43" s="13"/>
      <c r="E43" s="232"/>
      <c r="F43" s="232"/>
      <c r="G43" s="232"/>
      <c r="H43" s="234"/>
      <c r="L43" s="289"/>
      <c r="R43" s="232"/>
      <c r="T43" s="26"/>
    </row>
    <row r="44" spans="2:20" s="27" customFormat="1" x14ac:dyDescent="0.25">
      <c r="B44" s="26"/>
      <c r="C44" s="13"/>
      <c r="D44" s="13"/>
      <c r="E44" s="232"/>
      <c r="F44" s="232"/>
      <c r="G44" s="232"/>
      <c r="H44" s="232"/>
      <c r="I44" s="232"/>
      <c r="J44" s="232"/>
      <c r="K44" s="232"/>
      <c r="L44" s="232"/>
      <c r="M44" s="232"/>
      <c r="N44" s="232"/>
      <c r="O44" s="232"/>
      <c r="Q44" s="232"/>
      <c r="R44" s="232"/>
      <c r="T44" s="26"/>
    </row>
    <row r="45" spans="2:20" s="27" customFormat="1" x14ac:dyDescent="0.25">
      <c r="B45" s="26"/>
      <c r="C45" s="71"/>
      <c r="D45" s="71"/>
      <c r="H45" s="163"/>
      <c r="J45" s="72"/>
      <c r="R45" s="95"/>
      <c r="T45" s="26"/>
    </row>
    <row r="46" spans="2:20" s="27" customFormat="1" x14ac:dyDescent="0.25">
      <c r="B46" s="26"/>
      <c r="C46" s="71"/>
      <c r="D46" s="71"/>
      <c r="H46" s="163"/>
      <c r="J46" s="72"/>
      <c r="R46" s="95"/>
      <c r="T46" s="26"/>
    </row>
    <row r="47" spans="2:20" s="27" customFormat="1" x14ac:dyDescent="0.25">
      <c r="B47" s="26"/>
      <c r="C47" s="71"/>
      <c r="D47" s="71"/>
      <c r="H47" s="72"/>
      <c r="J47" s="72"/>
      <c r="R47" s="95"/>
      <c r="T47" s="26"/>
    </row>
    <row r="48" spans="2:20" s="27" customFormat="1" x14ac:dyDescent="0.25">
      <c r="B48" s="26"/>
      <c r="C48" s="72"/>
      <c r="D48" s="72"/>
      <c r="F48" s="72"/>
      <c r="H48" s="72"/>
      <c r="J48" s="72"/>
      <c r="R48" s="95"/>
      <c r="T48" s="26"/>
    </row>
    <row r="49" spans="2:20" s="27" customFormat="1" x14ac:dyDescent="0.25">
      <c r="B49" s="26"/>
      <c r="H49" s="72"/>
      <c r="J49" s="72"/>
      <c r="R49" s="95"/>
      <c r="T49" s="26"/>
    </row>
    <row r="50" spans="2:20" s="27" customFormat="1" x14ac:dyDescent="0.25">
      <c r="B50" s="26"/>
      <c r="R50" s="95"/>
      <c r="T50" s="26"/>
    </row>
    <row r="51" spans="2:20" s="27" customFormat="1" x14ac:dyDescent="0.25">
      <c r="B51" s="26"/>
      <c r="C51" s="71"/>
      <c r="D51" s="71"/>
      <c r="G51" s="72"/>
      <c r="R51" s="95"/>
      <c r="T51" s="26"/>
    </row>
  </sheetData>
  <dataConsolidate/>
  <pageMargins left="0.7" right="0.7" top="0.75" bottom="0.75" header="0.3" footer="0.3"/>
  <pageSetup paperSize="9" scale="24"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1"/>
  <sheetViews>
    <sheetView showGridLines="0" topLeftCell="F1" zoomScale="85" zoomScaleNormal="85" workbookViewId="0">
      <selection activeCell="B14" sqref="B14"/>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56" customWidth="1"/>
    <col min="9" max="9" width="4.28515625" style="26" customWidth="1"/>
    <col min="10" max="10" width="42.42578125" style="26" bestFit="1"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193" t="s">
        <v>58</v>
      </c>
      <c r="C2" s="194">
        <f>'9. All deals (a)'!D2</f>
        <v>45565</v>
      </c>
      <c r="D2" s="194"/>
      <c r="E2" s="195"/>
      <c r="F2" s="195"/>
      <c r="G2" s="195"/>
      <c r="H2" s="452"/>
    </row>
    <row r="3" spans="2:19" x14ac:dyDescent="0.25">
      <c r="B3" s="262"/>
      <c r="C3" s="262"/>
      <c r="D3" s="262"/>
      <c r="E3" s="262"/>
      <c r="F3" s="262"/>
      <c r="G3" s="262"/>
      <c r="H3" s="453"/>
    </row>
    <row r="4" spans="2:19" ht="30.75" customHeight="1" x14ac:dyDescent="0.25">
      <c r="B4" s="3"/>
      <c r="C4" s="3"/>
      <c r="D4" s="3"/>
      <c r="E4" s="1"/>
      <c r="F4" s="1"/>
      <c r="G4" s="1"/>
      <c r="H4" s="454"/>
    </row>
    <row r="5" spans="2:19" ht="60" customHeight="1" thickBot="1" x14ac:dyDescent="0.3">
      <c r="B5" s="310" t="s">
        <v>85</v>
      </c>
      <c r="C5" s="307" t="s">
        <v>31</v>
      </c>
      <c r="D5" s="307" t="s">
        <v>36</v>
      </c>
      <c r="E5" s="307" t="s">
        <v>27</v>
      </c>
      <c r="F5" s="307" t="s">
        <v>86</v>
      </c>
      <c r="G5" s="307"/>
      <c r="H5" s="455" t="s">
        <v>21</v>
      </c>
      <c r="J5" s="609" t="s">
        <v>638</v>
      </c>
      <c r="K5" s="610" t="s">
        <v>639</v>
      </c>
      <c r="L5" s="610"/>
      <c r="M5" s="610"/>
      <c r="N5" s="611"/>
      <c r="O5" s="611"/>
      <c r="P5" s="611"/>
      <c r="Q5" s="611"/>
      <c r="R5" s="612"/>
      <c r="S5" s="613"/>
    </row>
    <row r="6" spans="2:19" ht="15.75" customHeight="1" thickBot="1" x14ac:dyDescent="0.3">
      <c r="B6" s="306"/>
      <c r="C6" s="156"/>
      <c r="D6" s="307"/>
      <c r="E6" s="440" t="s">
        <v>83</v>
      </c>
      <c r="F6" s="309" t="s">
        <v>84</v>
      </c>
      <c r="G6" s="309" t="s">
        <v>10</v>
      </c>
      <c r="H6" s="455"/>
      <c r="J6" s="659" t="s">
        <v>640</v>
      </c>
      <c r="K6" s="660"/>
      <c r="L6" s="660"/>
      <c r="M6" s="661"/>
      <c r="N6" s="656" t="s">
        <v>641</v>
      </c>
      <c r="O6" s="657"/>
      <c r="P6" s="657"/>
      <c r="Q6" s="657"/>
      <c r="R6" s="657"/>
      <c r="S6" s="658"/>
    </row>
    <row r="7" spans="2:19" ht="30" x14ac:dyDescent="0.25">
      <c r="B7" s="306"/>
      <c r="C7" s="156"/>
      <c r="D7" s="307"/>
      <c r="E7" s="308" t="str">
        <f>"NAV | "&amp; TEXT(C2,"dd")&amp;" "&amp;TEXT(C2,"mmm")&amp;" "&amp;TEXT(C2,"yyyy")</f>
        <v>NAV | 30 Sep 2024</v>
      </c>
      <c r="F7" s="308"/>
      <c r="G7" s="308" t="str">
        <f>"PPS |" &amp; TEXT(C2,"dd")&amp;" "&amp;TEXT(C2,"mmm")&amp;" "&amp;TEXT(C2,"yyyy")</f>
        <v>PPS |30 Sep 2024</v>
      </c>
      <c r="H7" s="455"/>
      <c r="J7" s="614" t="s">
        <v>642</v>
      </c>
      <c r="K7" s="615" t="s">
        <v>643</v>
      </c>
      <c r="L7" s="616" t="s">
        <v>644</v>
      </c>
      <c r="M7" s="617" t="s">
        <v>645</v>
      </c>
      <c r="N7" s="618" t="s">
        <v>646</v>
      </c>
      <c r="O7" s="619" t="s">
        <v>647</v>
      </c>
      <c r="P7" s="620" t="s">
        <v>648</v>
      </c>
      <c r="Q7" s="621" t="s">
        <v>649</v>
      </c>
      <c r="R7" s="621" t="s">
        <v>650</v>
      </c>
      <c r="S7" s="622" t="s">
        <v>651</v>
      </c>
    </row>
    <row r="8" spans="2:19" x14ac:dyDescent="0.25">
      <c r="J8" s="623"/>
      <c r="K8" s="624"/>
      <c r="L8" s="625"/>
      <c r="M8" s="626"/>
      <c r="N8" s="627"/>
      <c r="O8" s="628"/>
      <c r="P8" s="629"/>
      <c r="Q8" s="630"/>
      <c r="R8" s="630"/>
      <c r="S8" s="631"/>
    </row>
    <row r="9" spans="2:19" x14ac:dyDescent="0.25">
      <c r="B9" s="423" t="s">
        <v>28</v>
      </c>
      <c r="C9" s="423"/>
      <c r="D9" s="423"/>
      <c r="E9" s="423"/>
      <c r="F9" s="423"/>
      <c r="G9" s="423"/>
      <c r="H9" s="423"/>
      <c r="J9" s="632" t="s">
        <v>652</v>
      </c>
      <c r="K9" s="633">
        <v>300</v>
      </c>
      <c r="L9" s="634">
        <f>Q9</f>
        <v>204.6</v>
      </c>
      <c r="M9" s="635">
        <f>L9-K9</f>
        <v>-95.4</v>
      </c>
      <c r="N9" s="636">
        <v>300</v>
      </c>
      <c r="O9" s="637">
        <v>187.6</v>
      </c>
      <c r="P9" s="638">
        <v>221.6</v>
      </c>
      <c r="Q9" s="639">
        <f>AVERAGE(O9:P9)</f>
        <v>204.6</v>
      </c>
      <c r="R9" s="640">
        <f>Q9-N9</f>
        <v>-95.4</v>
      </c>
      <c r="S9" s="229" t="s">
        <v>653</v>
      </c>
    </row>
    <row r="10" spans="2:19" x14ac:dyDescent="0.25">
      <c r="B10" s="430" t="str">
        <f>'9. All deals (a)'!C9</f>
        <v>Jollychic Holding Limited</v>
      </c>
      <c r="C10" s="432" t="str">
        <f>'9. All deals (a)'!F9</f>
        <v>Mozn</v>
      </c>
      <c r="D10" s="432" t="str">
        <f>'9. All deals (a)'!H9</f>
        <v>C+ Prefs</v>
      </c>
      <c r="E10" s="437">
        <f>F10*G10*10^-6</f>
        <v>0</v>
      </c>
      <c r="F10" s="448">
        <f>VLOOKUP(B10,'6. %'!$C$6:$I$40,2,0)</f>
        <v>13458655</v>
      </c>
      <c r="G10" s="434"/>
      <c r="H10" s="457" t="s">
        <v>542</v>
      </c>
      <c r="J10" s="632" t="s">
        <v>228</v>
      </c>
      <c r="K10" s="633">
        <v>78.099999999999994</v>
      </c>
      <c r="L10" s="641">
        <f>Q10</f>
        <v>62.900000000000006</v>
      </c>
      <c r="M10" s="635">
        <f t="shared" ref="M10:M12" si="0">L10-K10</f>
        <v>-15.199999999999989</v>
      </c>
      <c r="N10" s="636">
        <v>80.3</v>
      </c>
      <c r="O10" s="637">
        <v>56.9</v>
      </c>
      <c r="P10" s="638">
        <v>68.900000000000006</v>
      </c>
      <c r="Q10" s="642">
        <f>AVERAGE(O10:P10)</f>
        <v>62.900000000000006</v>
      </c>
      <c r="R10" s="640">
        <f>Q10-N10</f>
        <v>-17.399999999999991</v>
      </c>
      <c r="S10" s="643" t="s">
        <v>653</v>
      </c>
    </row>
    <row r="11" spans="2:19" x14ac:dyDescent="0.25">
      <c r="B11" s="430" t="str">
        <f>'9. All deals (a)'!C10</f>
        <v>Mena Mobile Inc</v>
      </c>
      <c r="C11" s="432" t="str">
        <f>'9. All deals (a)'!F10</f>
        <v>Mozn</v>
      </c>
      <c r="D11" s="432" t="str">
        <f>'9. All deals (a)'!H10</f>
        <v>B Prefs</v>
      </c>
      <c r="E11" s="437">
        <v>0</v>
      </c>
      <c r="F11" s="448">
        <f>VLOOKUP(B11,'6. %'!$C$6:$I$40,2,0)</f>
        <v>21419829</v>
      </c>
      <c r="G11" s="434"/>
      <c r="H11" s="457" t="s">
        <v>339</v>
      </c>
      <c r="J11" s="632" t="s">
        <v>37</v>
      </c>
      <c r="K11" s="633">
        <v>91</v>
      </c>
      <c r="L11" s="641">
        <f>Q11</f>
        <v>73.800000000000011</v>
      </c>
      <c r="M11" s="635">
        <f t="shared" si="0"/>
        <v>-17.199999999999989</v>
      </c>
      <c r="N11" s="644">
        <v>102.1</v>
      </c>
      <c r="O11" s="645">
        <v>66.2</v>
      </c>
      <c r="P11" s="638">
        <v>81.400000000000006</v>
      </c>
      <c r="Q11" s="639">
        <f>AVERAGE(O11:P11)</f>
        <v>73.800000000000011</v>
      </c>
      <c r="R11" s="640">
        <f>Q11-N11</f>
        <v>-28.299999999999983</v>
      </c>
      <c r="S11" s="229" t="s">
        <v>653</v>
      </c>
    </row>
    <row r="12" spans="2:19" ht="15.75" thickBot="1" x14ac:dyDescent="0.3">
      <c r="B12" s="4" t="str">
        <f>'9. All deals (a)'!C11</f>
        <v>Flyr Inc</v>
      </c>
      <c r="C12" s="2" t="str">
        <f>'9. All deals (a)'!F11</f>
        <v>Mozn</v>
      </c>
      <c r="D12" s="2" t="str">
        <f>'9. All deals (a)'!H11</f>
        <v>B-1,2 Prefs</v>
      </c>
      <c r="E12" s="523">
        <f>F12*G12*10^-6</f>
        <v>37.118730497400001</v>
      </c>
      <c r="F12" s="449">
        <f>VLOOKUP(B12,'6. %'!$C$6:$I$40,2,0)</f>
        <v>5205482</v>
      </c>
      <c r="G12" s="191">
        <v>7.1307</v>
      </c>
      <c r="H12" s="458" t="s">
        <v>688</v>
      </c>
      <c r="J12" s="646" t="s">
        <v>654</v>
      </c>
      <c r="K12" s="647">
        <v>15</v>
      </c>
      <c r="L12" s="648">
        <f>Q12</f>
        <v>161.9</v>
      </c>
      <c r="M12" s="649">
        <f t="shared" si="0"/>
        <v>146.9</v>
      </c>
      <c r="N12" s="650">
        <f>5.9*10^-3</f>
        <v>5.9000000000000007E-3</v>
      </c>
      <c r="O12" s="651"/>
      <c r="P12" s="652"/>
      <c r="Q12" s="653">
        <v>161.9</v>
      </c>
      <c r="R12" s="654">
        <f t="shared" ref="R12" si="1">Q12-N12</f>
        <v>161.89410000000001</v>
      </c>
      <c r="S12" s="249" t="s">
        <v>655</v>
      </c>
    </row>
    <row r="13" spans="2:19" x14ac:dyDescent="0.25">
      <c r="B13" s="430" t="str">
        <f>'9. All deals (a)'!C12</f>
        <v xml:space="preserve">Esyasoft Holding </v>
      </c>
      <c r="C13" s="432" t="str">
        <f>'9. All deals (a)'!F12</f>
        <v>Mozn</v>
      </c>
      <c r="D13" s="432" t="str">
        <f>'9. All deals (a)'!H12</f>
        <v>Convertible Note</v>
      </c>
      <c r="E13" s="437">
        <v>0</v>
      </c>
      <c r="F13" s="448" t="str">
        <f>VLOOKUP(B13,'6. %'!$C$6:$I$40,2,0)</f>
        <v>n/a</v>
      </c>
      <c r="G13" s="434"/>
      <c r="H13" s="457" t="s">
        <v>295</v>
      </c>
    </row>
    <row r="14" spans="2:19" ht="15.75" thickBot="1" x14ac:dyDescent="0.3">
      <c r="B14" s="4" t="str">
        <f>'9. All deals (a)'!C13</f>
        <v>Beyond Limits</v>
      </c>
      <c r="C14" s="2" t="str">
        <f>'9. All deals (a)'!F13</f>
        <v>Mozn</v>
      </c>
      <c r="D14" s="2" t="str">
        <f>'9. All deals (a)'!H13</f>
        <v>C Prefs</v>
      </c>
      <c r="E14" s="523">
        <f>F14*G14/2/1000000</f>
        <v>45.500770150000008</v>
      </c>
      <c r="F14" s="449">
        <f>VLOOKUP(B14,'6. %'!$C$6:$I$40,2,0)</f>
        <v>17670202</v>
      </c>
      <c r="G14" s="191">
        <v>5.15</v>
      </c>
      <c r="H14" s="458" t="s">
        <v>713</v>
      </c>
    </row>
    <row r="15" spans="2:19" x14ac:dyDescent="0.25">
      <c r="B15" s="431" t="str">
        <f>'9. All deals (a)'!C14</f>
        <v>ONT plc</v>
      </c>
      <c r="C15" s="433" t="str">
        <f>'9. All deals (a)'!F14</f>
        <v>Mozn</v>
      </c>
      <c r="D15" s="433" t="str">
        <f>'9. All deals (a)'!H14</f>
        <v>Ordinary Shares</v>
      </c>
      <c r="E15" s="439">
        <f>F15*G15*10^-6</f>
        <v>94.332808617835184</v>
      </c>
      <c r="F15" s="450">
        <f>VLOOKUP(B15,'6. %'!$C$6:$I$40,2,0)</f>
        <v>44328120</v>
      </c>
      <c r="G15" s="435">
        <f>K18*K20</f>
        <v>2.12805796</v>
      </c>
      <c r="H15" s="459" t="s">
        <v>215</v>
      </c>
      <c r="J15" s="281"/>
      <c r="K15" s="282"/>
      <c r="L15" s="283"/>
    </row>
    <row r="16" spans="2:19" x14ac:dyDescent="0.25">
      <c r="B16" s="4" t="str">
        <f>'9. All deals (a)'!C15</f>
        <v>Heygears</v>
      </c>
      <c r="C16" s="2" t="str">
        <f>'9. All deals (a)'!F15</f>
        <v>Mozn</v>
      </c>
      <c r="D16" s="2" t="str">
        <f>'9. All deals (a)'!H15</f>
        <v>Registered Capital</v>
      </c>
      <c r="E16" s="438">
        <f>K34/1000000</f>
        <v>153.73258334414044</v>
      </c>
      <c r="F16" s="449">
        <f>'CF (Equity, Debt)'!J20</f>
        <v>3565017.22</v>
      </c>
      <c r="G16" s="191"/>
      <c r="H16" s="458" t="s">
        <v>342</v>
      </c>
      <c r="J16" s="279" t="s">
        <v>316</v>
      </c>
      <c r="K16" s="280">
        <f>C2</f>
        <v>45565</v>
      </c>
      <c r="L16" s="573" t="s">
        <v>301</v>
      </c>
    </row>
    <row r="17" spans="2:12" x14ac:dyDescent="0.25">
      <c r="B17" s="430" t="str">
        <f>'9. All deals (a)'!C16</f>
        <v>Jysan Technologies</v>
      </c>
      <c r="C17" s="432" t="str">
        <f>'9. All deals (a)'!F16</f>
        <v>Mozn 1</v>
      </c>
      <c r="D17" s="432" t="str">
        <f>'9. All deals (a)'!H16</f>
        <v>A (Ordinary Shares)</v>
      </c>
      <c r="E17" s="437">
        <v>0</v>
      </c>
      <c r="F17" s="448">
        <f>VLOOKUP(B17,'6. %'!$C$6:$I$40,2,0)</f>
        <v>7959497</v>
      </c>
      <c r="G17" s="434">
        <f>E17*10^6/F17</f>
        <v>0</v>
      </c>
      <c r="H17" s="457" t="s">
        <v>430</v>
      </c>
      <c r="J17" s="81" t="s">
        <v>709</v>
      </c>
      <c r="K17" s="158">
        <f>1.8914</f>
        <v>1.8914</v>
      </c>
      <c r="L17" s="228" t="s">
        <v>710</v>
      </c>
    </row>
    <row r="18" spans="2:12" x14ac:dyDescent="0.25">
      <c r="B18" s="4" t="str">
        <f>'9. All deals (a)'!C17</f>
        <v>Cerebras Systems Inc</v>
      </c>
      <c r="C18" s="2" t="str">
        <f>'9. All deals (a)'!F17</f>
        <v>Mozn</v>
      </c>
      <c r="D18" s="2" t="str">
        <f>'9. All deals (a)'!H17</f>
        <v>F Prefs</v>
      </c>
      <c r="E18" s="438">
        <f>F18*G18*10^-6</f>
        <v>21.135483260000001</v>
      </c>
      <c r="F18" s="449">
        <f>VLOOKUP(B18,'6. %'!$C$6:$I$40,2,0)</f>
        <v>1441711</v>
      </c>
      <c r="G18" s="191">
        <v>14.66</v>
      </c>
      <c r="H18" s="458" t="s">
        <v>538</v>
      </c>
      <c r="J18" s="230" t="s">
        <v>296</v>
      </c>
      <c r="K18" s="158">
        <v>1.591</v>
      </c>
      <c r="L18" s="228" t="s">
        <v>712</v>
      </c>
    </row>
    <row r="19" spans="2:12" x14ac:dyDescent="0.25">
      <c r="B19" s="4" t="str">
        <f>'9. All deals (a)'!C18</f>
        <v>Endless Studios LLC</v>
      </c>
      <c r="C19" s="2" t="str">
        <f>'9. All deals (a)'!F18</f>
        <v>Mozn</v>
      </c>
      <c r="D19" s="2" t="str">
        <f>'9. All deals (a)'!H18</f>
        <v>A Pref Units</v>
      </c>
      <c r="E19" s="438">
        <f>-'CF (Equity, Debt)'!E23-'CF (Equity, Debt)'!E41</f>
        <v>8</v>
      </c>
      <c r="F19" s="449">
        <f>VLOOKUP(B19,'6. %'!$C$6:$I$40,2,0)</f>
        <v>8000000</v>
      </c>
      <c r="G19" s="191"/>
      <c r="H19" s="458" t="s">
        <v>538</v>
      </c>
      <c r="J19" s="81" t="s">
        <v>298</v>
      </c>
      <c r="K19" s="158">
        <v>13.565</v>
      </c>
      <c r="L19" s="228" t="s">
        <v>711</v>
      </c>
    </row>
    <row r="20" spans="2:12" x14ac:dyDescent="0.25">
      <c r="B20" s="430" t="str">
        <f>'9. All deals (a)'!C19</f>
        <v>Instadeep Limited</v>
      </c>
      <c r="C20" s="432" t="str">
        <f>'9. All deals (a)'!F19</f>
        <v>Mozn</v>
      </c>
      <c r="D20" s="432" t="str">
        <f>'9. All deals (a)'!H19</f>
        <v xml:space="preserve">B Prefs </v>
      </c>
      <c r="E20" s="437">
        <f>-'CF (Equity, Debt)'!E24*G20</f>
        <v>0</v>
      </c>
      <c r="F20" s="448">
        <f>VLOOKUP(B20,'6. %'!$C$6:$I$40,2,0)</f>
        <v>33267</v>
      </c>
      <c r="G20" s="434">
        <v>0</v>
      </c>
      <c r="H20" s="457" t="s">
        <v>418</v>
      </c>
      <c r="J20" s="230" t="s">
        <v>297</v>
      </c>
      <c r="K20" s="158">
        <v>1.3375600000000001</v>
      </c>
      <c r="L20" s="228" t="s">
        <v>300</v>
      </c>
    </row>
    <row r="21" spans="2:12" x14ac:dyDescent="0.25">
      <c r="B21" s="430" t="str">
        <f>'9. All deals (a)'!C20</f>
        <v>X-fusion</v>
      </c>
      <c r="C21" s="432" t="str">
        <f>'9. All deals (a)'!F20</f>
        <v>Mozn 2</v>
      </c>
      <c r="D21" s="432" t="str">
        <f>'9. All deals (a)'!H20</f>
        <v>Equity-TBC</v>
      </c>
      <c r="E21" s="437">
        <v>0</v>
      </c>
      <c r="F21" s="448" t="str">
        <f>VLOOKUP(B21,'6. %'!$C$6:$I$40,2,0)</f>
        <v>n/a</v>
      </c>
      <c r="G21" s="434"/>
      <c r="H21" s="457" t="s">
        <v>543</v>
      </c>
      <c r="J21" s="81" t="s">
        <v>299</v>
      </c>
      <c r="K21" s="158">
        <v>7.0169899999999998</v>
      </c>
      <c r="L21" s="228" t="s">
        <v>300</v>
      </c>
    </row>
    <row r="22" spans="2:12" ht="15.75" thickBot="1" x14ac:dyDescent="0.3">
      <c r="B22" s="4" t="str">
        <f>'9. All deals (a)'!C21</f>
        <v>DriveNets</v>
      </c>
      <c r="C22" s="2" t="str">
        <f>'9. All deals (a)'!F21</f>
        <v>G42</v>
      </c>
      <c r="D22" s="2" t="str">
        <f>'9. All deals (a)'!H21</f>
        <v>Equity-TBC</v>
      </c>
      <c r="E22" s="523">
        <f>L9</f>
        <v>204.6</v>
      </c>
      <c r="F22" s="449">
        <f>VLOOKUP(B22,'6. %'!$C$6:$I$40,2,0)</f>
        <v>86882669</v>
      </c>
      <c r="G22" s="191"/>
      <c r="H22" s="458" t="s">
        <v>538</v>
      </c>
      <c r="J22" s="86" t="s">
        <v>438</v>
      </c>
      <c r="K22" s="608">
        <v>1.1137699999999999</v>
      </c>
      <c r="L22" s="231" t="s">
        <v>300</v>
      </c>
    </row>
    <row r="23" spans="2:12" x14ac:dyDescent="0.25">
      <c r="B23" s="431" t="str">
        <f>'9. All deals (a)'!C22</f>
        <v>vTv Therapeutics Inc.</v>
      </c>
      <c r="C23" s="433" t="str">
        <f>'9. All deals (a)'!F22</f>
        <v>G42</v>
      </c>
      <c r="D23" s="433" t="str">
        <f>'9. All deals (a)'!H22</f>
        <v>Ordinary Shares</v>
      </c>
      <c r="E23" s="439">
        <f>(F23*G23)*10^-6</f>
        <v>3.5222472049999998</v>
      </c>
      <c r="F23" s="450">
        <f>VLOOKUP(B23,'6. %'!$C$6:$I$40,2,0)</f>
        <v>259657</v>
      </c>
      <c r="G23" s="435">
        <f>K19</f>
        <v>13.565</v>
      </c>
      <c r="H23" s="459" t="s">
        <v>215</v>
      </c>
    </row>
    <row r="24" spans="2:12" ht="15.75" thickBot="1" x14ac:dyDescent="0.3">
      <c r="B24" s="430" t="str">
        <f>'9. All deals (a)'!C23</f>
        <v>Honor Device Co Ltd</v>
      </c>
      <c r="C24" s="432" t="str">
        <f>'9. All deals (a)'!F23</f>
        <v>G42 3</v>
      </c>
      <c r="D24" s="432" t="str">
        <f>'9. All deals (a)'!H23</f>
        <v>Equity-TBC</v>
      </c>
      <c r="E24" s="437">
        <v>0</v>
      </c>
      <c r="F24" s="448">
        <f>VLOOKUP(B24,'6. %'!$C$6:$I$40,2,0)</f>
        <v>606850777.73599994</v>
      </c>
      <c r="G24" s="434"/>
      <c r="H24" s="457" t="s">
        <v>545</v>
      </c>
    </row>
    <row r="25" spans="2:12" x14ac:dyDescent="0.25">
      <c r="B25" s="4" t="str">
        <f>'9. All deals (a)'!C24</f>
        <v>Applied AI Corporation Limited</v>
      </c>
      <c r="C25" s="2" t="str">
        <f>'9. All deals (a)'!F24</f>
        <v>Mozn</v>
      </c>
      <c r="D25" s="2" t="str">
        <f>'9. All deals (a)'!H24</f>
        <v>Convertible Note</v>
      </c>
      <c r="E25" s="438">
        <f>-'CF (Equity, Debt)'!E32-'CF (Equity, Debt)'!E38-'CF (Equity, Debt)'!E47</f>
        <v>11.5</v>
      </c>
      <c r="F25" s="449" t="str">
        <f>VLOOKUP(B25,'6. %'!$C$6:$I$40,2,0)</f>
        <v>n/a</v>
      </c>
      <c r="G25" s="191"/>
      <c r="H25" s="458" t="s">
        <v>538</v>
      </c>
      <c r="J25" s="385" t="s">
        <v>261</v>
      </c>
      <c r="K25" s="285"/>
      <c r="L25" s="291"/>
    </row>
    <row r="26" spans="2:12" x14ac:dyDescent="0.25">
      <c r="B26" s="4" t="str">
        <f>'9. All deals (a)'!C25</f>
        <v xml:space="preserve">eSpace </v>
      </c>
      <c r="C26" s="2" t="str">
        <f>'9. All deals (a)'!F25</f>
        <v>Mozn 4</v>
      </c>
      <c r="D26" s="2" t="str">
        <f>'9. All deals (a)'!H25</f>
        <v>B Prefs</v>
      </c>
      <c r="E26" s="438">
        <f>F26*G26*10^-6</f>
        <v>20.888121539999997</v>
      </c>
      <c r="F26" s="449">
        <f>VLOOKUP(B26,'6. %'!$C$6:$I$40,2,0)</f>
        <v>417846</v>
      </c>
      <c r="G26" s="191">
        <v>49.99</v>
      </c>
      <c r="H26" s="458" t="s">
        <v>628</v>
      </c>
      <c r="J26" s="293" t="s">
        <v>252</v>
      </c>
      <c r="K26" s="294">
        <v>7500000000</v>
      </c>
      <c r="L26" s="295"/>
    </row>
    <row r="27" spans="2:12" x14ac:dyDescent="0.25">
      <c r="B27" s="4" t="str">
        <f>'9. All deals (a)'!C26</f>
        <v>Tools for Humanity Corporation</v>
      </c>
      <c r="C27" s="2" t="str">
        <f>'9. All deals (a)'!F26</f>
        <v>Mozn</v>
      </c>
      <c r="D27" s="2" t="str">
        <f>'9. All deals (a)'!H26</f>
        <v>C Prefs</v>
      </c>
      <c r="E27" s="438">
        <f ca="1">'9. All deals (a)'!K26</f>
        <v>14.999998939999999</v>
      </c>
      <c r="F27" s="449">
        <f>VLOOKUP(B27,'6. %'!$C$6:$I$40,2,0)</f>
        <v>65413</v>
      </c>
      <c r="G27" s="191"/>
      <c r="H27" s="458" t="s">
        <v>538</v>
      </c>
      <c r="J27" s="293" t="s">
        <v>253</v>
      </c>
      <c r="K27" s="296">
        <v>0.14383199999999999</v>
      </c>
      <c r="L27" s="295"/>
    </row>
    <row r="28" spans="2:12" x14ac:dyDescent="0.25">
      <c r="B28" s="431" t="str">
        <f>'9. All deals (a)'!C27</f>
        <v>WLD Tokens</v>
      </c>
      <c r="C28" s="433" t="str">
        <f>'9. All deals (a)'!F27</f>
        <v>Mozn</v>
      </c>
      <c r="D28" s="433" t="str">
        <f>'9. All deals (a)'!H27</f>
        <v>Tokens</v>
      </c>
      <c r="E28" s="439">
        <f>F28*G28*10^-6</f>
        <v>118.21249999999999</v>
      </c>
      <c r="F28" s="450">
        <f>VLOOKUP(B28,'6. %'!$C$6:$I$40,2,0)</f>
        <v>62500000</v>
      </c>
      <c r="G28" s="435">
        <f>K17</f>
        <v>1.8914</v>
      </c>
      <c r="H28" s="459" t="s">
        <v>708</v>
      </c>
      <c r="J28" s="293" t="s">
        <v>254</v>
      </c>
      <c r="K28" s="294">
        <v>1078740000</v>
      </c>
      <c r="L28" s="295"/>
    </row>
    <row r="29" spans="2:12" x14ac:dyDescent="0.25">
      <c r="B29" s="4" t="str">
        <f>'9. All deals (a)'!C28</f>
        <v>E-line Ventures LLC</v>
      </c>
      <c r="C29" s="2" t="str">
        <f>'9. All deals (a)'!F28</f>
        <v>Mozn</v>
      </c>
      <c r="D29" s="2" t="str">
        <f>'9. All deals (a)'!H28</f>
        <v>B Prefs</v>
      </c>
      <c r="E29" s="438">
        <f ca="1">MAX('9. All deals (a)'!K28,F29*G29*10^-6)</f>
        <v>6</v>
      </c>
      <c r="F29" s="449">
        <f>VLOOKUP(B29,'6. %'!$C$6:$I$40,2,0)</f>
        <v>4477612</v>
      </c>
      <c r="G29" s="191"/>
      <c r="H29" s="458" t="s">
        <v>538</v>
      </c>
      <c r="J29" s="293" t="s">
        <v>255</v>
      </c>
      <c r="K29" s="297">
        <v>0</v>
      </c>
      <c r="L29" s="295"/>
    </row>
    <row r="30" spans="2:12" x14ac:dyDescent="0.25">
      <c r="B30" s="4" t="str">
        <f>'9. All deals (a)'!C29</f>
        <v>School Hack (AIREV Holding Limited)</v>
      </c>
      <c r="C30" s="2" t="str">
        <f>'9. All deals (a)'!F29</f>
        <v>Core42 5</v>
      </c>
      <c r="D30" s="2" t="str">
        <f>'9. All deals (a)'!H29</f>
        <v>Preferred Shares</v>
      </c>
      <c r="E30" s="438">
        <f ca="1">MAX('9. All deals (a)'!K29,F30*G30*10^-6)</f>
        <v>2.5</v>
      </c>
      <c r="F30" s="449">
        <f>VLOOKUP(B30,'6. %'!$C$6:$I$40,2,0)</f>
        <v>25000</v>
      </c>
      <c r="G30" s="191"/>
      <c r="H30" s="458" t="s">
        <v>538</v>
      </c>
      <c r="J30" s="293" t="s">
        <v>256</v>
      </c>
      <c r="K30" s="297">
        <v>0</v>
      </c>
      <c r="L30" s="295"/>
    </row>
    <row r="31" spans="2:12" x14ac:dyDescent="0.25">
      <c r="B31" s="4" t="str">
        <f>'9. All deals (a)'!C30</f>
        <v>Life Biosciences LLC</v>
      </c>
      <c r="C31" s="2" t="str">
        <f>'9. All deals (a)'!F30</f>
        <v>G42 Capital</v>
      </c>
      <c r="D31" s="2" t="str">
        <f>'9. All deals (a)'!H30</f>
        <v>Convertible Note</v>
      </c>
      <c r="E31" s="438">
        <f>-'CF (Equity, Debt)'!E49</f>
        <v>20</v>
      </c>
      <c r="F31" s="449" t="str">
        <f>VLOOKUP(B31,'6. %'!$C$6:$I$40,2,0)</f>
        <v>n/a</v>
      </c>
      <c r="G31" s="191"/>
      <c r="H31" s="458" t="s">
        <v>538</v>
      </c>
      <c r="J31" s="293" t="s">
        <v>257</v>
      </c>
      <c r="K31" s="294">
        <f>K28*(1-K29)*(1-K30)</f>
        <v>1078740000</v>
      </c>
      <c r="L31" s="298"/>
    </row>
    <row r="32" spans="2:12" ht="15.75" thickBot="1" x14ac:dyDescent="0.3">
      <c r="B32" s="4" t="str">
        <f>'9. All deals (a)'!C31</f>
        <v>Verses AI Inc</v>
      </c>
      <c r="C32" s="2" t="str">
        <f>'9. All deals (a)'!F31</f>
        <v>G42 Capital</v>
      </c>
      <c r="D32" s="2" t="str">
        <f>'9. All deals (a)'!H31</f>
        <v>Convertible Debenture</v>
      </c>
      <c r="E32" s="305">
        <f>-'CF (Equity, Debt)'!E50</f>
        <v>10</v>
      </c>
      <c r="F32" s="442" t="str">
        <f>VLOOKUP(B32,'6. %'!$C$6:$I$40,2,0)</f>
        <v>n/a</v>
      </c>
      <c r="G32" s="191"/>
      <c r="H32" s="458" t="s">
        <v>538</v>
      </c>
      <c r="J32" s="293"/>
      <c r="K32" s="294"/>
      <c r="L32" s="298"/>
    </row>
    <row r="33" spans="2:12" x14ac:dyDescent="0.25">
      <c r="B33" s="181"/>
      <c r="C33" s="181"/>
      <c r="D33" s="181"/>
      <c r="E33" s="181"/>
      <c r="F33" s="443"/>
      <c r="G33" s="181"/>
      <c r="H33" s="460"/>
      <c r="J33" s="293" t="s">
        <v>315</v>
      </c>
      <c r="K33" s="299">
        <f>K21</f>
        <v>7.0169899999999998</v>
      </c>
      <c r="L33" s="298"/>
    </row>
    <row r="34" spans="2:12" ht="15.75" thickBot="1" x14ac:dyDescent="0.3">
      <c r="B34" s="423" t="s">
        <v>29</v>
      </c>
      <c r="C34" s="423"/>
      <c r="D34" s="423"/>
      <c r="E34" s="423"/>
      <c r="F34" s="423"/>
      <c r="G34" s="423"/>
      <c r="H34" s="423"/>
      <c r="J34" s="293" t="s">
        <v>258</v>
      </c>
      <c r="K34" s="451">
        <f>K31/K33</f>
        <v>153732583.34414044</v>
      </c>
      <c r="L34" s="295"/>
    </row>
    <row r="35" spans="2:12" x14ac:dyDescent="0.25">
      <c r="B35" s="430" t="s">
        <v>48</v>
      </c>
      <c r="C35" s="432" t="s">
        <v>8</v>
      </c>
      <c r="D35" s="432" t="s">
        <v>126</v>
      </c>
      <c r="E35" s="436">
        <f>'9. All deals (a)'!N36</f>
        <v>0</v>
      </c>
      <c r="F35" s="441"/>
      <c r="G35" s="434"/>
      <c r="H35" s="457" t="s">
        <v>130</v>
      </c>
      <c r="J35" s="293" t="s">
        <v>259</v>
      </c>
      <c r="K35" s="294">
        <v>60000000</v>
      </c>
      <c r="L35" s="295"/>
    </row>
    <row r="36" spans="2:12" ht="15.75" thickBot="1" x14ac:dyDescent="0.3">
      <c r="B36" s="430" t="s">
        <v>248</v>
      </c>
      <c r="C36" s="432" t="s">
        <v>8</v>
      </c>
      <c r="D36" s="432" t="s">
        <v>127</v>
      </c>
      <c r="E36" s="437">
        <v>0</v>
      </c>
      <c r="F36" s="441"/>
      <c r="G36" s="434"/>
      <c r="H36" s="457" t="s">
        <v>542</v>
      </c>
      <c r="J36" s="300"/>
      <c r="K36" s="301"/>
      <c r="L36" s="90"/>
    </row>
    <row r="37" spans="2:12" ht="15.75" thickBot="1" x14ac:dyDescent="0.3">
      <c r="B37" s="430" t="s">
        <v>240</v>
      </c>
      <c r="C37" s="432" t="s">
        <v>8</v>
      </c>
      <c r="D37" s="432" t="s">
        <v>127</v>
      </c>
      <c r="E37" s="444">
        <v>0</v>
      </c>
      <c r="F37" s="441"/>
      <c r="G37" s="434"/>
      <c r="H37" s="457" t="s">
        <v>546</v>
      </c>
      <c r="J37" s="375"/>
      <c r="K37" s="376"/>
    </row>
    <row r="38" spans="2:12" ht="15.75" thickBot="1" x14ac:dyDescent="0.3">
      <c r="B38" s="181"/>
      <c r="C38" s="181"/>
      <c r="D38" s="181"/>
      <c r="E38" s="181"/>
      <c r="F38" s="181"/>
      <c r="G38" s="181"/>
      <c r="H38" s="460"/>
      <c r="J38" s="375"/>
      <c r="K38" s="376"/>
    </row>
    <row r="39" spans="2:12" ht="15.75" thickBot="1" x14ac:dyDescent="0.3">
      <c r="B39" s="423" t="s">
        <v>30</v>
      </c>
      <c r="C39" s="423"/>
      <c r="D39" s="423"/>
      <c r="E39" s="423"/>
      <c r="F39" s="423"/>
      <c r="G39" s="423"/>
      <c r="H39" s="423"/>
      <c r="J39" s="385" t="s">
        <v>313</v>
      </c>
      <c r="K39" s="285"/>
      <c r="L39" s="291"/>
    </row>
    <row r="40" spans="2:12" x14ac:dyDescent="0.25">
      <c r="B40" s="4" t="s">
        <v>118</v>
      </c>
      <c r="C40" s="2" t="s">
        <v>11</v>
      </c>
      <c r="D40" s="2" t="s">
        <v>54</v>
      </c>
      <c r="E40" s="445">
        <f>'8. NewSpace'!I38*10^-6*K22-'CF (Funds)'!E50</f>
        <v>21.613971432657998</v>
      </c>
      <c r="F40" s="442"/>
      <c r="G40" s="191"/>
      <c r="H40" s="458" t="s">
        <v>702</v>
      </c>
      <c r="J40" s="81"/>
      <c r="L40" s="228"/>
    </row>
    <row r="41" spans="2:12" x14ac:dyDescent="0.25">
      <c r="B41" s="4" t="s">
        <v>343</v>
      </c>
      <c r="C41" s="2" t="s">
        <v>11</v>
      </c>
      <c r="D41" s="2" t="s">
        <v>60</v>
      </c>
      <c r="E41" s="438">
        <f ca="1">E40*'1. Live'!L28/'1. Live'!L27</f>
        <v>3.673109615751482</v>
      </c>
      <c r="F41" s="442"/>
      <c r="G41" s="191"/>
      <c r="H41" s="458" t="s">
        <v>706</v>
      </c>
      <c r="J41" s="520">
        <f ca="1">SUM(E10:E32)</f>
        <v>772.04324355437564</v>
      </c>
      <c r="K41" s="571" t="b">
        <f ca="1">J41='9. All deals (a)'!N33</f>
        <v>1</v>
      </c>
      <c r="L41" s="295"/>
    </row>
    <row r="42" spans="2:12" x14ac:dyDescent="0.25">
      <c r="B42" s="4" t="s">
        <v>1</v>
      </c>
      <c r="C42" s="2" t="s">
        <v>11</v>
      </c>
      <c r="D42" s="2" t="s">
        <v>54</v>
      </c>
      <c r="E42" s="438">
        <f>91.324446</f>
        <v>91.324445999999995</v>
      </c>
      <c r="F42" s="442"/>
      <c r="G42" s="191"/>
      <c r="H42" s="458" t="s">
        <v>707</v>
      </c>
      <c r="J42" s="520">
        <f>SUM(E35:E37)</f>
        <v>0</v>
      </c>
      <c r="K42" s="572" t="b">
        <f>J42='9. All deals (a)'!N39</f>
        <v>1</v>
      </c>
      <c r="L42" s="295"/>
    </row>
    <row r="43" spans="2:12" x14ac:dyDescent="0.25">
      <c r="B43" s="430" t="s">
        <v>12</v>
      </c>
      <c r="C43" s="432" t="s">
        <v>11</v>
      </c>
      <c r="D43" s="432" t="s">
        <v>54</v>
      </c>
      <c r="E43" s="437">
        <v>0</v>
      </c>
      <c r="F43" s="441"/>
      <c r="G43" s="434"/>
      <c r="H43" s="457" t="s">
        <v>26</v>
      </c>
      <c r="J43" s="520">
        <f ca="1">SUM(E40:E44)</f>
        <v>127.48673904840948</v>
      </c>
      <c r="K43" s="571" t="b">
        <f ca="1">J43='9. All deals (a)'!N47</f>
        <v>1</v>
      </c>
      <c r="L43" s="295"/>
    </row>
    <row r="44" spans="2:12" ht="15.75" thickBot="1" x14ac:dyDescent="0.3">
      <c r="B44" s="4" t="s">
        <v>164</v>
      </c>
      <c r="C44" s="2" t="s">
        <v>11</v>
      </c>
      <c r="D44" s="2" t="s">
        <v>54</v>
      </c>
      <c r="E44" s="305">
        <v>10.875211999999999</v>
      </c>
      <c r="F44" s="442"/>
      <c r="G44" s="191"/>
      <c r="H44" s="458" t="s">
        <v>702</v>
      </c>
      <c r="J44" s="300"/>
      <c r="K44" s="521"/>
      <c r="L44" s="522"/>
    </row>
    <row r="45" spans="2:12" x14ac:dyDescent="0.25">
      <c r="B45" s="35" t="s">
        <v>89</v>
      </c>
      <c r="C45" s="35"/>
    </row>
    <row r="46" spans="2:12" x14ac:dyDescent="0.25">
      <c r="B46" s="26" t="s">
        <v>619</v>
      </c>
      <c r="G46" s="372"/>
    </row>
    <row r="47" spans="2:12" x14ac:dyDescent="0.25">
      <c r="G47" s="372"/>
      <c r="J47" s="539"/>
    </row>
    <row r="48" spans="2:12" x14ac:dyDescent="0.25">
      <c r="G48" s="372"/>
    </row>
    <row r="51" spans="5:5" x14ac:dyDescent="0.25">
      <c r="E51" s="655"/>
    </row>
  </sheetData>
  <mergeCells count="2">
    <mergeCell ref="N6:S6"/>
    <mergeCell ref="J6:M6"/>
  </mergeCells>
  <hyperlinks>
    <hyperlink ref="L18" r:id="rId1" display="link" xr:uid="{CC6E9707-04B1-41FD-8B83-19BDFBE26526}"/>
    <hyperlink ref="L19" r:id="rId2" display="link" xr:uid="{8A0F78DA-9703-4A11-A62D-7660BBB7B435}"/>
    <hyperlink ref="L17" r:id="rId3" xr:uid="{9531A653-3509-47F2-9B82-84C8E99279E2}"/>
  </hyperlinks>
  <pageMargins left="0.25" right="0.25" top="0.75" bottom="0.75" header="0.3" footer="0.3"/>
  <pageSetup paperSize="9" scale="64" orientation="landscape" verticalDpi="1200" r:id="rId4"/>
  <colBreaks count="1" manualBreakCount="1">
    <brk id="8" max="1048575" man="1"/>
  </colBreaks>
  <ignoredErrors>
    <ignoredError sqref="F16 E2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3"/>
  <sheetViews>
    <sheetView showGridLines="0" zoomScale="85" zoomScaleNormal="85" workbookViewId="0">
      <selection activeCell="C23" sqref="C23"/>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6" customWidth="1"/>
    <col min="5" max="6" width="14.140625" style="58" customWidth="1"/>
    <col min="7" max="7" width="17" style="58" customWidth="1" outlineLevel="1"/>
    <col min="8" max="8" width="19.28515625" style="68"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66" t="s">
        <v>312</v>
      </c>
      <c r="C2" s="467"/>
      <c r="D2" s="468"/>
      <c r="E2" s="469"/>
      <c r="F2" s="469"/>
      <c r="G2" s="469"/>
      <c r="H2" s="469"/>
      <c r="I2" s="469"/>
      <c r="J2" s="469"/>
      <c r="K2" s="469"/>
    </row>
    <row r="3" spans="2:15" s="57" customFormat="1" ht="36" customHeight="1" x14ac:dyDescent="0.2">
      <c r="B3" s="490" t="s">
        <v>4</v>
      </c>
      <c r="C3" s="490" t="s">
        <v>5</v>
      </c>
      <c r="D3" s="491" t="s">
        <v>6</v>
      </c>
      <c r="E3" s="492" t="s">
        <v>91</v>
      </c>
      <c r="F3" s="492" t="s">
        <v>131</v>
      </c>
      <c r="G3" s="492" t="s">
        <v>57</v>
      </c>
      <c r="H3" s="492" t="s">
        <v>411</v>
      </c>
      <c r="I3" s="492" t="s">
        <v>410</v>
      </c>
      <c r="J3" s="492" t="s">
        <v>134</v>
      </c>
      <c r="K3" s="492" t="s">
        <v>21</v>
      </c>
      <c r="N3" s="461" t="s">
        <v>119</v>
      </c>
      <c r="O3" s="462"/>
    </row>
    <row r="4" spans="2:15" ht="12.75" customHeight="1" x14ac:dyDescent="0.2">
      <c r="B4" s="470" t="str">
        <f>VLOOKUP(C4,'9. All deals (a)'!$C$9:$F$46,4,0)</f>
        <v>Mozn</v>
      </c>
      <c r="C4" s="471" t="s">
        <v>47</v>
      </c>
      <c r="D4" s="472">
        <v>43470</v>
      </c>
      <c r="E4" s="473">
        <f t="shared" ref="E4:E27" si="0">-I4*10^-6</f>
        <v>-30</v>
      </c>
      <c r="F4" s="474"/>
      <c r="G4" s="475" t="s">
        <v>10</v>
      </c>
      <c r="H4" s="474">
        <v>30000000</v>
      </c>
      <c r="I4" s="476">
        <f t="shared" ref="I4:I14" si="1">H4</f>
        <v>30000000</v>
      </c>
      <c r="J4" s="477">
        <v>6100312</v>
      </c>
      <c r="K4" s="475"/>
      <c r="L4" s="68"/>
      <c r="N4" s="58" t="s">
        <v>90</v>
      </c>
      <c r="O4" s="68">
        <v>3.6779999999999999</v>
      </c>
    </row>
    <row r="5" spans="2:15" ht="12.75" customHeight="1" x14ac:dyDescent="0.2">
      <c r="B5" s="470" t="str">
        <f>VLOOKUP(C5,'9. All deals (a)'!$C$9:$F$46,4,0)</f>
        <v>Mozn</v>
      </c>
      <c r="C5" s="471" t="s">
        <v>47</v>
      </c>
      <c r="D5" s="472">
        <v>43724</v>
      </c>
      <c r="E5" s="473">
        <f t="shared" si="0"/>
        <v>-20</v>
      </c>
      <c r="F5" s="474"/>
      <c r="G5" s="475" t="s">
        <v>10</v>
      </c>
      <c r="H5" s="474">
        <v>20000000</v>
      </c>
      <c r="I5" s="476">
        <f t="shared" si="1"/>
        <v>20000000</v>
      </c>
      <c r="J5" s="477">
        <v>4204767.4285714282</v>
      </c>
      <c r="K5" s="475"/>
      <c r="L5" s="68"/>
    </row>
    <row r="6" spans="2:15" ht="12.75" customHeight="1" x14ac:dyDescent="0.2">
      <c r="B6" s="470" t="str">
        <f>VLOOKUP(C6,'9. All deals (a)'!$C$9:$F$46,4,0)</f>
        <v>Mozn</v>
      </c>
      <c r="C6" s="471" t="s">
        <v>47</v>
      </c>
      <c r="D6" s="472">
        <v>43724</v>
      </c>
      <c r="E6" s="473">
        <f t="shared" si="0"/>
        <v>-15</v>
      </c>
      <c r="F6" s="474"/>
      <c r="G6" s="475" t="s">
        <v>10</v>
      </c>
      <c r="H6" s="474">
        <v>15000000</v>
      </c>
      <c r="I6" s="476">
        <f t="shared" si="1"/>
        <v>15000000</v>
      </c>
      <c r="J6" s="477">
        <v>3153575.5714285714</v>
      </c>
      <c r="K6" s="475"/>
      <c r="L6" s="68"/>
    </row>
    <row r="7" spans="2:15" ht="12.75" customHeight="1" x14ac:dyDescent="0.2">
      <c r="B7" s="482" t="str">
        <f>VLOOKUP(C7,'9. All deals (a)'!$C$9:$F$46,4,0)</f>
        <v>Mozn</v>
      </c>
      <c r="C7" s="483" t="s">
        <v>0</v>
      </c>
      <c r="D7" s="484">
        <v>43563</v>
      </c>
      <c r="E7" s="485">
        <f t="shared" si="0"/>
        <v>-8</v>
      </c>
      <c r="F7" s="486"/>
      <c r="G7" s="487" t="s">
        <v>10</v>
      </c>
      <c r="H7" s="486">
        <v>8000000</v>
      </c>
      <c r="I7" s="488">
        <f t="shared" si="1"/>
        <v>8000000</v>
      </c>
      <c r="J7" s="489">
        <v>21419829</v>
      </c>
      <c r="K7" s="487"/>
      <c r="L7" s="68"/>
    </row>
    <row r="8" spans="2:15" ht="12.75" customHeight="1" x14ac:dyDescent="0.2">
      <c r="B8" s="470" t="str">
        <f>VLOOKUP(C8,'9. All deals (a)'!$C$9:$F$46,4,0)</f>
        <v>Mozn</v>
      </c>
      <c r="C8" s="471" t="s">
        <v>38</v>
      </c>
      <c r="D8" s="472">
        <v>43570</v>
      </c>
      <c r="E8" s="473">
        <f t="shared" si="0"/>
        <v>-4.9999980900000001</v>
      </c>
      <c r="F8" s="474"/>
      <c r="G8" s="475" t="s">
        <v>10</v>
      </c>
      <c r="H8" s="474">
        <v>4999998.09</v>
      </c>
      <c r="I8" s="476">
        <f t="shared" si="1"/>
        <v>4999998.09</v>
      </c>
      <c r="J8" s="477">
        <v>2625467</v>
      </c>
      <c r="K8" s="475"/>
      <c r="L8" s="68"/>
    </row>
    <row r="9" spans="2:15" ht="12.75" customHeight="1" x14ac:dyDescent="0.2">
      <c r="B9" s="470" t="str">
        <f>VLOOKUP(C9,'9. All deals (a)'!$C$9:$F$46,4,0)</f>
        <v>Mozn</v>
      </c>
      <c r="C9" s="471" t="s">
        <v>38</v>
      </c>
      <c r="D9" s="472">
        <v>43915</v>
      </c>
      <c r="E9" s="473">
        <f t="shared" si="0"/>
        <v>-5.0000019099999999</v>
      </c>
      <c r="F9" s="474"/>
      <c r="G9" s="475" t="s">
        <v>10</v>
      </c>
      <c r="H9" s="474">
        <f>10000000-H8</f>
        <v>5000001.91</v>
      </c>
      <c r="I9" s="476">
        <f t="shared" si="1"/>
        <v>5000001.91</v>
      </c>
      <c r="J9" s="477">
        <v>2580015</v>
      </c>
      <c r="K9" s="475"/>
      <c r="L9" s="68"/>
    </row>
    <row r="10" spans="2:15" ht="12.75" customHeight="1" x14ac:dyDescent="0.2">
      <c r="B10" s="482" t="str">
        <f>VLOOKUP(C10,'9. All deals (a)'!$C$9:$F$46,4,0)</f>
        <v>Mozn</v>
      </c>
      <c r="C10" s="483" t="s">
        <v>39</v>
      </c>
      <c r="D10" s="484">
        <v>43870</v>
      </c>
      <c r="E10" s="485">
        <f t="shared" si="0"/>
        <v>-2.5</v>
      </c>
      <c r="F10" s="486"/>
      <c r="G10" s="487" t="s">
        <v>10</v>
      </c>
      <c r="H10" s="486">
        <v>2500000</v>
      </c>
      <c r="I10" s="488">
        <f t="shared" si="1"/>
        <v>2500000</v>
      </c>
      <c r="J10" s="489" t="s">
        <v>71</v>
      </c>
      <c r="K10" s="487"/>
      <c r="L10" s="68"/>
    </row>
    <row r="11" spans="2:15" ht="12.75" customHeight="1" x14ac:dyDescent="0.2">
      <c r="B11" s="470" t="str">
        <f>VLOOKUP(C11,'9. All deals (a)'!$C$9:$F$46,4,0)</f>
        <v>Mozn</v>
      </c>
      <c r="C11" s="471" t="s">
        <v>37</v>
      </c>
      <c r="D11" s="472">
        <v>43879</v>
      </c>
      <c r="E11" s="473">
        <f t="shared" si="0"/>
        <v>-20</v>
      </c>
      <c r="F11" s="474"/>
      <c r="G11" s="475" t="s">
        <v>10</v>
      </c>
      <c r="H11" s="474">
        <v>20000000</v>
      </c>
      <c r="I11" s="476">
        <f t="shared" si="1"/>
        <v>20000000</v>
      </c>
      <c r="J11" s="477">
        <v>4084038</v>
      </c>
      <c r="K11" s="475"/>
      <c r="L11" s="68"/>
    </row>
    <row r="12" spans="2:15" ht="12.75" customHeight="1" x14ac:dyDescent="0.2">
      <c r="B12" s="470" t="str">
        <f>VLOOKUP(C12,'9. All deals (a)'!$C$9:$F$46,4,0)</f>
        <v>Mozn</v>
      </c>
      <c r="C12" s="471" t="s">
        <v>37</v>
      </c>
      <c r="D12" s="472">
        <v>43921</v>
      </c>
      <c r="E12" s="473">
        <f t="shared" si="0"/>
        <v>-30</v>
      </c>
      <c r="F12" s="474"/>
      <c r="G12" s="475" t="s">
        <v>10</v>
      </c>
      <c r="H12" s="474">
        <v>30000000</v>
      </c>
      <c r="I12" s="476">
        <f t="shared" si="1"/>
        <v>30000000</v>
      </c>
      <c r="J12" s="477">
        <v>5822642</v>
      </c>
      <c r="K12" s="475"/>
      <c r="L12" s="68"/>
    </row>
    <row r="13" spans="2:15" ht="12.75" customHeight="1" x14ac:dyDescent="0.2">
      <c r="B13" s="470" t="str">
        <f>VLOOKUP(C13,'9. All deals (a)'!$C$9:$F$46,4,0)</f>
        <v>Mozn</v>
      </c>
      <c r="C13" s="471" t="s">
        <v>37</v>
      </c>
      <c r="D13" s="472">
        <v>43989</v>
      </c>
      <c r="E13" s="473">
        <f t="shared" si="0"/>
        <v>-30</v>
      </c>
      <c r="F13" s="474"/>
      <c r="G13" s="475" t="s">
        <v>10</v>
      </c>
      <c r="H13" s="474">
        <v>30000000</v>
      </c>
      <c r="I13" s="476">
        <f t="shared" si="1"/>
        <v>30000000</v>
      </c>
      <c r="J13" s="477">
        <v>5822642</v>
      </c>
      <c r="K13" s="475"/>
      <c r="L13" s="68"/>
    </row>
    <row r="14" spans="2:15" ht="12.75" customHeight="1" x14ac:dyDescent="0.2">
      <c r="B14" s="470" t="str">
        <f>VLOOKUP(C14,'9. All deals (a)'!$C$9:$F$46,4,0)</f>
        <v>Mozn</v>
      </c>
      <c r="C14" s="471" t="s">
        <v>37</v>
      </c>
      <c r="D14" s="472">
        <v>44103</v>
      </c>
      <c r="E14" s="473">
        <f t="shared" si="0"/>
        <v>-10</v>
      </c>
      <c r="F14" s="474"/>
      <c r="G14" s="475" t="s">
        <v>10</v>
      </c>
      <c r="H14" s="474">
        <v>10000000</v>
      </c>
      <c r="I14" s="476">
        <f t="shared" si="1"/>
        <v>10000000</v>
      </c>
      <c r="J14" s="477">
        <v>1940880</v>
      </c>
      <c r="K14" s="475"/>
      <c r="L14" s="68"/>
    </row>
    <row r="15" spans="2:15" ht="12.75" customHeight="1" x14ac:dyDescent="0.2">
      <c r="B15" s="482" t="str">
        <f>VLOOKUP(C15,'9. All deals (a)'!$C$9:$F$46,4,0)</f>
        <v>Mozn</v>
      </c>
      <c r="C15" s="483" t="s">
        <v>87</v>
      </c>
      <c r="D15" s="484">
        <v>43968</v>
      </c>
      <c r="E15" s="485">
        <f t="shared" si="0"/>
        <v>-50</v>
      </c>
      <c r="F15" s="486"/>
      <c r="G15" s="487" t="s">
        <v>10</v>
      </c>
      <c r="H15" s="486">
        <v>50000000</v>
      </c>
      <c r="I15" s="488">
        <v>50000000</v>
      </c>
      <c r="J15" s="489">
        <v>15277680</v>
      </c>
      <c r="K15" s="487"/>
      <c r="L15" s="68"/>
    </row>
    <row r="16" spans="2:15" ht="12.75" customHeight="1" x14ac:dyDescent="0.2">
      <c r="B16" s="482" t="str">
        <f>VLOOKUP(C16,'9. All deals (a)'!$C$9:$F$46,4,0)</f>
        <v>Mozn</v>
      </c>
      <c r="C16" s="483" t="s">
        <v>87</v>
      </c>
      <c r="D16" s="484">
        <v>44006</v>
      </c>
      <c r="E16" s="485">
        <f t="shared" si="0"/>
        <v>-27.268350856443721</v>
      </c>
      <c r="F16" s="486"/>
      <c r="G16" s="487" t="s">
        <v>20</v>
      </c>
      <c r="H16" s="486">
        <v>21029625</v>
      </c>
      <c r="I16" s="488">
        <v>27268350.856443722</v>
      </c>
      <c r="J16" s="489">
        <v>9000000</v>
      </c>
      <c r="K16" s="487"/>
      <c r="L16" s="68"/>
    </row>
    <row r="17" spans="2:13" ht="12.75" customHeight="1" x14ac:dyDescent="0.2">
      <c r="B17" s="482" t="str">
        <f>VLOOKUP(C17,'9. All deals (a)'!$C$9:$F$46,4,0)</f>
        <v>Mozn</v>
      </c>
      <c r="C17" s="483" t="s">
        <v>87</v>
      </c>
      <c r="D17" s="484">
        <v>43837</v>
      </c>
      <c r="E17" s="485">
        <f t="shared" si="0"/>
        <v>-18.109441299619355</v>
      </c>
      <c r="F17" s="486"/>
      <c r="G17" s="487" t="s">
        <v>20</v>
      </c>
      <c r="H17" s="486">
        <v>14386480</v>
      </c>
      <c r="I17" s="488">
        <v>18109441.299619358</v>
      </c>
      <c r="J17" s="489">
        <v>6362180</v>
      </c>
      <c r="K17" s="487"/>
      <c r="L17" s="68"/>
    </row>
    <row r="18" spans="2:13" ht="12.75" customHeight="1" x14ac:dyDescent="0.2">
      <c r="B18" s="482" t="str">
        <f>VLOOKUP(C18,'9. All deals (a)'!$C$9:$F$46,4,0)</f>
        <v>Mozn</v>
      </c>
      <c r="C18" s="483" t="s">
        <v>87</v>
      </c>
      <c r="D18" s="484">
        <v>43990</v>
      </c>
      <c r="E18" s="485">
        <f t="shared" si="0"/>
        <v>-34.851687094159864</v>
      </c>
      <c r="F18" s="486"/>
      <c r="G18" s="487" t="s">
        <v>20</v>
      </c>
      <c r="H18" s="486">
        <v>26085572.879999999</v>
      </c>
      <c r="I18" s="488">
        <v>34851687.094159864</v>
      </c>
      <c r="J18" s="489">
        <v>11381140</v>
      </c>
      <c r="K18" s="487"/>
      <c r="L18" s="68"/>
    </row>
    <row r="19" spans="2:13" ht="12.75" customHeight="1" x14ac:dyDescent="0.2">
      <c r="B19" s="482" t="str">
        <f>VLOOKUP(C19,'9. All deals (a)'!$C$9:$F$46,4,0)</f>
        <v>Mozn</v>
      </c>
      <c r="C19" s="483" t="s">
        <v>87</v>
      </c>
      <c r="D19" s="484">
        <v>44315</v>
      </c>
      <c r="E19" s="485">
        <f t="shared" si="0"/>
        <v>-11.240780424143557</v>
      </c>
      <c r="F19" s="486"/>
      <c r="G19" s="487" t="s">
        <v>20</v>
      </c>
      <c r="H19" s="486">
        <v>8074920</v>
      </c>
      <c r="I19" s="488">
        <v>11240780.424143557</v>
      </c>
      <c r="J19" s="489">
        <v>2307120</v>
      </c>
      <c r="K19" s="487"/>
      <c r="L19" s="68"/>
    </row>
    <row r="20" spans="2:13" ht="12.75" customHeight="1" x14ac:dyDescent="0.2">
      <c r="B20" s="470" t="str">
        <f>VLOOKUP(C20,'9. All deals (a)'!$C$9:$F$46,4,0)</f>
        <v>Mozn</v>
      </c>
      <c r="C20" s="471" t="s">
        <v>9</v>
      </c>
      <c r="D20" s="472">
        <v>44166</v>
      </c>
      <c r="E20" s="473">
        <f t="shared" si="0"/>
        <v>-60</v>
      </c>
      <c r="F20" s="474"/>
      <c r="G20" s="475" t="s">
        <v>10</v>
      </c>
      <c r="H20" s="474">
        <v>60000000</v>
      </c>
      <c r="I20" s="476">
        <f>H20</f>
        <v>60000000</v>
      </c>
      <c r="J20" s="477">
        <v>3565017.22</v>
      </c>
      <c r="K20" s="475"/>
      <c r="L20" s="68"/>
    </row>
    <row r="21" spans="2:13" ht="12.75" customHeight="1" x14ac:dyDescent="0.2">
      <c r="B21" s="482" t="str">
        <f>VLOOKUP(C21,'9. All deals (a)'!$C$9:$F$46,4,0)</f>
        <v>Mozn 1</v>
      </c>
      <c r="C21" s="483" t="s">
        <v>18</v>
      </c>
      <c r="D21" s="484">
        <v>44363</v>
      </c>
      <c r="E21" s="485">
        <f t="shared" si="0"/>
        <v>-20</v>
      </c>
      <c r="F21" s="486"/>
      <c r="G21" s="487" t="s">
        <v>10</v>
      </c>
      <c r="H21" s="486">
        <v>20000000</v>
      </c>
      <c r="I21" s="488">
        <f>H21</f>
        <v>20000000</v>
      </c>
      <c r="J21" s="489">
        <v>7959497</v>
      </c>
      <c r="K21" s="487"/>
      <c r="L21" s="68"/>
    </row>
    <row r="22" spans="2:13" ht="12.75" customHeight="1" x14ac:dyDescent="0.2">
      <c r="B22" s="470" t="str">
        <f>VLOOKUP(C22,'9. All deals (a)'!$C$9:$F$46,4,0)</f>
        <v>Mozn</v>
      </c>
      <c r="C22" s="471" t="s">
        <v>40</v>
      </c>
      <c r="D22" s="472">
        <v>44488</v>
      </c>
      <c r="E22" s="473">
        <f t="shared" si="0"/>
        <v>-39.999983359999995</v>
      </c>
      <c r="F22" s="474"/>
      <c r="G22" s="475" t="s">
        <v>10</v>
      </c>
      <c r="H22" s="474">
        <v>39999983.359999999</v>
      </c>
      <c r="I22" s="476">
        <f>H22</f>
        <v>39999983.359999999</v>
      </c>
      <c r="J22" s="477">
        <v>1441711</v>
      </c>
      <c r="K22" s="475"/>
      <c r="L22" s="68"/>
    </row>
    <row r="23" spans="2:13" ht="12.75" customHeight="1" x14ac:dyDescent="0.2">
      <c r="B23" s="482" t="str">
        <f>VLOOKUP(C23,'9. All deals (a)'!$C$9:$F$46,4,0)</f>
        <v>Mozn</v>
      </c>
      <c r="C23" s="483" t="s">
        <v>41</v>
      </c>
      <c r="D23" s="484">
        <v>44494</v>
      </c>
      <c r="E23" s="485">
        <f t="shared" si="0"/>
        <v>-3</v>
      </c>
      <c r="F23" s="486"/>
      <c r="G23" s="487" t="s">
        <v>10</v>
      </c>
      <c r="H23" s="486">
        <v>3000000</v>
      </c>
      <c r="I23" s="488">
        <f>H23</f>
        <v>3000000</v>
      </c>
      <c r="J23" s="489">
        <v>3000000</v>
      </c>
      <c r="K23" s="487"/>
      <c r="L23" s="68"/>
    </row>
    <row r="24" spans="2:13" ht="12.75" customHeight="1" x14ac:dyDescent="0.2">
      <c r="B24" s="470" t="str">
        <f>VLOOKUP(C24,'9. All deals (a)'!$C$9:$F$46,4,0)</f>
        <v>Mozn</v>
      </c>
      <c r="C24" s="471" t="s">
        <v>42</v>
      </c>
      <c r="D24" s="472">
        <v>44550</v>
      </c>
      <c r="E24" s="473">
        <f t="shared" si="0"/>
        <v>-5.0237201984774336</v>
      </c>
      <c r="F24" s="474"/>
      <c r="G24" s="475" t="s">
        <v>20</v>
      </c>
      <c r="H24" s="478">
        <v>3679995.54</v>
      </c>
      <c r="I24" s="476">
        <v>5023720.198477434</v>
      </c>
      <c r="J24" s="477">
        <v>33267</v>
      </c>
      <c r="K24" s="475"/>
      <c r="L24" s="68"/>
    </row>
    <row r="25" spans="2:13" ht="12.75" customHeight="1" x14ac:dyDescent="0.2">
      <c r="B25" s="482" t="str">
        <f>VLOOKUP(C25,'9. All deals (a)'!$C$9:$F$46,4,0)</f>
        <v>Mozn 2</v>
      </c>
      <c r="C25" s="483" t="s">
        <v>70</v>
      </c>
      <c r="D25" s="484">
        <v>44574</v>
      </c>
      <c r="E25" s="485">
        <f t="shared" si="0"/>
        <v>-493.50095619999996</v>
      </c>
      <c r="F25" s="486"/>
      <c r="G25" s="487" t="s">
        <v>10</v>
      </c>
      <c r="H25" s="486">
        <v>893500956.20000005</v>
      </c>
      <c r="I25" s="488">
        <v>493500956.19999999</v>
      </c>
      <c r="J25" s="489"/>
      <c r="K25" s="487"/>
      <c r="L25" s="68"/>
    </row>
    <row r="26" spans="2:13" ht="12.75" customHeight="1" x14ac:dyDescent="0.2">
      <c r="B26" s="470" t="str">
        <f>VLOOKUP(C26,'9. All deals (a)'!$C$9:$F$46,4,0)</f>
        <v>G42</v>
      </c>
      <c r="C26" s="471" t="s">
        <v>19</v>
      </c>
      <c r="D26" s="472">
        <v>44643</v>
      </c>
      <c r="E26" s="473">
        <f t="shared" si="0"/>
        <v>-200</v>
      </c>
      <c r="F26" s="474"/>
      <c r="G26" s="475" t="s">
        <v>10</v>
      </c>
      <c r="H26" s="474">
        <v>200000000</v>
      </c>
      <c r="I26" s="476">
        <f>H26</f>
        <v>200000000</v>
      </c>
      <c r="J26" s="477"/>
      <c r="K26" s="475"/>
      <c r="L26" s="68"/>
    </row>
    <row r="27" spans="2:13" ht="12.75" customHeight="1" x14ac:dyDescent="0.2">
      <c r="B27" s="470" t="str">
        <f>VLOOKUP(C27,'9. All deals (a)'!$C$9:$F$46,4,0)</f>
        <v>G42</v>
      </c>
      <c r="C27" s="471" t="s">
        <v>19</v>
      </c>
      <c r="D27" s="472">
        <v>44680</v>
      </c>
      <c r="E27" s="473">
        <f t="shared" si="0"/>
        <v>-100</v>
      </c>
      <c r="F27" s="474"/>
      <c r="G27" s="475" t="s">
        <v>10</v>
      </c>
      <c r="H27" s="474">
        <v>100000000</v>
      </c>
      <c r="I27" s="476">
        <f>H27</f>
        <v>100000000</v>
      </c>
      <c r="J27" s="477"/>
      <c r="K27" s="475"/>
      <c r="L27" s="68"/>
    </row>
    <row r="28" spans="2:13" ht="12.75" customHeight="1" x14ac:dyDescent="0.2">
      <c r="B28" s="482" t="str">
        <f>VLOOKUP(C28,'9. All deals (a)'!$C$9:$F$46,4,0)</f>
        <v>Mozn</v>
      </c>
      <c r="C28" s="483" t="s">
        <v>39</v>
      </c>
      <c r="D28" s="484">
        <v>44691</v>
      </c>
      <c r="E28" s="485"/>
      <c r="F28" s="486">
        <v>5</v>
      </c>
      <c r="G28" s="487" t="s">
        <v>10</v>
      </c>
      <c r="H28" s="486"/>
      <c r="I28" s="488"/>
      <c r="J28" s="489"/>
      <c r="K28" s="487"/>
      <c r="L28" s="68"/>
    </row>
    <row r="29" spans="2:13" ht="12.75" customHeight="1" x14ac:dyDescent="0.2">
      <c r="B29" s="470" t="str">
        <f>VLOOKUP(C29,'9. All deals (a)'!$C$9:$F$46,4,0)</f>
        <v>G42</v>
      </c>
      <c r="C29" s="471" t="s">
        <v>88</v>
      </c>
      <c r="D29" s="472">
        <v>44712</v>
      </c>
      <c r="E29" s="473">
        <f>-I29*10^-6</f>
        <v>-12.5</v>
      </c>
      <c r="F29" s="474"/>
      <c r="G29" s="475" t="s">
        <v>10</v>
      </c>
      <c r="H29" s="474">
        <v>12500000</v>
      </c>
      <c r="I29" s="476">
        <f t="shared" ref="I29:I35" si="2">H29</f>
        <v>12500000</v>
      </c>
      <c r="J29" s="477">
        <f>'6. %'!D22</f>
        <v>259657</v>
      </c>
      <c r="K29" s="475"/>
      <c r="L29" s="68"/>
    </row>
    <row r="30" spans="2:13" ht="12.75" customHeight="1" x14ac:dyDescent="0.2">
      <c r="B30" s="482" t="str">
        <f>VLOOKUP(C30,'9. All deals (a)'!$C$9:$F$46,4,0)</f>
        <v>G42 3</v>
      </c>
      <c r="C30" s="483" t="s">
        <v>35</v>
      </c>
      <c r="D30" s="484">
        <v>44769</v>
      </c>
      <c r="E30" s="485">
        <f t="shared" ref="E30:E38" si="3">-I30*10^-6</f>
        <v>-600</v>
      </c>
      <c r="F30" s="486"/>
      <c r="G30" s="487" t="s">
        <v>10</v>
      </c>
      <c r="H30" s="486">
        <v>600000000</v>
      </c>
      <c r="I30" s="488">
        <f t="shared" si="2"/>
        <v>600000000</v>
      </c>
      <c r="J30" s="489"/>
      <c r="K30" s="487"/>
      <c r="L30" s="68"/>
      <c r="M30" s="57"/>
    </row>
    <row r="31" spans="2:13" ht="12.75" customHeight="1" x14ac:dyDescent="0.2">
      <c r="B31" s="482" t="str">
        <f>VLOOKUP(C31,'9. All deals (a)'!$C$9:$F$46,4,0)</f>
        <v>G42 3</v>
      </c>
      <c r="C31" s="483" t="s">
        <v>35</v>
      </c>
      <c r="D31" s="484">
        <v>44849</v>
      </c>
      <c r="E31" s="485">
        <f t="shared" si="3"/>
        <v>-200</v>
      </c>
      <c r="F31" s="486"/>
      <c r="G31" s="487" t="s">
        <v>10</v>
      </c>
      <c r="H31" s="486">
        <v>200000000</v>
      </c>
      <c r="I31" s="488">
        <f t="shared" si="2"/>
        <v>200000000</v>
      </c>
      <c r="J31" s="489"/>
      <c r="K31" s="487"/>
      <c r="L31" s="68"/>
    </row>
    <row r="32" spans="2:13" ht="12.75" customHeight="1" x14ac:dyDescent="0.2">
      <c r="B32" s="470" t="str">
        <f>VLOOKUP(C32,'9. All deals (a)'!$C$9:$F$46,4,0)</f>
        <v>Mozn</v>
      </c>
      <c r="C32" s="471" t="s">
        <v>246</v>
      </c>
      <c r="D32" s="472">
        <v>44861</v>
      </c>
      <c r="E32" s="473">
        <f t="shared" si="3"/>
        <v>-4.75</v>
      </c>
      <c r="F32" s="474"/>
      <c r="G32" s="475" t="s">
        <v>10</v>
      </c>
      <c r="H32" s="474">
        <v>4750000</v>
      </c>
      <c r="I32" s="476">
        <f t="shared" si="2"/>
        <v>4750000</v>
      </c>
      <c r="J32" s="477"/>
      <c r="K32" s="475"/>
      <c r="L32" s="68"/>
    </row>
    <row r="33" spans="2:13" ht="12.75" customHeight="1" x14ac:dyDescent="0.2">
      <c r="B33" s="482" t="str">
        <f>VLOOKUP(C33,'9. All deals (a)'!$C$9:$F$46,4,0)</f>
        <v>Mozn 4</v>
      </c>
      <c r="C33" s="483" t="s">
        <v>275</v>
      </c>
      <c r="D33" s="484">
        <v>44892</v>
      </c>
      <c r="E33" s="485">
        <f t="shared" si="3"/>
        <v>-15</v>
      </c>
      <c r="F33" s="486"/>
      <c r="G33" s="487" t="s">
        <v>10</v>
      </c>
      <c r="H33" s="486">
        <v>15000000</v>
      </c>
      <c r="I33" s="488">
        <f t="shared" si="2"/>
        <v>15000000</v>
      </c>
      <c r="J33" s="489"/>
      <c r="K33" s="487"/>
      <c r="L33" s="68"/>
      <c r="M33" s="57"/>
    </row>
    <row r="34" spans="2:13" ht="12.75" customHeight="1" x14ac:dyDescent="0.2">
      <c r="B34" s="470" t="str">
        <f>VLOOKUP(C34,'9. All deals (a)'!$C$9:$F$46,4,0)</f>
        <v>G42</v>
      </c>
      <c r="C34" s="471" t="s">
        <v>88</v>
      </c>
      <c r="D34" s="472">
        <v>44985</v>
      </c>
      <c r="E34" s="473">
        <f t="shared" si="3"/>
        <v>-12.03125</v>
      </c>
      <c r="F34" s="474"/>
      <c r="G34" s="475" t="s">
        <v>10</v>
      </c>
      <c r="H34" s="474">
        <v>12031250</v>
      </c>
      <c r="I34" s="476">
        <f t="shared" si="2"/>
        <v>12031250</v>
      </c>
      <c r="J34" s="477">
        <v>10386274</v>
      </c>
      <c r="K34" s="475"/>
      <c r="L34" s="68"/>
    </row>
    <row r="35" spans="2:13" ht="12.75" customHeight="1" x14ac:dyDescent="0.2">
      <c r="B35" s="482" t="str">
        <f>VLOOKUP(C35,'9. All deals (a)'!$C$9:$F$46,4,0)</f>
        <v>Mozn</v>
      </c>
      <c r="C35" s="483" t="s">
        <v>344</v>
      </c>
      <c r="D35" s="484">
        <v>45075</v>
      </c>
      <c r="E35" s="485">
        <f t="shared" si="3"/>
        <v>-14.999998939999999</v>
      </c>
      <c r="F35" s="486"/>
      <c r="G35" s="487" t="s">
        <v>10</v>
      </c>
      <c r="H35" s="486">
        <v>14999998.939999999</v>
      </c>
      <c r="I35" s="488">
        <f t="shared" si="2"/>
        <v>14999998.939999999</v>
      </c>
      <c r="J35" s="489"/>
      <c r="K35" s="487"/>
      <c r="L35" s="68"/>
    </row>
    <row r="36" spans="2:13" ht="12.75" customHeight="1" x14ac:dyDescent="0.2">
      <c r="B36" s="470" t="str">
        <f>VLOOKUP(C36,'9. All deals (a)'!$C$9:$F$46,4,0)</f>
        <v>Mozn</v>
      </c>
      <c r="C36" s="471" t="s">
        <v>409</v>
      </c>
      <c r="D36" s="472">
        <v>45075</v>
      </c>
      <c r="E36" s="473">
        <f t="shared" si="3"/>
        <v>-5.875E-3</v>
      </c>
      <c r="F36" s="474"/>
      <c r="G36" s="475" t="s">
        <v>10</v>
      </c>
      <c r="H36" s="474"/>
      <c r="I36" s="476">
        <v>5875</v>
      </c>
      <c r="J36" s="477"/>
      <c r="K36" s="475"/>
      <c r="L36" s="68"/>
    </row>
    <row r="37" spans="2:13" ht="12.75" customHeight="1" x14ac:dyDescent="0.2">
      <c r="B37" s="470" t="str">
        <f>VLOOKUP(C37,'9. All deals (a)'!$C$9:$F$46,4,0)</f>
        <v>Mozn</v>
      </c>
      <c r="C37" s="471" t="s">
        <v>409</v>
      </c>
      <c r="D37" s="472">
        <v>45114</v>
      </c>
      <c r="E37" s="473">
        <f t="shared" si="3"/>
        <v>-1E-3</v>
      </c>
      <c r="F37" s="474"/>
      <c r="G37" s="475" t="s">
        <v>10</v>
      </c>
      <c r="H37" s="474"/>
      <c r="I37" s="476">
        <v>1000</v>
      </c>
      <c r="J37" s="477"/>
      <c r="K37" s="475"/>
      <c r="L37" s="68"/>
    </row>
    <row r="38" spans="2:13" ht="12.75" customHeight="1" x14ac:dyDescent="0.2">
      <c r="B38" s="482" t="str">
        <f>VLOOKUP(C38,'9. All deals (a)'!$C$9:$F$46,4,0)</f>
        <v>Mozn</v>
      </c>
      <c r="C38" s="483" t="s">
        <v>246</v>
      </c>
      <c r="D38" s="484">
        <v>45121</v>
      </c>
      <c r="E38" s="485">
        <f t="shared" si="3"/>
        <v>-2.75</v>
      </c>
      <c r="F38" s="486"/>
      <c r="G38" s="487" t="s">
        <v>10</v>
      </c>
      <c r="H38" s="486"/>
      <c r="I38" s="488">
        <v>2750000</v>
      </c>
      <c r="J38" s="489"/>
      <c r="K38" s="487"/>
      <c r="L38" s="68"/>
    </row>
    <row r="39" spans="2:13" ht="12.75" customHeight="1" x14ac:dyDescent="0.2">
      <c r="B39" s="470" t="str">
        <f>VLOOKUP(C39,'9. All deals (a)'!$C$9:$F$46,4,0)</f>
        <v>Mozn</v>
      </c>
      <c r="C39" s="471" t="s">
        <v>42</v>
      </c>
      <c r="D39" s="472">
        <v>45138</v>
      </c>
      <c r="E39" s="473"/>
      <c r="F39" s="474">
        <f>I39*10^-6</f>
        <v>7.8207760999999989</v>
      </c>
      <c r="G39" s="475" t="s">
        <v>10</v>
      </c>
      <c r="H39" s="479">
        <v>6090345.2199999997</v>
      </c>
      <c r="I39" s="476">
        <v>7820776.0999999996</v>
      </c>
      <c r="J39" s="477"/>
      <c r="K39" s="475"/>
      <c r="L39" s="369"/>
    </row>
    <row r="40" spans="2:13" ht="12.75" customHeight="1" x14ac:dyDescent="0.2">
      <c r="B40" s="482" t="str">
        <f>VLOOKUP(C40,'9. All deals (a)'!$C$9:$F$46,4,0)</f>
        <v>Mozn 1</v>
      </c>
      <c r="C40" s="483" t="s">
        <v>18</v>
      </c>
      <c r="D40" s="484">
        <v>45149</v>
      </c>
      <c r="E40" s="485"/>
      <c r="F40" s="486">
        <v>24.5</v>
      </c>
      <c r="G40" s="487" t="s">
        <v>10</v>
      </c>
      <c r="H40" s="486"/>
      <c r="I40" s="488">
        <v>24500000</v>
      </c>
      <c r="J40" s="489">
        <v>7959497</v>
      </c>
      <c r="K40" s="487"/>
      <c r="L40" s="369"/>
    </row>
    <row r="41" spans="2:13" ht="12.75" customHeight="1" x14ac:dyDescent="0.2">
      <c r="B41" s="470" t="str">
        <f>VLOOKUP(C41,'9. All deals (a)'!$C$9:$F$46,4,0)</f>
        <v>Mozn</v>
      </c>
      <c r="C41" s="471" t="s">
        <v>41</v>
      </c>
      <c r="D41" s="472">
        <v>45167</v>
      </c>
      <c r="E41" s="473">
        <f t="shared" ref="E41" si="4">-I41*10^-6</f>
        <v>-5</v>
      </c>
      <c r="F41" s="474"/>
      <c r="G41" s="475" t="s">
        <v>10</v>
      </c>
      <c r="H41" s="474"/>
      <c r="I41" s="476">
        <v>5000000</v>
      </c>
      <c r="J41" s="477">
        <v>5000000</v>
      </c>
      <c r="K41" s="475"/>
      <c r="L41" s="369"/>
    </row>
    <row r="42" spans="2:13" ht="12.75" customHeight="1" x14ac:dyDescent="0.2">
      <c r="B42" s="482" t="str">
        <f>VLOOKUP(C42,'9. All deals (a)'!$C$9:$F$46,4,0)</f>
        <v>Mozn</v>
      </c>
      <c r="C42" s="483" t="s">
        <v>420</v>
      </c>
      <c r="D42" s="484">
        <v>45167</v>
      </c>
      <c r="E42" s="485">
        <v>-6</v>
      </c>
      <c r="F42" s="486"/>
      <c r="G42" s="487" t="s">
        <v>10</v>
      </c>
      <c r="H42" s="486"/>
      <c r="I42" s="488">
        <v>6000000</v>
      </c>
      <c r="J42" s="489">
        <f>I42/1.34</f>
        <v>4477611.940298507</v>
      </c>
      <c r="K42" s="487"/>
      <c r="L42" s="369"/>
    </row>
    <row r="43" spans="2:13" ht="12.75" customHeight="1" x14ac:dyDescent="0.2">
      <c r="B43" s="470" t="str">
        <f>VLOOKUP(C43,'9. All deals (a)'!$C$9:$F$46,4,0)</f>
        <v>G42 3</v>
      </c>
      <c r="C43" s="471" t="s">
        <v>35</v>
      </c>
      <c r="D43" s="472">
        <v>45224</v>
      </c>
      <c r="E43" s="473"/>
      <c r="F43" s="480">
        <v>2.8</v>
      </c>
      <c r="G43" s="475" t="s">
        <v>10</v>
      </c>
      <c r="H43" s="474"/>
      <c r="I43" s="476"/>
      <c r="J43" s="477"/>
      <c r="K43" s="475"/>
      <c r="L43" s="369"/>
    </row>
    <row r="44" spans="2:13" ht="12.75" customHeight="1" x14ac:dyDescent="0.2">
      <c r="B44" s="482" t="str">
        <f>VLOOKUP(C44,'9. All deals (a)'!$C$9:$F$46,4,0)</f>
        <v>G42 3</v>
      </c>
      <c r="C44" s="483" t="s">
        <v>35</v>
      </c>
      <c r="D44" s="484">
        <v>45224</v>
      </c>
      <c r="E44" s="485"/>
      <c r="F44" s="486">
        <v>800</v>
      </c>
      <c r="G44" s="487" t="s">
        <v>10</v>
      </c>
      <c r="H44" s="486"/>
      <c r="I44" s="488"/>
      <c r="J44" s="489"/>
      <c r="K44" s="487"/>
      <c r="L44" s="369"/>
    </row>
    <row r="45" spans="2:13" ht="12.75" customHeight="1" x14ac:dyDescent="0.2">
      <c r="B45" s="470" t="str">
        <f>VLOOKUP(C45,'9. All deals (a)'!$C$9:$F$46,4,0)</f>
        <v>Mozn 2</v>
      </c>
      <c r="C45" s="471" t="s">
        <v>70</v>
      </c>
      <c r="D45" s="472">
        <v>45224</v>
      </c>
      <c r="E45" s="473"/>
      <c r="F45" s="480">
        <v>403</v>
      </c>
      <c r="G45" s="475" t="s">
        <v>10</v>
      </c>
      <c r="H45" s="474"/>
      <c r="I45" s="476"/>
      <c r="J45" s="477"/>
      <c r="K45" s="475"/>
      <c r="L45" s="369"/>
    </row>
    <row r="46" spans="2:13" ht="12.75" customHeight="1" x14ac:dyDescent="0.2">
      <c r="B46" s="482" t="str">
        <f>VLOOKUP(C46,'9. All deals (a)'!$C$9:$F$46,4,0)</f>
        <v>Mozn</v>
      </c>
      <c r="C46" s="483" t="s">
        <v>42</v>
      </c>
      <c r="D46" s="484">
        <v>45224</v>
      </c>
      <c r="E46" s="485"/>
      <c r="F46" s="486">
        <v>0.12141643000000001</v>
      </c>
      <c r="G46" s="487" t="s">
        <v>10</v>
      </c>
      <c r="H46" s="486"/>
      <c r="I46" s="488"/>
      <c r="J46" s="489"/>
      <c r="K46" s="487"/>
      <c r="L46" s="369"/>
    </row>
    <row r="47" spans="2:13" ht="12.75" customHeight="1" x14ac:dyDescent="0.2">
      <c r="B47" s="470" t="str">
        <f>VLOOKUP(C47,'9. All deals (a)'!$C$9:$F$46,4,0)</f>
        <v>Mozn</v>
      </c>
      <c r="C47" s="471" t="s">
        <v>246</v>
      </c>
      <c r="D47" s="472">
        <v>45295</v>
      </c>
      <c r="E47" s="473">
        <f t="shared" ref="E47:E48" si="5">-I47*10^-6</f>
        <v>-4</v>
      </c>
      <c r="F47" s="474"/>
      <c r="G47" s="475" t="s">
        <v>10</v>
      </c>
      <c r="H47" s="474">
        <v>4000000</v>
      </c>
      <c r="I47" s="476">
        <f t="shared" ref="I47" si="6">H47</f>
        <v>4000000</v>
      </c>
      <c r="J47" s="477"/>
      <c r="K47" s="475"/>
      <c r="L47" s="369"/>
    </row>
    <row r="48" spans="2:13" ht="12.75" customHeight="1" x14ac:dyDescent="0.2">
      <c r="B48" s="482" t="str">
        <f>VLOOKUP(C48,'9. All deals (a)'!$C$9:$F$46,4,0)</f>
        <v>Core42 5</v>
      </c>
      <c r="C48" s="483" t="s">
        <v>462</v>
      </c>
      <c r="D48" s="484">
        <v>45322</v>
      </c>
      <c r="E48" s="485">
        <f t="shared" si="5"/>
        <v>-2.5</v>
      </c>
      <c r="F48" s="486"/>
      <c r="G48" s="487" t="s">
        <v>10</v>
      </c>
      <c r="H48" s="486">
        <f>I48</f>
        <v>2500000</v>
      </c>
      <c r="I48" s="488">
        <v>2500000</v>
      </c>
      <c r="J48" s="489"/>
      <c r="K48" s="487"/>
      <c r="L48" s="369"/>
    </row>
    <row r="49" spans="2:12" ht="12.75" customHeight="1" x14ac:dyDescent="0.2">
      <c r="B49" s="470" t="str">
        <f>VLOOKUP(C49,'9. All deals (a)'!$C$9:$F$46,4,0)</f>
        <v>G42 Capital</v>
      </c>
      <c r="C49" s="471" t="s">
        <v>602</v>
      </c>
      <c r="D49" s="472">
        <v>45349</v>
      </c>
      <c r="E49" s="473">
        <f t="shared" ref="E49" si="7">-I49*10^-6</f>
        <v>-20</v>
      </c>
      <c r="F49" s="474"/>
      <c r="G49" s="475" t="s">
        <v>10</v>
      </c>
      <c r="H49" s="474"/>
      <c r="I49" s="476">
        <v>20000000</v>
      </c>
      <c r="J49" s="477"/>
      <c r="K49" s="475"/>
      <c r="L49" s="369"/>
    </row>
    <row r="50" spans="2:12" ht="12.75" customHeight="1" x14ac:dyDescent="0.2">
      <c r="B50" s="482" t="s">
        <v>603</v>
      </c>
      <c r="C50" s="483" t="s">
        <v>676</v>
      </c>
      <c r="D50" s="484">
        <v>45463</v>
      </c>
      <c r="E50" s="485">
        <v>-10</v>
      </c>
      <c r="F50" s="486"/>
      <c r="G50" s="487" t="s">
        <v>10</v>
      </c>
      <c r="H50" s="486"/>
      <c r="I50" s="488">
        <v>10000000</v>
      </c>
      <c r="J50" s="489"/>
      <c r="K50" s="487"/>
      <c r="L50" s="369"/>
    </row>
    <row r="51" spans="2:12" ht="12.75" customHeight="1" x14ac:dyDescent="0.2">
      <c r="B51" s="470"/>
      <c r="C51" s="471"/>
      <c r="D51" s="472"/>
      <c r="E51" s="473"/>
      <c r="F51" s="474"/>
      <c r="G51" s="475"/>
      <c r="H51" s="474"/>
      <c r="I51" s="476"/>
      <c r="J51" s="477"/>
      <c r="K51" s="475"/>
      <c r="L51" s="369"/>
    </row>
    <row r="52" spans="2:12" ht="12.75" customHeight="1" x14ac:dyDescent="0.2">
      <c r="B52" s="59"/>
      <c r="C52" s="60"/>
      <c r="D52" s="61"/>
      <c r="E52" s="63"/>
      <c r="F52" s="63"/>
      <c r="G52" s="62"/>
      <c r="H52" s="93"/>
      <c r="I52" s="416"/>
      <c r="J52" s="64"/>
      <c r="K52" s="64"/>
      <c r="L52" s="369"/>
    </row>
    <row r="53" spans="2:12" x14ac:dyDescent="0.2">
      <c r="D53" s="264"/>
      <c r="H53" s="65"/>
      <c r="I53" s="368"/>
    </row>
    <row r="54" spans="2:12" s="57" customFormat="1" x14ac:dyDescent="0.2">
      <c r="B54" s="466" t="s">
        <v>132</v>
      </c>
      <c r="C54" s="467"/>
      <c r="D54" s="468"/>
      <c r="E54" s="469"/>
      <c r="F54" s="469"/>
      <c r="G54" s="469"/>
      <c r="H54" s="469"/>
      <c r="I54" s="469"/>
      <c r="J54" s="469"/>
      <c r="K54" s="469"/>
    </row>
    <row r="55" spans="2:12" ht="12.75" customHeight="1" x14ac:dyDescent="0.2">
      <c r="B55" s="470" t="s">
        <v>8</v>
      </c>
      <c r="C55" s="471" t="s">
        <v>48</v>
      </c>
      <c r="D55" s="472">
        <v>43635</v>
      </c>
      <c r="E55" s="473">
        <v>-8</v>
      </c>
      <c r="F55" s="474"/>
      <c r="G55" s="475" t="s">
        <v>10</v>
      </c>
      <c r="H55" s="474">
        <v>8000000</v>
      </c>
      <c r="I55" s="481">
        <f>H55</f>
        <v>8000000</v>
      </c>
      <c r="J55" s="477"/>
      <c r="K55" s="475"/>
    </row>
    <row r="56" spans="2:12" ht="12.75" customHeight="1" x14ac:dyDescent="0.2">
      <c r="B56" s="482" t="s">
        <v>8</v>
      </c>
      <c r="C56" s="483" t="s">
        <v>248</v>
      </c>
      <c r="D56" s="484">
        <v>44293</v>
      </c>
      <c r="E56" s="485">
        <v>-2.3539819999999998</v>
      </c>
      <c r="F56" s="486"/>
      <c r="G56" s="487" t="s">
        <v>10</v>
      </c>
      <c r="H56" s="486">
        <f>-E56*10^6</f>
        <v>2353982</v>
      </c>
      <c r="I56" s="488">
        <f>H56</f>
        <v>2353982</v>
      </c>
      <c r="J56" s="489"/>
      <c r="K56" s="487"/>
    </row>
    <row r="57" spans="2:12" ht="12.75" customHeight="1" x14ac:dyDescent="0.2">
      <c r="B57" s="470" t="s">
        <v>8</v>
      </c>
      <c r="C57" s="471" t="s">
        <v>240</v>
      </c>
      <c r="D57" s="472">
        <v>44384</v>
      </c>
      <c r="E57" s="473">
        <f>-I57*10^-6</f>
        <v>-0.41176499999999999</v>
      </c>
      <c r="F57" s="474"/>
      <c r="G57" s="475" t="s">
        <v>10</v>
      </c>
      <c r="H57" s="474">
        <v>2500000</v>
      </c>
      <c r="I57" s="481">
        <v>411765</v>
      </c>
      <c r="J57" s="477"/>
      <c r="K57" s="475"/>
    </row>
    <row r="58" spans="2:12" x14ac:dyDescent="0.2">
      <c r="B58" s="482" t="s">
        <v>8</v>
      </c>
      <c r="C58" s="483" t="s">
        <v>240</v>
      </c>
      <c r="D58" s="484">
        <v>44902</v>
      </c>
      <c r="E58" s="485"/>
      <c r="F58" s="486">
        <f>(411765+59019.65)*10^-6</f>
        <v>0.47078465000000003</v>
      </c>
      <c r="G58" s="487" t="s">
        <v>10</v>
      </c>
      <c r="H58" s="486">
        <f>F58*10^6</f>
        <v>470784.65</v>
      </c>
      <c r="I58" s="488">
        <v>470784.65</v>
      </c>
      <c r="J58" s="489"/>
      <c r="K58" s="487"/>
    </row>
    <row r="59" spans="2:12" x14ac:dyDescent="0.2">
      <c r="D59" s="265"/>
      <c r="I59" s="368"/>
      <c r="J59" s="67"/>
    </row>
    <row r="60" spans="2:12" x14ac:dyDescent="0.2">
      <c r="I60" s="368"/>
      <c r="J60" s="67"/>
    </row>
    <row r="61" spans="2:12" x14ac:dyDescent="0.2">
      <c r="I61" s="368"/>
    </row>
    <row r="62" spans="2:12" x14ac:dyDescent="0.2">
      <c r="I62" s="368"/>
    </row>
    <row r="63" spans="2:12" x14ac:dyDescent="0.2">
      <c r="I63" s="368"/>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6"/>
  <sheetViews>
    <sheetView zoomScale="85" zoomScaleNormal="85" workbookViewId="0">
      <selection activeCell="C34" sqref="C34"/>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66" t="s">
        <v>626</v>
      </c>
      <c r="C2" s="467"/>
      <c r="D2" s="468"/>
      <c r="E2" s="469"/>
      <c r="F2" s="469"/>
      <c r="G2" s="469"/>
      <c r="H2" s="469"/>
      <c r="I2" s="469"/>
    </row>
    <row r="3" spans="2:10" s="51" customFormat="1" ht="33.75" customHeight="1" x14ac:dyDescent="0.2">
      <c r="B3" s="492" t="s">
        <v>115</v>
      </c>
      <c r="C3" s="492" t="s">
        <v>5</v>
      </c>
      <c r="D3" s="492" t="s">
        <v>6</v>
      </c>
      <c r="E3" s="492" t="s">
        <v>159</v>
      </c>
      <c r="F3" s="492" t="s">
        <v>160</v>
      </c>
      <c r="G3" s="492" t="s">
        <v>22</v>
      </c>
      <c r="H3" s="492" t="s">
        <v>154</v>
      </c>
      <c r="I3" s="492" t="s">
        <v>7</v>
      </c>
      <c r="J3" s="394" t="s">
        <v>318</v>
      </c>
    </row>
    <row r="4" spans="2:10" s="54" customFormat="1" ht="15.75" customHeight="1" x14ac:dyDescent="0.25">
      <c r="B4" s="475" t="s">
        <v>11</v>
      </c>
      <c r="C4" s="470" t="s">
        <v>12</v>
      </c>
      <c r="D4" s="472">
        <v>44153</v>
      </c>
      <c r="E4" s="480">
        <f>H4</f>
        <v>-10.5</v>
      </c>
      <c r="F4" s="480"/>
      <c r="G4" s="475" t="s">
        <v>10</v>
      </c>
      <c r="H4" s="480">
        <v>-10.5</v>
      </c>
      <c r="I4" s="475" t="s">
        <v>13</v>
      </c>
      <c r="J4" s="391">
        <f>SUM(E4:E58)</f>
        <v>-140.87350187458156</v>
      </c>
    </row>
    <row r="5" spans="2:10" s="54" customFormat="1" ht="15.75" customHeight="1" x14ac:dyDescent="0.25">
      <c r="B5" s="475" t="s">
        <v>11</v>
      </c>
      <c r="C5" s="470" t="s">
        <v>12</v>
      </c>
      <c r="D5" s="472">
        <v>44238</v>
      </c>
      <c r="E5" s="480">
        <f>H5</f>
        <v>4.2140269999999997</v>
      </c>
      <c r="F5" s="480"/>
      <c r="G5" s="493" t="s">
        <v>10</v>
      </c>
      <c r="H5" s="480">
        <v>4.2140269999999997</v>
      </c>
      <c r="I5" s="475" t="s">
        <v>14</v>
      </c>
      <c r="J5" s="392">
        <f ca="1">'9. All deals (a)'!K47</f>
        <v>140.87350187458156</v>
      </c>
    </row>
    <row r="6" spans="2:10" s="54" customFormat="1" ht="15.75" customHeight="1" x14ac:dyDescent="0.25">
      <c r="B6" s="475" t="s">
        <v>11</v>
      </c>
      <c r="C6" s="470" t="s">
        <v>12</v>
      </c>
      <c r="D6" s="472">
        <v>44238</v>
      </c>
      <c r="E6" s="480"/>
      <c r="F6" s="480">
        <f>H6</f>
        <v>5.0448349999999996E-2</v>
      </c>
      <c r="G6" s="493" t="s">
        <v>10</v>
      </c>
      <c r="H6" s="480">
        <v>5.0448349999999996E-2</v>
      </c>
      <c r="I6" s="475" t="s">
        <v>17</v>
      </c>
      <c r="J6" s="392" t="b">
        <f ca="1">ROUND(J5,5)=-ROUND(J4,5)</f>
        <v>1</v>
      </c>
    </row>
    <row r="7" spans="2:10" s="54" customFormat="1" ht="15.75" customHeight="1" x14ac:dyDescent="0.2">
      <c r="B7" s="475" t="s">
        <v>11</v>
      </c>
      <c r="C7" s="470" t="s">
        <v>12</v>
      </c>
      <c r="D7" s="472">
        <v>44285</v>
      </c>
      <c r="E7" s="480">
        <f>H7</f>
        <v>-6.4337459999999993</v>
      </c>
      <c r="F7" s="480"/>
      <c r="G7" s="493" t="s">
        <v>10</v>
      </c>
      <c r="H7" s="480">
        <v>-6.4337459999999993</v>
      </c>
      <c r="I7" s="475" t="s">
        <v>15</v>
      </c>
      <c r="J7" s="393"/>
    </row>
    <row r="8" spans="2:10" s="54" customFormat="1" ht="15.75" customHeight="1" x14ac:dyDescent="0.2">
      <c r="B8" s="475" t="s">
        <v>11</v>
      </c>
      <c r="C8" s="470" t="s">
        <v>12</v>
      </c>
      <c r="D8" s="472">
        <v>44269</v>
      </c>
      <c r="E8" s="480">
        <f>H8</f>
        <v>1.1352073899999999</v>
      </c>
      <c r="F8" s="480"/>
      <c r="G8" s="493" t="s">
        <v>10</v>
      </c>
      <c r="H8" s="480">
        <v>1.1352073899999999</v>
      </c>
      <c r="I8" s="475" t="s">
        <v>16</v>
      </c>
      <c r="J8" s="393"/>
    </row>
    <row r="9" spans="2:10" s="54" customFormat="1" ht="15.75" customHeight="1" x14ac:dyDescent="0.2">
      <c r="B9" s="475" t="s">
        <v>11</v>
      </c>
      <c r="C9" s="470" t="s">
        <v>12</v>
      </c>
      <c r="D9" s="472">
        <v>44269</v>
      </c>
      <c r="E9" s="480"/>
      <c r="F9" s="480">
        <f>H9</f>
        <v>2.5899999999999999E-2</v>
      </c>
      <c r="G9" s="475" t="s">
        <v>10</v>
      </c>
      <c r="H9" s="480">
        <v>2.5899999999999999E-2</v>
      </c>
      <c r="I9" s="475" t="s">
        <v>17</v>
      </c>
      <c r="J9" s="393"/>
    </row>
    <row r="10" spans="2:10" s="54" customFormat="1" ht="15.75" customHeight="1" x14ac:dyDescent="0.2">
      <c r="B10" s="475" t="s">
        <v>11</v>
      </c>
      <c r="C10" s="470" t="s">
        <v>12</v>
      </c>
      <c r="D10" s="472">
        <v>44483</v>
      </c>
      <c r="E10" s="480">
        <f>H10</f>
        <v>-7.5671379999999999</v>
      </c>
      <c r="F10" s="480"/>
      <c r="G10" s="475" t="s">
        <v>10</v>
      </c>
      <c r="H10" s="480">
        <v>-7.5671379999999999</v>
      </c>
      <c r="I10" s="475" t="s">
        <v>103</v>
      </c>
      <c r="J10" s="393"/>
    </row>
    <row r="11" spans="2:10" s="54" customFormat="1" ht="15.75" customHeight="1" x14ac:dyDescent="0.2">
      <c r="B11" s="475" t="s">
        <v>11</v>
      </c>
      <c r="C11" s="470" t="s">
        <v>12</v>
      </c>
      <c r="D11" s="472">
        <v>44554</v>
      </c>
      <c r="E11" s="480">
        <f>H11</f>
        <v>-7.3850159999999994</v>
      </c>
      <c r="F11" s="480"/>
      <c r="G11" s="475" t="s">
        <v>10</v>
      </c>
      <c r="H11" s="480">
        <v>-7.3850159999999994</v>
      </c>
      <c r="I11" s="475" t="s">
        <v>104</v>
      </c>
    </row>
    <row r="12" spans="2:10" s="54" customFormat="1" ht="15.75" customHeight="1" x14ac:dyDescent="0.2">
      <c r="B12" s="475" t="s">
        <v>11</v>
      </c>
      <c r="C12" s="470" t="s">
        <v>12</v>
      </c>
      <c r="D12" s="472">
        <v>44554</v>
      </c>
      <c r="E12" s="480">
        <f>H12</f>
        <v>4.0733456099999996</v>
      </c>
      <c r="F12" s="480"/>
      <c r="G12" s="475" t="s">
        <v>10</v>
      </c>
      <c r="H12" s="480">
        <v>4.0733456099999996</v>
      </c>
      <c r="I12" s="475" t="s">
        <v>16</v>
      </c>
    </row>
    <row r="13" spans="2:10" s="54" customFormat="1" ht="15.75" customHeight="1" x14ac:dyDescent="0.2">
      <c r="B13" s="475" t="s">
        <v>11</v>
      </c>
      <c r="C13" s="470" t="s">
        <v>12</v>
      </c>
      <c r="D13" s="472">
        <v>44554</v>
      </c>
      <c r="E13" s="480"/>
      <c r="F13" s="480">
        <f>H13</f>
        <v>0.13969399999999998</v>
      </c>
      <c r="G13" s="475" t="s">
        <v>10</v>
      </c>
      <c r="H13" s="480">
        <v>0.13969399999999998</v>
      </c>
      <c r="I13" s="475" t="s">
        <v>17</v>
      </c>
    </row>
    <row r="14" spans="2:10" s="54" customFormat="1" ht="15.75" customHeight="1" x14ac:dyDescent="0.2">
      <c r="B14" s="475" t="s">
        <v>11</v>
      </c>
      <c r="C14" s="470" t="s">
        <v>12</v>
      </c>
      <c r="D14" s="472">
        <v>44703</v>
      </c>
      <c r="E14" s="480">
        <f>H14</f>
        <v>5.6730739999999997</v>
      </c>
      <c r="F14" s="480"/>
      <c r="G14" s="475" t="s">
        <v>10</v>
      </c>
      <c r="H14" s="480">
        <v>5.6730739999999997</v>
      </c>
      <c r="I14" s="475" t="s">
        <v>16</v>
      </c>
    </row>
    <row r="15" spans="2:10" s="54" customFormat="1" ht="15.75" customHeight="1" x14ac:dyDescent="0.2">
      <c r="B15" s="475" t="s">
        <v>11</v>
      </c>
      <c r="C15" s="470" t="s">
        <v>12</v>
      </c>
      <c r="D15" s="472">
        <v>44703</v>
      </c>
      <c r="E15" s="480"/>
      <c r="F15" s="480">
        <f>H15</f>
        <v>0.22778599999999999</v>
      </c>
      <c r="G15" s="475" t="s">
        <v>10</v>
      </c>
      <c r="H15" s="480">
        <v>0.22778599999999999</v>
      </c>
      <c r="I15" s="475" t="s">
        <v>17</v>
      </c>
    </row>
    <row r="16" spans="2:10" s="54" customFormat="1" ht="15.75" customHeight="1" x14ac:dyDescent="0.2">
      <c r="B16" s="475" t="s">
        <v>11</v>
      </c>
      <c r="C16" s="470" t="s">
        <v>12</v>
      </c>
      <c r="D16" s="472">
        <v>44776</v>
      </c>
      <c r="E16" s="480">
        <f>H16</f>
        <v>-3.235493</v>
      </c>
      <c r="F16" s="480"/>
      <c r="G16" s="475" t="s">
        <v>10</v>
      </c>
      <c r="H16" s="480">
        <v>-3.235493</v>
      </c>
      <c r="I16" s="475" t="s">
        <v>106</v>
      </c>
    </row>
    <row r="17" spans="2:9" s="54" customFormat="1" ht="15.75" customHeight="1" x14ac:dyDescent="0.2">
      <c r="B17" s="475" t="s">
        <v>11</v>
      </c>
      <c r="C17" s="470" t="s">
        <v>12</v>
      </c>
      <c r="D17" s="472">
        <v>44960</v>
      </c>
      <c r="E17" s="480">
        <f>H17</f>
        <v>-2.6315279999999999</v>
      </c>
      <c r="F17" s="480"/>
      <c r="G17" s="475" t="s">
        <v>10</v>
      </c>
      <c r="H17" s="480">
        <v>-2.6315279999999999</v>
      </c>
      <c r="I17" s="475" t="s">
        <v>108</v>
      </c>
    </row>
    <row r="18" spans="2:9" s="54" customFormat="1" ht="15.75" customHeight="1" x14ac:dyDescent="0.2">
      <c r="B18" s="475" t="s">
        <v>11</v>
      </c>
      <c r="C18" s="470" t="s">
        <v>12</v>
      </c>
      <c r="D18" s="472">
        <v>45085</v>
      </c>
      <c r="E18" s="480">
        <f>H18</f>
        <v>1.9125570000000001</v>
      </c>
      <c r="F18" s="480"/>
      <c r="G18" s="475" t="s">
        <v>10</v>
      </c>
      <c r="H18" s="480">
        <v>1.9125570000000001</v>
      </c>
      <c r="I18" s="475" t="s">
        <v>16</v>
      </c>
    </row>
    <row r="19" spans="2:9" s="54" customFormat="1" ht="15.75" customHeight="1" x14ac:dyDescent="0.2">
      <c r="B19" s="475" t="s">
        <v>11</v>
      </c>
      <c r="C19" s="470" t="s">
        <v>12</v>
      </c>
      <c r="D19" s="472">
        <v>45166</v>
      </c>
      <c r="E19" s="480">
        <v>-1.7991220000000001</v>
      </c>
      <c r="F19" s="480"/>
      <c r="G19" s="475" t="s">
        <v>10</v>
      </c>
      <c r="H19" s="480">
        <v>-1.7991220000000001</v>
      </c>
      <c r="I19" s="475" t="s">
        <v>440</v>
      </c>
    </row>
    <row r="20" spans="2:9" s="54" customFormat="1" ht="15.75" customHeight="1" x14ac:dyDescent="0.2">
      <c r="B20" s="475" t="s">
        <v>11</v>
      </c>
      <c r="C20" s="470" t="s">
        <v>12</v>
      </c>
      <c r="D20" s="472">
        <v>45218</v>
      </c>
      <c r="E20" s="480">
        <v>-2.415861</v>
      </c>
      <c r="F20" s="480"/>
      <c r="G20" s="475" t="s">
        <v>10</v>
      </c>
      <c r="H20" s="480">
        <v>-2.415861</v>
      </c>
      <c r="I20" s="475" t="s">
        <v>442</v>
      </c>
    </row>
    <row r="21" spans="2:9" s="54" customFormat="1" ht="15.75" customHeight="1" x14ac:dyDescent="0.2">
      <c r="B21" s="475" t="s">
        <v>11</v>
      </c>
      <c r="C21" s="470" t="s">
        <v>12</v>
      </c>
      <c r="D21" s="472">
        <v>45323</v>
      </c>
      <c r="E21" s="480"/>
      <c r="F21" s="480">
        <f>24.959693</f>
        <v>24.959693000000001</v>
      </c>
      <c r="G21" s="475" t="s">
        <v>10</v>
      </c>
      <c r="H21" s="480">
        <f>F21</f>
        <v>24.959693000000001</v>
      </c>
      <c r="I21" s="475" t="s">
        <v>618</v>
      </c>
    </row>
    <row r="22" spans="2:9" s="54" customFormat="1" ht="15.75" customHeight="1" x14ac:dyDescent="0.2">
      <c r="B22" s="487" t="s">
        <v>11</v>
      </c>
      <c r="C22" s="482" t="s">
        <v>1</v>
      </c>
      <c r="D22" s="484">
        <v>43665</v>
      </c>
      <c r="E22" s="497">
        <f t="shared" ref="E22:E29" si="0">H22</f>
        <v>-3</v>
      </c>
      <c r="F22" s="497"/>
      <c r="G22" s="487" t="s">
        <v>10</v>
      </c>
      <c r="H22" s="497">
        <v>-3</v>
      </c>
      <c r="I22" s="487" t="s">
        <v>13</v>
      </c>
    </row>
    <row r="23" spans="2:9" s="54" customFormat="1" ht="15.75" customHeight="1" x14ac:dyDescent="0.2">
      <c r="B23" s="487" t="s">
        <v>11</v>
      </c>
      <c r="C23" s="482" t="s">
        <v>1</v>
      </c>
      <c r="D23" s="484">
        <v>43983</v>
      </c>
      <c r="E23" s="497">
        <f t="shared" si="0"/>
        <v>-4.4849999999999994</v>
      </c>
      <c r="F23" s="497"/>
      <c r="G23" s="487" t="s">
        <v>10</v>
      </c>
      <c r="H23" s="497">
        <v>-4.4849999999999994</v>
      </c>
      <c r="I23" s="487" t="s">
        <v>15</v>
      </c>
    </row>
    <row r="24" spans="2:9" s="54" customFormat="1" ht="15.75" customHeight="1" x14ac:dyDescent="0.2">
      <c r="B24" s="487" t="s">
        <v>11</v>
      </c>
      <c r="C24" s="482" t="s">
        <v>1</v>
      </c>
      <c r="D24" s="484">
        <v>43879</v>
      </c>
      <c r="E24" s="497">
        <f t="shared" si="0"/>
        <v>-9.5097500000000004</v>
      </c>
      <c r="F24" s="497"/>
      <c r="G24" s="487" t="s">
        <v>10</v>
      </c>
      <c r="H24" s="497">
        <v>-9.5097500000000004</v>
      </c>
      <c r="I24" s="487" t="s">
        <v>103</v>
      </c>
    </row>
    <row r="25" spans="2:9" s="54" customFormat="1" ht="15.75" customHeight="1" x14ac:dyDescent="0.2">
      <c r="B25" s="487" t="s">
        <v>11</v>
      </c>
      <c r="C25" s="482" t="s">
        <v>1</v>
      </c>
      <c r="D25" s="484">
        <v>43934</v>
      </c>
      <c r="E25" s="497">
        <f t="shared" si="0"/>
        <v>-41.3</v>
      </c>
      <c r="F25" s="497"/>
      <c r="G25" s="487" t="s">
        <v>10</v>
      </c>
      <c r="H25" s="497">
        <v>-41.3</v>
      </c>
      <c r="I25" s="487" t="s">
        <v>104</v>
      </c>
    </row>
    <row r="26" spans="2:9" s="54" customFormat="1" ht="15.75" customHeight="1" x14ac:dyDescent="0.2">
      <c r="B26" s="487" t="s">
        <v>11</v>
      </c>
      <c r="C26" s="482" t="s">
        <v>1</v>
      </c>
      <c r="D26" s="484">
        <v>44151</v>
      </c>
      <c r="E26" s="497">
        <f t="shared" si="0"/>
        <v>9.9499999999999993</v>
      </c>
      <c r="F26" s="497"/>
      <c r="G26" s="487" t="s">
        <v>10</v>
      </c>
      <c r="H26" s="497">
        <v>9.9499999999999993</v>
      </c>
      <c r="I26" s="487" t="s">
        <v>105</v>
      </c>
    </row>
    <row r="27" spans="2:9" s="54" customFormat="1" ht="15.75" customHeight="1" x14ac:dyDescent="0.2">
      <c r="B27" s="487" t="s">
        <v>11</v>
      </c>
      <c r="C27" s="482" t="s">
        <v>1</v>
      </c>
      <c r="D27" s="484">
        <v>44151</v>
      </c>
      <c r="E27" s="497">
        <f t="shared" si="0"/>
        <v>-10.455</v>
      </c>
      <c r="F27" s="497"/>
      <c r="G27" s="487" t="s">
        <v>10</v>
      </c>
      <c r="H27" s="497">
        <v>-10.455</v>
      </c>
      <c r="I27" s="487" t="s">
        <v>106</v>
      </c>
    </row>
    <row r="28" spans="2:9" s="54" customFormat="1" ht="15.75" customHeight="1" x14ac:dyDescent="0.2">
      <c r="B28" s="487" t="s">
        <v>11</v>
      </c>
      <c r="C28" s="482" t="s">
        <v>1</v>
      </c>
      <c r="D28" s="484">
        <v>44196</v>
      </c>
      <c r="E28" s="497">
        <f t="shared" si="0"/>
        <v>4.9749999999999996</v>
      </c>
      <c r="F28" s="497"/>
      <c r="G28" s="487" t="s">
        <v>10</v>
      </c>
      <c r="H28" s="497">
        <v>4.9749999999999996</v>
      </c>
      <c r="I28" s="487" t="s">
        <v>107</v>
      </c>
    </row>
    <row r="29" spans="2:9" s="54" customFormat="1" ht="15.75" customHeight="1" x14ac:dyDescent="0.2">
      <c r="B29" s="487" t="s">
        <v>11</v>
      </c>
      <c r="C29" s="482" t="s">
        <v>1</v>
      </c>
      <c r="D29" s="484">
        <v>44196</v>
      </c>
      <c r="E29" s="497">
        <f t="shared" si="0"/>
        <v>-3.4522930000000001</v>
      </c>
      <c r="F29" s="497"/>
      <c r="G29" s="487" t="s">
        <v>10</v>
      </c>
      <c r="H29" s="497">
        <v>-3.4522930000000001</v>
      </c>
      <c r="I29" s="487" t="s">
        <v>108</v>
      </c>
    </row>
    <row r="30" spans="2:9" s="54" customFormat="1" ht="15.75" customHeight="1" x14ac:dyDescent="0.2">
      <c r="B30" s="487" t="s">
        <v>11</v>
      </c>
      <c r="C30" s="482" t="s">
        <v>1</v>
      </c>
      <c r="D30" s="484">
        <v>44196</v>
      </c>
      <c r="E30" s="497"/>
      <c r="F30" s="497">
        <f>H30</f>
        <v>0.58290199999999992</v>
      </c>
      <c r="G30" s="487" t="s">
        <v>10</v>
      </c>
      <c r="H30" s="497">
        <v>0.58290199999999992</v>
      </c>
      <c r="I30" s="487" t="s">
        <v>109</v>
      </c>
    </row>
    <row r="31" spans="2:9" s="54" customFormat="1" ht="15.75" customHeight="1" x14ac:dyDescent="0.2">
      <c r="B31" s="487" t="s">
        <v>11</v>
      </c>
      <c r="C31" s="482" t="s">
        <v>1</v>
      </c>
      <c r="D31" s="484">
        <v>44370</v>
      </c>
      <c r="E31" s="497">
        <f>H31</f>
        <v>-5.97</v>
      </c>
      <c r="F31" s="497"/>
      <c r="G31" s="487" t="s">
        <v>10</v>
      </c>
      <c r="H31" s="497">
        <v>-5.97</v>
      </c>
      <c r="I31" s="487" t="s">
        <v>110</v>
      </c>
    </row>
    <row r="32" spans="2:9" s="54" customFormat="1" ht="15.75" customHeight="1" x14ac:dyDescent="0.2">
      <c r="B32" s="487" t="s">
        <v>11</v>
      </c>
      <c r="C32" s="482" t="s">
        <v>1</v>
      </c>
      <c r="D32" s="484">
        <v>44400</v>
      </c>
      <c r="E32" s="497">
        <f>H32</f>
        <v>-0.75</v>
      </c>
      <c r="F32" s="497"/>
      <c r="G32" s="487" t="s">
        <v>10</v>
      </c>
      <c r="H32" s="497">
        <v>-0.75</v>
      </c>
      <c r="I32" s="487" t="s">
        <v>111</v>
      </c>
    </row>
    <row r="33" spans="2:9" s="54" customFormat="1" ht="15.75" customHeight="1" x14ac:dyDescent="0.2">
      <c r="B33" s="487" t="s">
        <v>11</v>
      </c>
      <c r="C33" s="482" t="s">
        <v>1</v>
      </c>
      <c r="D33" s="484">
        <v>44400</v>
      </c>
      <c r="E33" s="497"/>
      <c r="F33" s="497">
        <f>H33</f>
        <v>0.44505899999999998</v>
      </c>
      <c r="G33" s="487" t="s">
        <v>10</v>
      </c>
      <c r="H33" s="497">
        <v>0.44505899999999998</v>
      </c>
      <c r="I33" s="487" t="s">
        <v>112</v>
      </c>
    </row>
    <row r="34" spans="2:9" s="54" customFormat="1" ht="15.75" customHeight="1" x14ac:dyDescent="0.2">
      <c r="B34" s="487" t="s">
        <v>11</v>
      </c>
      <c r="C34" s="482" t="s">
        <v>1</v>
      </c>
      <c r="D34" s="484">
        <v>44554</v>
      </c>
      <c r="E34" s="497">
        <f>H34</f>
        <v>1.7823899999999999</v>
      </c>
      <c r="F34" s="497"/>
      <c r="G34" s="487" t="s">
        <v>10</v>
      </c>
      <c r="H34" s="497">
        <v>1.7823899999999999</v>
      </c>
      <c r="I34" s="487" t="s">
        <v>113</v>
      </c>
    </row>
    <row r="35" spans="2:9" s="54" customFormat="1" ht="15.75" customHeight="1" x14ac:dyDescent="0.2">
      <c r="B35" s="487" t="s">
        <v>11</v>
      </c>
      <c r="C35" s="482" t="s">
        <v>1</v>
      </c>
      <c r="D35" s="484">
        <v>44676</v>
      </c>
      <c r="E35" s="497">
        <f>H35</f>
        <v>-21</v>
      </c>
      <c r="F35" s="497"/>
      <c r="G35" s="487" t="s">
        <v>10</v>
      </c>
      <c r="H35" s="497">
        <v>-21</v>
      </c>
      <c r="I35" s="487" t="s">
        <v>114</v>
      </c>
    </row>
    <row r="36" spans="2:9" s="54" customFormat="1" ht="15.75" customHeight="1" x14ac:dyDescent="0.2">
      <c r="B36" s="487" t="s">
        <v>11</v>
      </c>
      <c r="C36" s="482" t="s">
        <v>1</v>
      </c>
      <c r="D36" s="484">
        <v>45243</v>
      </c>
      <c r="E36" s="497"/>
      <c r="F36" s="497">
        <f>H36</f>
        <v>6.7879100000000001</v>
      </c>
      <c r="G36" s="487" t="s">
        <v>10</v>
      </c>
      <c r="H36" s="497">
        <v>6.7879100000000001</v>
      </c>
      <c r="I36" s="487" t="s">
        <v>450</v>
      </c>
    </row>
    <row r="37" spans="2:9" s="54" customFormat="1" ht="15.75" customHeight="1" x14ac:dyDescent="0.2">
      <c r="B37" s="487" t="s">
        <v>11</v>
      </c>
      <c r="C37" s="482" t="s">
        <v>1</v>
      </c>
      <c r="D37" s="484">
        <v>45470</v>
      </c>
      <c r="E37" s="497">
        <f>H37</f>
        <v>-5.5696999999999997E-2</v>
      </c>
      <c r="F37" s="497"/>
      <c r="G37" s="487" t="s">
        <v>10</v>
      </c>
      <c r="H37" s="497">
        <f>-55697*10^-6</f>
        <v>-5.5696999999999997E-2</v>
      </c>
      <c r="I37" s="487" t="s">
        <v>682</v>
      </c>
    </row>
    <row r="38" spans="2:9" s="54" customFormat="1" ht="15.75" customHeight="1" x14ac:dyDescent="0.2">
      <c r="B38" s="475" t="s">
        <v>11</v>
      </c>
      <c r="C38" s="470" t="s">
        <v>118</v>
      </c>
      <c r="D38" s="472">
        <v>44087</v>
      </c>
      <c r="E38" s="480">
        <f>H38*1.1</f>
        <v>-20.917552997000001</v>
      </c>
      <c r="F38" s="494"/>
      <c r="G38" s="475" t="s">
        <v>133</v>
      </c>
      <c r="H38" s="495">
        <v>-19.015957270000001</v>
      </c>
      <c r="I38" s="475" t="s">
        <v>135</v>
      </c>
    </row>
    <row r="39" spans="2:9" s="54" customFormat="1" ht="15.75" customHeight="1" x14ac:dyDescent="0.2">
      <c r="B39" s="475" t="s">
        <v>11</v>
      </c>
      <c r="C39" s="470" t="s">
        <v>118</v>
      </c>
      <c r="D39" s="472">
        <v>44287</v>
      </c>
      <c r="E39" s="480">
        <v>-0.21103182000000001</v>
      </c>
      <c r="F39" s="494"/>
      <c r="G39" s="480" t="s">
        <v>133</v>
      </c>
      <c r="H39" s="495">
        <v>-0.21103182000000001</v>
      </c>
      <c r="I39" s="475" t="s">
        <v>136</v>
      </c>
    </row>
    <row r="40" spans="2:9" s="54" customFormat="1" ht="15.75" customHeight="1" x14ac:dyDescent="0.2">
      <c r="B40" s="475" t="s">
        <v>11</v>
      </c>
      <c r="C40" s="470" t="s">
        <v>118</v>
      </c>
      <c r="D40" s="472">
        <v>44442</v>
      </c>
      <c r="E40" s="480">
        <f>1.18*H40</f>
        <v>-0.23965473139999999</v>
      </c>
      <c r="F40" s="494"/>
      <c r="G40" s="480" t="s">
        <v>133</v>
      </c>
      <c r="H40" s="495">
        <f>-203097.23*10^-6</f>
        <v>-0.20309722999999999</v>
      </c>
      <c r="I40" s="475" t="s">
        <v>156</v>
      </c>
    </row>
    <row r="41" spans="2:9" s="54" customFormat="1" ht="15.75" customHeight="1" x14ac:dyDescent="0.2">
      <c r="B41" s="475" t="s">
        <v>11</v>
      </c>
      <c r="C41" s="470" t="s">
        <v>118</v>
      </c>
      <c r="D41" s="472">
        <v>44623</v>
      </c>
      <c r="E41" s="480">
        <f>1.11*H41</f>
        <v>-0.25893584940000003</v>
      </c>
      <c r="F41" s="494"/>
      <c r="G41" s="480" t="s">
        <v>133</v>
      </c>
      <c r="H41" s="495">
        <f>-233275.54*10^-6</f>
        <v>-0.23327554</v>
      </c>
      <c r="I41" s="475" t="s">
        <v>157</v>
      </c>
    </row>
    <row r="42" spans="2:9" s="54" customFormat="1" ht="15.75" customHeight="1" x14ac:dyDescent="0.2">
      <c r="B42" s="475" t="s">
        <v>11</v>
      </c>
      <c r="C42" s="470" t="s">
        <v>118</v>
      </c>
      <c r="D42" s="472">
        <v>44784</v>
      </c>
      <c r="E42" s="473">
        <f>1.03*H42</f>
        <v>1.5224656599999999E-2</v>
      </c>
      <c r="F42" s="494"/>
      <c r="G42" s="480" t="s">
        <v>133</v>
      </c>
      <c r="H42" s="496">
        <f>14781.22*10^-6</f>
        <v>1.4781219999999999E-2</v>
      </c>
      <c r="I42" s="475" t="s">
        <v>158</v>
      </c>
    </row>
    <row r="43" spans="2:9" s="54" customFormat="1" ht="15.75" customHeight="1" x14ac:dyDescent="0.2">
      <c r="B43" s="475" t="s">
        <v>11</v>
      </c>
      <c r="C43" s="470" t="s">
        <v>118</v>
      </c>
      <c r="D43" s="472">
        <v>44956</v>
      </c>
      <c r="E43" s="480">
        <f>9741387*10^-6*1.08341</f>
        <v>10.553916089669999</v>
      </c>
      <c r="F43" s="480"/>
      <c r="G43" s="480" t="s">
        <v>133</v>
      </c>
      <c r="H43" s="495">
        <f>9741387*10^-6</f>
        <v>9.7413869999999996</v>
      </c>
      <c r="I43" s="475" t="s">
        <v>158</v>
      </c>
    </row>
    <row r="44" spans="2:9" s="54" customFormat="1" ht="15.75" customHeight="1" x14ac:dyDescent="0.2">
      <c r="B44" s="475" t="s">
        <v>11</v>
      </c>
      <c r="C44" s="470" t="s">
        <v>118</v>
      </c>
      <c r="D44" s="472">
        <v>44956</v>
      </c>
      <c r="E44" s="480"/>
      <c r="F44" s="480">
        <f>2728214.02*10^-6*1.08341</f>
        <v>2.9557743514081998</v>
      </c>
      <c r="G44" s="480" t="s">
        <v>133</v>
      </c>
      <c r="H44" s="495">
        <v>2.7282140199999994</v>
      </c>
      <c r="I44" s="475" t="s">
        <v>317</v>
      </c>
    </row>
    <row r="45" spans="2:9" s="54" customFormat="1" ht="15.75" customHeight="1" x14ac:dyDescent="0.2">
      <c r="B45" s="475" t="s">
        <v>11</v>
      </c>
      <c r="C45" s="470" t="s">
        <v>118</v>
      </c>
      <c r="D45" s="472">
        <v>45170</v>
      </c>
      <c r="E45" s="480">
        <v>-0.22532724156300002</v>
      </c>
      <c r="F45" s="480"/>
      <c r="G45" s="480" t="s">
        <v>133</v>
      </c>
      <c r="H45" s="480">
        <v>-0.22532724156300002</v>
      </c>
      <c r="I45" s="475" t="s">
        <v>550</v>
      </c>
    </row>
    <row r="46" spans="2:9" s="54" customFormat="1" ht="15.75" customHeight="1" x14ac:dyDescent="0.2">
      <c r="B46" s="475" t="s">
        <v>11</v>
      </c>
      <c r="C46" s="470" t="s">
        <v>118</v>
      </c>
      <c r="D46" s="472">
        <v>45260</v>
      </c>
      <c r="E46" s="480">
        <v>-0.28531251529200002</v>
      </c>
      <c r="F46" s="480"/>
      <c r="G46" s="480" t="s">
        <v>133</v>
      </c>
      <c r="H46" s="480">
        <v>-0.28531251529200002</v>
      </c>
      <c r="I46" s="475" t="s">
        <v>549</v>
      </c>
    </row>
    <row r="47" spans="2:9" s="54" customFormat="1" ht="15.75" customHeight="1" x14ac:dyDescent="0.2">
      <c r="B47" s="475" t="s">
        <v>11</v>
      </c>
      <c r="C47" s="470" t="s">
        <v>118</v>
      </c>
      <c r="D47" s="472">
        <v>45321</v>
      </c>
      <c r="E47" s="480">
        <v>-2.4198785200000001</v>
      </c>
      <c r="F47" s="480"/>
      <c r="G47" s="480" t="s">
        <v>133</v>
      </c>
      <c r="H47" s="480">
        <v>-2.4198785200000001</v>
      </c>
      <c r="I47" s="475" t="s">
        <v>468</v>
      </c>
    </row>
    <row r="48" spans="2:9" s="54" customFormat="1" ht="15.75" customHeight="1" x14ac:dyDescent="0.2">
      <c r="B48" s="475" t="s">
        <v>11</v>
      </c>
      <c r="C48" s="470" t="s">
        <v>118</v>
      </c>
      <c r="D48" s="472">
        <v>45372</v>
      </c>
      <c r="E48" s="480">
        <v>-0.21649573657739998</v>
      </c>
      <c r="F48" s="480"/>
      <c r="G48" s="480" t="s">
        <v>133</v>
      </c>
      <c r="H48" s="480">
        <v>-0.21649573657739998</v>
      </c>
      <c r="I48" s="475" t="s">
        <v>629</v>
      </c>
    </row>
    <row r="49" spans="2:9" s="54" customFormat="1" ht="15.75" customHeight="1" x14ac:dyDescent="0.2">
      <c r="B49" s="475" t="s">
        <v>11</v>
      </c>
      <c r="C49" s="470" t="s">
        <v>118</v>
      </c>
      <c r="D49" s="472">
        <v>45454</v>
      </c>
      <c r="E49" s="480"/>
      <c r="F49" s="480">
        <f>H49*1.0743</f>
        <v>0.46369472675700002</v>
      </c>
      <c r="G49" s="480" t="s">
        <v>133</v>
      </c>
      <c r="H49" s="495">
        <f>431624.99*10^-6</f>
        <v>0.43162498999999999</v>
      </c>
      <c r="I49" s="475" t="s">
        <v>690</v>
      </c>
    </row>
    <row r="50" spans="2:9" s="54" customFormat="1" ht="15.75" customHeight="1" x14ac:dyDescent="0.2">
      <c r="B50" s="475" t="s">
        <v>11</v>
      </c>
      <c r="C50" s="470" t="s">
        <v>118</v>
      </c>
      <c r="D50" s="472">
        <v>45505</v>
      </c>
      <c r="E50" s="480">
        <f>H50*1.0883</f>
        <v>-1.717390356678</v>
      </c>
      <c r="F50" s="480"/>
      <c r="G50" s="480" t="s">
        <v>133</v>
      </c>
      <c r="H50" s="495">
        <f>-1578048.66*10^-6</f>
        <v>-1.5780486599999999</v>
      </c>
      <c r="I50" s="475" t="s">
        <v>691</v>
      </c>
    </row>
    <row r="51" spans="2:9" s="54" customFormat="1" ht="15.75" customHeight="1" x14ac:dyDescent="0.2">
      <c r="B51" s="475" t="s">
        <v>11</v>
      </c>
      <c r="C51" s="470" t="s">
        <v>343</v>
      </c>
      <c r="D51" s="472">
        <v>44087</v>
      </c>
      <c r="E51" s="480">
        <f>-'9. All deals (a)'!K43</f>
        <v>-2.7058823529411762</v>
      </c>
      <c r="F51" s="494"/>
      <c r="G51" s="475" t="s">
        <v>133</v>
      </c>
      <c r="H51" s="495">
        <v>-2.125</v>
      </c>
      <c r="I51" s="475" t="s">
        <v>135</v>
      </c>
    </row>
    <row r="52" spans="2:9" s="54" customFormat="1" ht="15.75" customHeight="1" x14ac:dyDescent="0.2">
      <c r="B52" s="487" t="s">
        <v>11</v>
      </c>
      <c r="C52" s="482" t="s">
        <v>164</v>
      </c>
      <c r="D52" s="484">
        <v>44540</v>
      </c>
      <c r="E52" s="497">
        <f>H52</f>
        <v>-2.8053124999999999</v>
      </c>
      <c r="F52" s="497"/>
      <c r="G52" s="487" t="s">
        <v>10</v>
      </c>
      <c r="H52" s="498">
        <v>-2.8053124999999999</v>
      </c>
      <c r="I52" s="487" t="s">
        <v>13</v>
      </c>
    </row>
    <row r="53" spans="2:9" s="54" customFormat="1" ht="15.75" customHeight="1" x14ac:dyDescent="0.2">
      <c r="B53" s="487" t="s">
        <v>11</v>
      </c>
      <c r="C53" s="482" t="s">
        <v>164</v>
      </c>
      <c r="D53" s="484">
        <v>44602</v>
      </c>
      <c r="E53" s="497">
        <f>H53</f>
        <v>-3.4074999999999998</v>
      </c>
      <c r="F53" s="497"/>
      <c r="G53" s="487" t="s">
        <v>10</v>
      </c>
      <c r="H53" s="498">
        <v>-3.4074999999999998</v>
      </c>
      <c r="I53" s="487" t="s">
        <v>117</v>
      </c>
    </row>
    <row r="54" spans="2:9" s="54" customFormat="1" ht="15.75" customHeight="1" x14ac:dyDescent="0.2">
      <c r="B54" s="487" t="s">
        <v>11</v>
      </c>
      <c r="C54" s="482" t="s">
        <v>164</v>
      </c>
      <c r="D54" s="484">
        <v>44683</v>
      </c>
      <c r="E54" s="497">
        <f>H54</f>
        <v>-1.0257749999999999</v>
      </c>
      <c r="F54" s="497"/>
      <c r="G54" s="487" t="s">
        <v>10</v>
      </c>
      <c r="H54" s="498">
        <v>-1.0257749999999999</v>
      </c>
      <c r="I54" s="487" t="s">
        <v>245</v>
      </c>
    </row>
    <row r="55" spans="2:9" s="54" customFormat="1" ht="15.75" customHeight="1" x14ac:dyDescent="0.2">
      <c r="B55" s="487" t="s">
        <v>11</v>
      </c>
      <c r="C55" s="482" t="s">
        <v>164</v>
      </c>
      <c r="D55" s="484">
        <v>44707</v>
      </c>
      <c r="E55" s="497">
        <f>H55</f>
        <v>-3.3882749999999997</v>
      </c>
      <c r="F55" s="497"/>
      <c r="G55" s="487" t="s">
        <v>10</v>
      </c>
      <c r="H55" s="498">
        <v>-3.3882749999999997</v>
      </c>
      <c r="I55" s="487" t="s">
        <v>116</v>
      </c>
    </row>
    <row r="56" spans="2:9" x14ac:dyDescent="0.25">
      <c r="B56" s="487" t="s">
        <v>11</v>
      </c>
      <c r="C56" s="482" t="s">
        <v>164</v>
      </c>
      <c r="D56" s="484">
        <v>44875</v>
      </c>
      <c r="E56" s="497">
        <f>H56</f>
        <v>-3.3882749999999997</v>
      </c>
      <c r="F56" s="497"/>
      <c r="G56" s="487" t="s">
        <v>10</v>
      </c>
      <c r="H56" s="498">
        <v>-3.3882749999999997</v>
      </c>
      <c r="I56" s="487" t="s">
        <v>104</v>
      </c>
    </row>
  </sheetData>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3"/>
  <sheetViews>
    <sheetView showGridLines="0" zoomScale="70" zoomScaleNormal="70" workbookViewId="0">
      <selection activeCell="D8" sqref="D8"/>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22" customWidth="1"/>
    <col min="8" max="9" width="27.85546875" style="122"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3"/>
      <c r="C1" s="71"/>
      <c r="D1" s="112"/>
      <c r="E1" s="112"/>
      <c r="F1" s="71"/>
    </row>
    <row r="2" spans="1:17" ht="43.5" customHeight="1" thickBot="1" x14ac:dyDescent="0.5">
      <c r="B2" s="153"/>
      <c r="C2" s="157" t="s">
        <v>191</v>
      </c>
      <c r="D2" s="158"/>
      <c r="E2" s="26"/>
      <c r="F2" s="27"/>
      <c r="G2" s="27"/>
      <c r="H2" s="27"/>
      <c r="I2" s="27"/>
      <c r="J2" s="27"/>
      <c r="K2" s="27"/>
      <c r="L2" s="27"/>
      <c r="M2" s="95"/>
      <c r="N2" s="27"/>
    </row>
    <row r="3" spans="1:17" s="58" customFormat="1" ht="15.75" thickBot="1" x14ac:dyDescent="0.3">
      <c r="B3" s="131"/>
      <c r="C3" s="127" t="s">
        <v>170</v>
      </c>
      <c r="D3" s="130">
        <f>'9. All deals (a)'!D2</f>
        <v>45565</v>
      </c>
      <c r="E3" s="26"/>
      <c r="F3" s="26"/>
      <c r="G3" s="26"/>
      <c r="H3" s="26"/>
      <c r="I3" s="26"/>
      <c r="J3" s="26"/>
      <c r="K3" s="26"/>
      <c r="L3" s="26"/>
      <c r="M3" s="26"/>
      <c r="N3" s="26"/>
      <c r="O3" s="26"/>
      <c r="P3" s="26"/>
      <c r="Q3" s="26"/>
    </row>
    <row r="4" spans="1:17" ht="15.75" thickBot="1" x14ac:dyDescent="0.3">
      <c r="B4" s="153"/>
      <c r="C4" s="71"/>
      <c r="D4" s="112"/>
      <c r="E4" s="112"/>
      <c r="F4" s="71"/>
    </row>
    <row r="5" spans="1:17" x14ac:dyDescent="0.25">
      <c r="B5" s="377"/>
      <c r="C5" s="74"/>
      <c r="D5" s="113"/>
      <c r="E5" s="113"/>
      <c r="F5" s="74"/>
      <c r="G5" s="123"/>
      <c r="H5" s="123"/>
      <c r="I5" s="123"/>
      <c r="J5" s="77"/>
    </row>
    <row r="6" spans="1:17" ht="39" customHeight="1" x14ac:dyDescent="0.25">
      <c r="A6" s="80"/>
      <c r="B6" s="378"/>
      <c r="C6" s="1" t="s">
        <v>51</v>
      </c>
      <c r="D6" s="1" t="s">
        <v>421</v>
      </c>
      <c r="E6" s="1" t="s">
        <v>56</v>
      </c>
      <c r="F6" s="1" t="s">
        <v>353</v>
      </c>
      <c r="G6" s="1" t="s">
        <v>388</v>
      </c>
      <c r="H6" s="1" t="s">
        <v>389</v>
      </c>
      <c r="I6" s="1" t="s">
        <v>382</v>
      </c>
      <c r="J6" s="79"/>
      <c r="K6" s="80"/>
    </row>
    <row r="7" spans="1:17" x14ac:dyDescent="0.25">
      <c r="B7" s="379"/>
      <c r="C7" s="96"/>
      <c r="D7" s="114"/>
      <c r="E7" s="114"/>
      <c r="F7" s="96"/>
      <c r="G7" s="96"/>
      <c r="H7" s="311"/>
      <c r="I7" s="311"/>
      <c r="J7" s="82"/>
    </row>
    <row r="8" spans="1:17" x14ac:dyDescent="0.25">
      <c r="B8" s="379"/>
      <c r="C8" s="314" t="s">
        <v>28</v>
      </c>
      <c r="D8" s="315"/>
      <c r="E8" s="315"/>
      <c r="F8" s="314"/>
      <c r="G8" s="316"/>
      <c r="H8" s="317"/>
      <c r="I8" s="317"/>
      <c r="J8" s="82"/>
    </row>
    <row r="9" spans="1:17" x14ac:dyDescent="0.25">
      <c r="B9" s="379" t="s">
        <v>443</v>
      </c>
      <c r="C9" s="4" t="str">
        <f>'9. All deals (a)'!C9</f>
        <v>Jollychic Holding Limited</v>
      </c>
      <c r="D9" s="116">
        <v>13458655</v>
      </c>
      <c r="E9" s="116">
        <v>236116762</v>
      </c>
      <c r="F9" s="70">
        <f>D9/E9</f>
        <v>5.6999998161926343E-2</v>
      </c>
      <c r="G9" s="124" t="s">
        <v>148</v>
      </c>
      <c r="H9" s="124" t="s">
        <v>378</v>
      </c>
      <c r="I9" s="124" t="s">
        <v>378</v>
      </c>
      <c r="J9" s="82"/>
      <c r="M9" s="263"/>
    </row>
    <row r="10" spans="1:17" x14ac:dyDescent="0.25">
      <c r="B10" s="379" t="s">
        <v>443</v>
      </c>
      <c r="C10" s="4" t="str">
        <f>'9. All deals (a)'!C10</f>
        <v>Mena Mobile Inc</v>
      </c>
      <c r="D10" s="116">
        <v>21419829</v>
      </c>
      <c r="E10" s="116">
        <v>152998776</v>
      </c>
      <c r="F10" s="70">
        <f>D10/E10</f>
        <v>0.14000000235296001</v>
      </c>
      <c r="G10" s="124" t="s">
        <v>148</v>
      </c>
      <c r="H10" s="124" t="s">
        <v>378</v>
      </c>
      <c r="I10" s="124" t="s">
        <v>378</v>
      </c>
      <c r="J10" s="82"/>
      <c r="M10" s="263"/>
    </row>
    <row r="11" spans="1:17" x14ac:dyDescent="0.25">
      <c r="B11" s="379"/>
      <c r="C11" s="4" t="str">
        <f>'9. All deals (a)'!C11</f>
        <v>Flyr Inc</v>
      </c>
      <c r="D11" s="116">
        <v>5205482</v>
      </c>
      <c r="E11" s="116">
        <f>'[1]Summary Cap Table'!$D$59</f>
        <v>125184593</v>
      </c>
      <c r="F11" s="70">
        <f>D11/E11</f>
        <v>4.1582449367391403E-2</v>
      </c>
      <c r="G11" s="124" t="s">
        <v>355</v>
      </c>
      <c r="H11" s="124" t="s">
        <v>379</v>
      </c>
      <c r="I11" s="124" t="s">
        <v>192</v>
      </c>
      <c r="J11" s="82"/>
      <c r="M11" s="263"/>
    </row>
    <row r="12" spans="1:17" x14ac:dyDescent="0.25">
      <c r="B12" s="379" t="s">
        <v>26</v>
      </c>
      <c r="C12" s="4" t="str">
        <f>'9. All deals (a)'!C12</f>
        <v xml:space="preserve">Esyasoft Holding </v>
      </c>
      <c r="D12" s="116" t="s">
        <v>124</v>
      </c>
      <c r="E12" s="116" t="s">
        <v>124</v>
      </c>
      <c r="F12" s="116" t="s">
        <v>124</v>
      </c>
      <c r="G12" s="124" t="s">
        <v>363</v>
      </c>
      <c r="H12" s="124" t="s">
        <v>381</v>
      </c>
      <c r="I12" s="124" t="s">
        <v>380</v>
      </c>
      <c r="J12" s="82"/>
      <c r="M12" s="263"/>
    </row>
    <row r="13" spans="1:17" x14ac:dyDescent="0.25">
      <c r="B13" s="379"/>
      <c r="C13" s="4" t="str">
        <f>'9. All deals (a)'!C13</f>
        <v>Beyond Limits</v>
      </c>
      <c r="D13" s="116">
        <v>17670202</v>
      </c>
      <c r="E13" s="116">
        <v>187288050</v>
      </c>
      <c r="F13" s="70">
        <f>D13/E13</f>
        <v>9.4347728005070269E-2</v>
      </c>
      <c r="G13" s="124" t="s">
        <v>150</v>
      </c>
      <c r="H13" s="124" t="s">
        <v>379</v>
      </c>
      <c r="I13" s="124" t="s">
        <v>192</v>
      </c>
      <c r="J13" s="82"/>
      <c r="M13" s="263"/>
    </row>
    <row r="14" spans="1:17" x14ac:dyDescent="0.25">
      <c r="B14" s="379"/>
      <c r="C14" s="4" t="str">
        <f>'9. All deals (a)'!C14</f>
        <v>ONT plc</v>
      </c>
      <c r="D14" s="116">
        <v>44328120</v>
      </c>
      <c r="E14" s="116">
        <v>940896164</v>
      </c>
      <c r="F14" s="70">
        <f>D14/E14</f>
        <v>4.7112658862960358E-2</v>
      </c>
      <c r="G14" s="124" t="s">
        <v>151</v>
      </c>
      <c r="H14" s="124" t="s">
        <v>351</v>
      </c>
      <c r="I14" s="124" t="s">
        <v>351</v>
      </c>
      <c r="J14" s="82"/>
    </row>
    <row r="15" spans="1:17" x14ac:dyDescent="0.25">
      <c r="B15" s="379"/>
      <c r="C15" s="4" t="str">
        <f>'9. All deals (a)'!C15</f>
        <v>Heygears</v>
      </c>
      <c r="D15" s="116">
        <v>3565017.22</v>
      </c>
      <c r="E15" s="116">
        <f>D15/F15</f>
        <v>24791496.662030596</v>
      </c>
      <c r="F15" s="70">
        <v>0.14380000000000001</v>
      </c>
      <c r="G15" s="124" t="s">
        <v>148</v>
      </c>
      <c r="H15" s="124" t="s">
        <v>350</v>
      </c>
      <c r="I15" s="124" t="s">
        <v>383</v>
      </c>
      <c r="J15" s="82"/>
    </row>
    <row r="16" spans="1:17" x14ac:dyDescent="0.25">
      <c r="B16" s="379" t="s">
        <v>26</v>
      </c>
      <c r="C16" s="4" t="str">
        <f>'9. All deals (a)'!C16</f>
        <v>Jysan Technologies</v>
      </c>
      <c r="D16" s="116">
        <v>7959497</v>
      </c>
      <c r="E16" s="116">
        <v>265316566.66666669</v>
      </c>
      <c r="F16" s="70">
        <v>0.03</v>
      </c>
      <c r="G16" s="124" t="s">
        <v>149</v>
      </c>
      <c r="H16" s="124" t="s">
        <v>351</v>
      </c>
      <c r="I16" s="124" t="s">
        <v>351</v>
      </c>
      <c r="J16" s="82"/>
    </row>
    <row r="17" spans="2:14" x14ac:dyDescent="0.25">
      <c r="B17" s="361"/>
      <c r="C17" s="4" t="str">
        <f>'9. All deals (a)'!C17</f>
        <v>Cerebras Systems Inc</v>
      </c>
      <c r="D17" s="116">
        <v>1441711</v>
      </c>
      <c r="E17" s="116">
        <v>158130778</v>
      </c>
      <c r="F17" s="302">
        <f>D17/E17</f>
        <v>9.117206771726628E-3</v>
      </c>
      <c r="G17" s="124" t="s">
        <v>354</v>
      </c>
      <c r="H17" s="124" t="s">
        <v>379</v>
      </c>
      <c r="I17" s="124" t="s">
        <v>192</v>
      </c>
      <c r="J17" s="82"/>
    </row>
    <row r="18" spans="2:14" x14ac:dyDescent="0.25">
      <c r="B18" s="361"/>
      <c r="C18" s="4" t="str">
        <f>'9. All deals (a)'!C18</f>
        <v>Endless Studios LLC</v>
      </c>
      <c r="D18" s="116">
        <v>8000000</v>
      </c>
      <c r="E18" s="116">
        <f>38750000+11000000</f>
        <v>49750000</v>
      </c>
      <c r="F18" s="302">
        <f>D18/E18</f>
        <v>0.16080402010050251</v>
      </c>
      <c r="G18" s="124" t="s">
        <v>354</v>
      </c>
      <c r="H18" s="124" t="s">
        <v>379</v>
      </c>
      <c r="I18" s="124" t="s">
        <v>192</v>
      </c>
      <c r="J18" s="82"/>
    </row>
    <row r="19" spans="2:14" x14ac:dyDescent="0.25">
      <c r="B19" s="379" t="s">
        <v>26</v>
      </c>
      <c r="C19" s="4" t="str">
        <f>'9. All deals (a)'!C19</f>
        <v>Instadeep Limited</v>
      </c>
      <c r="D19" s="116">
        <v>33267</v>
      </c>
      <c r="E19" s="116">
        <v>2895450</v>
      </c>
      <c r="F19" s="70">
        <f>D19/E19</f>
        <v>1.1489405791845828E-2</v>
      </c>
      <c r="G19" s="124" t="s">
        <v>364</v>
      </c>
      <c r="H19" s="124" t="s">
        <v>351</v>
      </c>
      <c r="I19" s="124" t="s">
        <v>351</v>
      </c>
      <c r="J19" s="82"/>
    </row>
    <row r="20" spans="2:14" x14ac:dyDescent="0.25">
      <c r="B20" s="379" t="s">
        <v>26</v>
      </c>
      <c r="C20" s="4" t="str">
        <f>'9. All deals (a)'!C20</f>
        <v>X-fusion</v>
      </c>
      <c r="D20" s="116" t="s">
        <v>124</v>
      </c>
      <c r="E20" s="116" t="s">
        <v>124</v>
      </c>
      <c r="F20" s="70">
        <f>10% * 51%</f>
        <v>5.1000000000000004E-2</v>
      </c>
      <c r="G20" s="124" t="s">
        <v>148</v>
      </c>
      <c r="H20" s="124" t="s">
        <v>350</v>
      </c>
      <c r="I20" s="124" t="s">
        <v>383</v>
      </c>
      <c r="J20" s="82"/>
      <c r="L20" s="119"/>
    </row>
    <row r="21" spans="2:14" x14ac:dyDescent="0.25">
      <c r="B21" s="361"/>
      <c r="C21" s="4" t="str">
        <f>'9. All deals (a)'!C21</f>
        <v>DriveNets</v>
      </c>
      <c r="D21" s="116">
        <v>86882669</v>
      </c>
      <c r="E21" s="116">
        <v>779782293</v>
      </c>
      <c r="F21" s="302">
        <f>D21/E21</f>
        <v>0.11141913554582343</v>
      </c>
      <c r="G21" s="124" t="s">
        <v>356</v>
      </c>
      <c r="H21" s="331" t="s">
        <v>385</v>
      </c>
      <c r="I21" s="331" t="s">
        <v>384</v>
      </c>
      <c r="J21" s="82"/>
    </row>
    <row r="22" spans="2:14" x14ac:dyDescent="0.25">
      <c r="B22" s="361"/>
      <c r="C22" s="4" t="str">
        <f>'9. All deals (a)'!C22</f>
        <v>vTv Therapeutics Inc.</v>
      </c>
      <c r="D22" s="395">
        <f>ROUNDUP(10386274/40,0)</f>
        <v>259657</v>
      </c>
      <c r="E22" s="116">
        <f>ROUNDUP(81483600+23093860+9545439+3214503,0)+464377+3853997</f>
        <v>121655776</v>
      </c>
      <c r="F22" s="422">
        <f>D22/E22</f>
        <v>2.134358174658308E-3</v>
      </c>
      <c r="G22" s="124" t="s">
        <v>441</v>
      </c>
      <c r="H22" s="124" t="s">
        <v>379</v>
      </c>
      <c r="I22" s="124" t="s">
        <v>192</v>
      </c>
      <c r="J22" s="82"/>
      <c r="L22" s="119"/>
    </row>
    <row r="23" spans="2:14" x14ac:dyDescent="0.25">
      <c r="B23" s="379" t="s">
        <v>26</v>
      </c>
      <c r="C23" s="4" t="str">
        <f>'9. All deals (a)'!C23</f>
        <v>Honor Device Co Ltd</v>
      </c>
      <c r="D23" s="120">
        <f>1517126944.34*0.8/2</f>
        <v>606850777.73599994</v>
      </c>
      <c r="E23" s="120">
        <v>32238947567.490002</v>
      </c>
      <c r="F23" s="70">
        <f>4.705882%* 0.8/2</f>
        <v>1.8823528000000003E-2</v>
      </c>
      <c r="G23" s="124" t="s">
        <v>148</v>
      </c>
      <c r="H23" s="124" t="s">
        <v>350</v>
      </c>
      <c r="I23" s="124" t="s">
        <v>383</v>
      </c>
      <c r="J23" s="82"/>
      <c r="L23" s="154"/>
      <c r="M23" s="118"/>
    </row>
    <row r="24" spans="2:14" x14ac:dyDescent="0.25">
      <c r="B24" s="361"/>
      <c r="C24" s="4" t="str">
        <f>'9. All deals (a)'!C24</f>
        <v>Applied AI Corporation Limited</v>
      </c>
      <c r="D24" s="116" t="s">
        <v>124</v>
      </c>
      <c r="E24" s="116" t="s">
        <v>124</v>
      </c>
      <c r="F24" s="70" t="s">
        <v>124</v>
      </c>
      <c r="G24" s="124" t="s">
        <v>352</v>
      </c>
      <c r="H24" s="124" t="s">
        <v>386</v>
      </c>
      <c r="I24" s="124" t="s">
        <v>387</v>
      </c>
      <c r="J24" s="82"/>
      <c r="L24" s="382" t="s">
        <v>428</v>
      </c>
      <c r="M24" s="383"/>
      <c r="N24" s="384"/>
    </row>
    <row r="25" spans="2:14" x14ac:dyDescent="0.25">
      <c r="B25" s="361"/>
      <c r="C25" s="4" t="str">
        <f>'9. All deals (a)'!C25</f>
        <v xml:space="preserve">eSpace </v>
      </c>
      <c r="D25" s="116">
        <v>417846</v>
      </c>
      <c r="E25" s="116">
        <v>14995394</v>
      </c>
      <c r="F25" s="302">
        <f>D25/E25</f>
        <v>2.7864956399278339E-2</v>
      </c>
      <c r="G25" s="124" t="s">
        <v>451</v>
      </c>
      <c r="H25" s="124" t="s">
        <v>379</v>
      </c>
      <c r="I25" s="124" t="s">
        <v>192</v>
      </c>
      <c r="J25" s="82"/>
      <c r="L25" s="118">
        <v>5400972</v>
      </c>
      <c r="M25" s="118" t="s">
        <v>422</v>
      </c>
    </row>
    <row r="26" spans="2:14" x14ac:dyDescent="0.25">
      <c r="B26" s="361"/>
      <c r="C26" s="4" t="str">
        <f>'9. All deals (a)'!C26</f>
        <v>Tools for Humanity Corporation</v>
      </c>
      <c r="D26" s="116">
        <v>65413</v>
      </c>
      <c r="E26" s="116">
        <v>10445692.929292928</v>
      </c>
      <c r="F26" s="302">
        <f>D26/E26</f>
        <v>6.2621982517370271E-3</v>
      </c>
      <c r="G26" s="124" t="s">
        <v>413</v>
      </c>
      <c r="H26" s="124" t="s">
        <v>379</v>
      </c>
      <c r="I26" s="124" t="s">
        <v>192</v>
      </c>
      <c r="J26" s="82"/>
      <c r="L26" s="118">
        <v>4857352</v>
      </c>
      <c r="M26" s="118" t="s">
        <v>423</v>
      </c>
    </row>
    <row r="27" spans="2:14" x14ac:dyDescent="0.25">
      <c r="B27" s="361"/>
      <c r="C27" s="4" t="str">
        <f>'9. All deals (a)'!C27</f>
        <v>WLD Tokens</v>
      </c>
      <c r="D27" s="116">
        <v>62500000</v>
      </c>
      <c r="E27" s="116">
        <v>10000000000</v>
      </c>
      <c r="F27" s="302">
        <f>D27/E27</f>
        <v>6.2500000000000003E-3</v>
      </c>
      <c r="G27" s="124" t="s">
        <v>413</v>
      </c>
      <c r="H27" s="124" t="s">
        <v>414</v>
      </c>
      <c r="I27" s="124" t="s">
        <v>378</v>
      </c>
      <c r="J27" s="82"/>
      <c r="L27" s="118">
        <v>16791835</v>
      </c>
      <c r="M27" s="118" t="s">
        <v>424</v>
      </c>
    </row>
    <row r="28" spans="2:14" x14ac:dyDescent="0.25">
      <c r="B28" s="361"/>
      <c r="C28" s="4" t="str">
        <f>'9. All deals (a)'!C28</f>
        <v>E-line Ventures LLC</v>
      </c>
      <c r="D28" s="116">
        <v>4477612</v>
      </c>
      <c r="E28" s="116">
        <f>L32</f>
        <v>38990900</v>
      </c>
      <c r="F28" s="302">
        <f>D28/E28</f>
        <v>0.11483735948644427</v>
      </c>
      <c r="G28" s="124" t="s">
        <v>431</v>
      </c>
      <c r="H28" s="124" t="s">
        <v>429</v>
      </c>
      <c r="I28" s="124" t="s">
        <v>429</v>
      </c>
      <c r="J28" s="82"/>
      <c r="L28" s="118">
        <v>1465517</v>
      </c>
      <c r="M28" s="118" t="s">
        <v>425</v>
      </c>
    </row>
    <row r="29" spans="2:14" x14ac:dyDescent="0.25">
      <c r="B29" s="361"/>
      <c r="C29" s="4" t="str">
        <f>'9. All deals (a)'!C29</f>
        <v>School Hack (AIREV Holding Limited)</v>
      </c>
      <c r="D29" s="116">
        <v>25000</v>
      </c>
      <c r="E29" s="116">
        <v>100000</v>
      </c>
      <c r="F29" s="302">
        <f t="shared" ref="F29" si="0">D29/E29</f>
        <v>0.25</v>
      </c>
      <c r="G29" s="124" t="s">
        <v>466</v>
      </c>
      <c r="H29" s="124" t="s">
        <v>386</v>
      </c>
      <c r="I29" s="124" t="s">
        <v>467</v>
      </c>
      <c r="J29" s="82"/>
      <c r="L29" s="118">
        <f>D28*2</f>
        <v>8955224</v>
      </c>
      <c r="M29" s="118" t="s">
        <v>426</v>
      </c>
    </row>
    <row r="30" spans="2:14" x14ac:dyDescent="0.25">
      <c r="B30" s="361"/>
      <c r="C30" s="4" t="str">
        <f>'9. All deals (a)'!C30</f>
        <v>Life Biosciences LLC</v>
      </c>
      <c r="D30" s="116" t="s">
        <v>124</v>
      </c>
      <c r="E30" s="116" t="s">
        <v>124</v>
      </c>
      <c r="F30" s="70" t="s">
        <v>124</v>
      </c>
      <c r="G30" s="124" t="s">
        <v>352</v>
      </c>
      <c r="H30" s="124" t="s">
        <v>379</v>
      </c>
      <c r="I30" s="124" t="s">
        <v>192</v>
      </c>
      <c r="J30" s="82"/>
      <c r="L30" s="118">
        <v>1520000</v>
      </c>
      <c r="M30" s="118" t="s">
        <v>427</v>
      </c>
    </row>
    <row r="31" spans="2:14" x14ac:dyDescent="0.25">
      <c r="B31" s="361"/>
      <c r="C31" s="4" t="str">
        <f>'9. All deals (a)'!C31</f>
        <v>Verses AI Inc</v>
      </c>
      <c r="D31" s="116" t="s">
        <v>124</v>
      </c>
      <c r="E31" s="116" t="s">
        <v>124</v>
      </c>
      <c r="F31" s="70" t="s">
        <v>124</v>
      </c>
      <c r="G31" s="124" t="s">
        <v>678</v>
      </c>
      <c r="H31" s="124" t="s">
        <v>681</v>
      </c>
      <c r="I31" s="124" t="s">
        <v>679</v>
      </c>
      <c r="J31" s="82"/>
      <c r="L31" s="118"/>
      <c r="M31" s="118"/>
    </row>
    <row r="32" spans="2:14" x14ac:dyDescent="0.25">
      <c r="B32" s="361"/>
      <c r="C32" s="5"/>
      <c r="D32" s="28"/>
      <c r="E32" s="28"/>
      <c r="F32" s="370"/>
      <c r="G32" s="371"/>
      <c r="H32" s="371"/>
      <c r="I32" s="371"/>
      <c r="J32" s="82"/>
      <c r="L32" s="373">
        <f>SUM(L25:L30)</f>
        <v>38990900</v>
      </c>
      <c r="M32" s="373"/>
      <c r="N32" s="374"/>
    </row>
    <row r="33" spans="1:18" x14ac:dyDescent="0.25">
      <c r="A33" s="85"/>
      <c r="B33" s="380"/>
      <c r="C33" s="320"/>
      <c r="D33" s="321"/>
      <c r="E33" s="321"/>
      <c r="F33" s="322"/>
      <c r="G33" s="323"/>
      <c r="H33" s="323"/>
      <c r="I33" s="323"/>
      <c r="J33" s="84"/>
      <c r="K33" s="85"/>
    </row>
    <row r="34" spans="1:18" x14ac:dyDescent="0.25">
      <c r="B34" s="361"/>
      <c r="C34" s="5"/>
      <c r="D34" s="28"/>
      <c r="E34" s="28"/>
      <c r="F34" s="117"/>
      <c r="G34" s="125"/>
      <c r="H34" s="125"/>
      <c r="I34" s="125"/>
      <c r="J34" s="82"/>
    </row>
    <row r="35" spans="1:18" x14ac:dyDescent="0.25">
      <c r="B35" s="361"/>
      <c r="C35" s="314" t="s">
        <v>30</v>
      </c>
      <c r="D35" s="318" t="s">
        <v>390</v>
      </c>
      <c r="E35" s="318" t="s">
        <v>391</v>
      </c>
      <c r="F35" s="319"/>
      <c r="G35" s="317"/>
      <c r="H35" s="317"/>
      <c r="I35" s="317"/>
      <c r="J35" s="82"/>
    </row>
    <row r="36" spans="1:18" x14ac:dyDescent="0.25">
      <c r="B36" s="361"/>
      <c r="C36" s="4" t="s">
        <v>118</v>
      </c>
      <c r="D36" s="116">
        <v>23234462</v>
      </c>
      <c r="E36" s="116" t="s">
        <v>403</v>
      </c>
      <c r="F36" s="70" t="e">
        <f>'8. NewSpace'!#REF!</f>
        <v>#REF!</v>
      </c>
      <c r="G36" s="124" t="s">
        <v>404</v>
      </c>
      <c r="H36" s="124" t="s">
        <v>395</v>
      </c>
      <c r="I36" s="124" t="s">
        <v>395</v>
      </c>
      <c r="J36" s="82"/>
    </row>
    <row r="37" spans="1:18" x14ac:dyDescent="0.25">
      <c r="B37" s="361"/>
      <c r="C37" s="4" t="s">
        <v>343</v>
      </c>
      <c r="D37" s="116">
        <f>-'CF (Funds)'!H51*10^6</f>
        <v>2125000</v>
      </c>
      <c r="E37" s="116" t="s">
        <v>403</v>
      </c>
      <c r="F37" s="70" t="e">
        <f>'8. NewSpace'!#REF!</f>
        <v>#REF!</v>
      </c>
      <c r="G37" s="124"/>
      <c r="H37" s="124" t="s">
        <v>395</v>
      </c>
      <c r="I37" s="124" t="s">
        <v>395</v>
      </c>
      <c r="J37" s="82"/>
      <c r="P37" s="263"/>
      <c r="Q37" s="263"/>
    </row>
    <row r="38" spans="1:18" x14ac:dyDescent="0.25">
      <c r="B38" s="361"/>
      <c r="C38" s="4" t="s">
        <v>1</v>
      </c>
      <c r="D38" s="116">
        <v>300000000</v>
      </c>
      <c r="E38" s="116">
        <v>301507538</v>
      </c>
      <c r="F38" s="70">
        <f>D38/E38</f>
        <v>0.99499999897183333</v>
      </c>
      <c r="G38" s="124" t="s">
        <v>394</v>
      </c>
      <c r="H38" s="124" t="s">
        <v>378</v>
      </c>
      <c r="I38" s="124" t="s">
        <v>378</v>
      </c>
      <c r="J38" s="82"/>
      <c r="P38" s="355"/>
      <c r="Q38" s="355"/>
    </row>
    <row r="39" spans="1:18" x14ac:dyDescent="0.25">
      <c r="B39" s="379" t="s">
        <v>26</v>
      </c>
      <c r="C39" s="4" t="s">
        <v>12</v>
      </c>
      <c r="D39" s="116">
        <v>50000000</v>
      </c>
      <c r="E39" s="116">
        <v>496717172</v>
      </c>
      <c r="F39" s="70">
        <f>D39/E39</f>
        <v>0.10066090487405174</v>
      </c>
      <c r="G39" s="124" t="s">
        <v>432</v>
      </c>
      <c r="H39" s="124" t="s">
        <v>378</v>
      </c>
      <c r="I39" s="124" t="s">
        <v>378</v>
      </c>
      <c r="J39" s="82"/>
      <c r="P39" s="263"/>
      <c r="Q39" s="263"/>
      <c r="R39" s="154"/>
    </row>
    <row r="40" spans="1:18" x14ac:dyDescent="0.25">
      <c r="B40" s="361"/>
      <c r="C40" s="4" t="s">
        <v>164</v>
      </c>
      <c r="D40" s="116">
        <v>17112500</v>
      </c>
      <c r="E40" s="116">
        <v>51337500</v>
      </c>
      <c r="F40" s="70">
        <f>D40/E40</f>
        <v>0.33333333333333331</v>
      </c>
      <c r="G40" s="124" t="s">
        <v>392</v>
      </c>
      <c r="H40" s="124" t="s">
        <v>393</v>
      </c>
      <c r="I40" s="124" t="s">
        <v>192</v>
      </c>
      <c r="J40" s="82"/>
    </row>
    <row r="41" spans="1:18" x14ac:dyDescent="0.25">
      <c r="B41" s="361"/>
      <c r="C41" s="5"/>
      <c r="D41" s="28"/>
      <c r="E41" s="28"/>
      <c r="F41" s="117"/>
      <c r="G41" s="125"/>
      <c r="H41" s="125"/>
      <c r="I41" s="125"/>
      <c r="J41" s="82"/>
    </row>
    <row r="42" spans="1:18" ht="15.75" thickBot="1" x14ac:dyDescent="0.3">
      <c r="B42" s="381"/>
      <c r="C42" s="87"/>
      <c r="D42" s="115"/>
      <c r="E42" s="115"/>
      <c r="F42" s="87"/>
      <c r="G42" s="126"/>
      <c r="H42" s="126"/>
      <c r="I42" s="126"/>
      <c r="J42" s="90"/>
    </row>
    <row r="43" spans="1:18" x14ac:dyDescent="0.25">
      <c r="C43" s="71"/>
      <c r="D43" s="112"/>
      <c r="E43" s="112"/>
      <c r="F43" s="71"/>
    </row>
    <row r="45" spans="1:18" x14ac:dyDescent="0.25">
      <c r="F45" s="27"/>
      <c r="G45" s="27"/>
      <c r="H45" s="27"/>
      <c r="I45" s="27"/>
      <c r="J45" s="27"/>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3" spans="3:10" x14ac:dyDescent="0.25">
      <c r="C53" s="153"/>
    </row>
  </sheetData>
  <pageMargins left="0.7" right="0.7" top="0.75" bottom="0.75" header="0.3" footer="0.3"/>
  <pageSetup paperSize="9" orientation="portrait" verticalDpi="0" r:id="rId1"/>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heetViews>
  <sheetFormatPr defaultColWidth="9.140625" defaultRowHeight="15" x14ac:dyDescent="0.25"/>
  <cols>
    <col min="1" max="1" width="5.42578125" style="26" customWidth="1"/>
    <col min="2" max="2" width="2.42578125" style="26" customWidth="1"/>
    <col min="3" max="3" width="35.42578125" style="71" customWidth="1"/>
    <col min="4" max="4" width="35.28515625" style="27" customWidth="1"/>
    <col min="5" max="5" width="43.28515625" style="72"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3"/>
      <c r="C2" s="74"/>
      <c r="D2" s="75"/>
      <c r="E2" s="76"/>
      <c r="F2" s="75"/>
      <c r="G2" s="75"/>
      <c r="H2" s="75"/>
      <c r="I2" s="77"/>
    </row>
    <row r="3" spans="2:9" s="80" customFormat="1" ht="30" customHeight="1" x14ac:dyDescent="0.25">
      <c r="B3" s="78"/>
      <c r="C3" s="3" t="s">
        <v>51</v>
      </c>
      <c r="D3" s="1" t="s">
        <v>142</v>
      </c>
      <c r="E3" s="3" t="s">
        <v>81</v>
      </c>
      <c r="F3" s="1" t="s">
        <v>92</v>
      </c>
      <c r="G3" s="1" t="s">
        <v>25</v>
      </c>
      <c r="H3" s="97" t="s">
        <v>3</v>
      </c>
      <c r="I3" s="79"/>
    </row>
    <row r="4" spans="2:9" x14ac:dyDescent="0.25">
      <c r="B4" s="81"/>
      <c r="C4" s="5"/>
      <c r="D4" s="8"/>
      <c r="E4" s="43"/>
      <c r="F4" s="8"/>
      <c r="G4" s="8"/>
      <c r="H4" s="8"/>
      <c r="I4" s="82"/>
    </row>
    <row r="5" spans="2:9" x14ac:dyDescent="0.25">
      <c r="B5" s="81"/>
      <c r="C5" s="16" t="s">
        <v>28</v>
      </c>
      <c r="D5" s="2"/>
      <c r="E5" s="44"/>
      <c r="F5" s="2"/>
      <c r="G5" s="2"/>
      <c r="H5" s="2"/>
      <c r="I5" s="82"/>
    </row>
    <row r="6" spans="2:9" x14ac:dyDescent="0.25">
      <c r="B6" s="81"/>
      <c r="C6" s="4" t="s">
        <v>0</v>
      </c>
      <c r="D6" s="41" t="s">
        <v>663</v>
      </c>
      <c r="E6" s="45" t="s">
        <v>96</v>
      </c>
      <c r="F6" s="220"/>
      <c r="G6" s="220" t="s">
        <v>82</v>
      </c>
      <c r="H6" s="50"/>
      <c r="I6" s="82"/>
    </row>
    <row r="7" spans="2:9" x14ac:dyDescent="0.25">
      <c r="B7" s="81"/>
      <c r="C7" s="4" t="s">
        <v>38</v>
      </c>
      <c r="D7" s="41" t="s">
        <v>100</v>
      </c>
      <c r="E7" s="45" t="s">
        <v>452</v>
      </c>
      <c r="F7" s="220"/>
      <c r="G7" s="220"/>
      <c r="H7" s="50" t="s">
        <v>662</v>
      </c>
      <c r="I7" s="82"/>
    </row>
    <row r="8" spans="2:9" x14ac:dyDescent="0.25">
      <c r="B8" s="81"/>
      <c r="C8" s="4" t="s">
        <v>39</v>
      </c>
      <c r="D8" s="41" t="s">
        <v>138</v>
      </c>
      <c r="E8" s="45" t="s">
        <v>124</v>
      </c>
      <c r="F8" s="220" t="s">
        <v>121</v>
      </c>
      <c r="G8" s="220" t="s">
        <v>26</v>
      </c>
      <c r="H8" s="41" t="s">
        <v>125</v>
      </c>
      <c r="I8" s="82"/>
    </row>
    <row r="9" spans="2:9" x14ac:dyDescent="0.25">
      <c r="B9" s="81"/>
      <c r="C9" s="4" t="s">
        <v>47</v>
      </c>
      <c r="D9" s="41" t="s">
        <v>663</v>
      </c>
      <c r="E9" s="45" t="s">
        <v>320</v>
      </c>
      <c r="F9" s="220" t="s">
        <v>120</v>
      </c>
      <c r="G9" s="220" t="s">
        <v>82</v>
      </c>
      <c r="H9" s="41"/>
      <c r="I9" s="82"/>
    </row>
    <row r="10" spans="2:9" x14ac:dyDescent="0.25">
      <c r="B10" s="81"/>
      <c r="C10" s="4" t="s">
        <v>37</v>
      </c>
      <c r="D10" s="41" t="s">
        <v>663</v>
      </c>
      <c r="E10" s="45" t="s">
        <v>321</v>
      </c>
      <c r="F10" s="220" t="s">
        <v>122</v>
      </c>
      <c r="G10" s="220"/>
      <c r="H10" s="50"/>
      <c r="I10" s="82"/>
    </row>
    <row r="11" spans="2:9" x14ac:dyDescent="0.25">
      <c r="B11" s="81"/>
      <c r="C11" s="4" t="s">
        <v>87</v>
      </c>
      <c r="D11" s="41" t="s">
        <v>663</v>
      </c>
      <c r="E11" s="45" t="s">
        <v>95</v>
      </c>
      <c r="F11" s="220"/>
      <c r="G11" s="220"/>
      <c r="H11" s="50"/>
      <c r="I11" s="82"/>
    </row>
    <row r="12" spans="2:9" x14ac:dyDescent="0.25">
      <c r="B12" s="81"/>
      <c r="C12" s="4" t="s">
        <v>9</v>
      </c>
      <c r="D12" s="41" t="s">
        <v>664</v>
      </c>
      <c r="E12" s="45" t="s">
        <v>63</v>
      </c>
      <c r="F12" s="220"/>
      <c r="G12" s="220" t="s">
        <v>554</v>
      </c>
      <c r="H12" s="50" t="s">
        <v>447</v>
      </c>
      <c r="I12" s="82"/>
    </row>
    <row r="13" spans="2:9" x14ac:dyDescent="0.25">
      <c r="B13" s="81"/>
      <c r="C13" s="4" t="s">
        <v>18</v>
      </c>
      <c r="D13" s="41" t="s">
        <v>663</v>
      </c>
      <c r="E13" s="45" t="s">
        <v>98</v>
      </c>
      <c r="F13" s="220"/>
      <c r="G13" s="220" t="s">
        <v>26</v>
      </c>
      <c r="H13" s="50" t="s">
        <v>26</v>
      </c>
      <c r="I13" s="82"/>
    </row>
    <row r="14" spans="2:9" x14ac:dyDescent="0.25">
      <c r="B14" s="81"/>
      <c r="C14" s="4" t="s">
        <v>40</v>
      </c>
      <c r="D14" s="41" t="s">
        <v>100</v>
      </c>
      <c r="E14" s="45" t="s">
        <v>97</v>
      </c>
      <c r="F14" s="220" t="s">
        <v>123</v>
      </c>
      <c r="G14" s="220"/>
      <c r="H14" s="50"/>
      <c r="I14" s="82"/>
    </row>
    <row r="15" spans="2:9" x14ac:dyDescent="0.25">
      <c r="B15" s="81"/>
      <c r="C15" s="4" t="s">
        <v>41</v>
      </c>
      <c r="D15" s="41" t="s">
        <v>666</v>
      </c>
      <c r="E15" s="45" t="s">
        <v>667</v>
      </c>
      <c r="F15" s="220"/>
      <c r="G15" s="220"/>
      <c r="H15" s="50"/>
      <c r="I15" s="82"/>
    </row>
    <row r="16" spans="2:9" x14ac:dyDescent="0.25">
      <c r="B16" s="81"/>
      <c r="C16" s="4" t="s">
        <v>42</v>
      </c>
      <c r="D16" s="41" t="s">
        <v>100</v>
      </c>
      <c r="E16" s="45"/>
      <c r="F16" s="220"/>
      <c r="G16" s="220" t="s">
        <v>26</v>
      </c>
      <c r="H16" s="50" t="s">
        <v>26</v>
      </c>
      <c r="I16" s="82"/>
    </row>
    <row r="17" spans="2:9" x14ac:dyDescent="0.25">
      <c r="B17" s="81"/>
      <c r="C17" s="4" t="s">
        <v>70</v>
      </c>
      <c r="D17" s="41" t="s">
        <v>138</v>
      </c>
      <c r="E17" s="45" t="s">
        <v>124</v>
      </c>
      <c r="F17" s="221"/>
      <c r="G17" s="220" t="s">
        <v>26</v>
      </c>
      <c r="H17" s="50"/>
      <c r="I17" s="82"/>
    </row>
    <row r="18" spans="2:9" x14ac:dyDescent="0.25">
      <c r="B18" s="81"/>
      <c r="C18" s="4" t="s">
        <v>19</v>
      </c>
      <c r="D18" s="41" t="s">
        <v>100</v>
      </c>
      <c r="E18" s="45" t="s">
        <v>99</v>
      </c>
      <c r="F18" s="221"/>
      <c r="G18" s="221"/>
      <c r="H18" s="50"/>
      <c r="I18" s="82"/>
    </row>
    <row r="19" spans="2:9" x14ac:dyDescent="0.25">
      <c r="B19" s="81"/>
      <c r="C19" s="4" t="s">
        <v>88</v>
      </c>
      <c r="D19" s="41" t="s">
        <v>665</v>
      </c>
      <c r="E19" s="45" t="s">
        <v>267</v>
      </c>
      <c r="F19" s="221"/>
      <c r="G19" s="221"/>
      <c r="H19" s="50"/>
      <c r="I19" s="82"/>
    </row>
    <row r="20" spans="2:9" x14ac:dyDescent="0.25">
      <c r="B20" s="81"/>
      <c r="C20" s="4" t="s">
        <v>35</v>
      </c>
      <c r="D20" s="41" t="s">
        <v>138</v>
      </c>
      <c r="E20" s="45" t="s">
        <v>124</v>
      </c>
      <c r="F20" s="220" t="s">
        <v>266</v>
      </c>
      <c r="G20" s="220" t="s">
        <v>26</v>
      </c>
      <c r="H20" s="50"/>
      <c r="I20" s="82"/>
    </row>
    <row r="21" spans="2:9" x14ac:dyDescent="0.25">
      <c r="B21" s="81"/>
      <c r="C21" s="4" t="s">
        <v>246</v>
      </c>
      <c r="D21" s="41" t="s">
        <v>138</v>
      </c>
      <c r="E21" s="45" t="s">
        <v>124</v>
      </c>
      <c r="F21" s="220"/>
      <c r="G21" s="220"/>
      <c r="H21" s="50"/>
      <c r="I21" s="82"/>
    </row>
    <row r="22" spans="2:9" x14ac:dyDescent="0.25">
      <c r="B22" s="81"/>
      <c r="C22" s="4" t="s">
        <v>275</v>
      </c>
      <c r="D22" s="41" t="s">
        <v>138</v>
      </c>
      <c r="E22" s="45" t="s">
        <v>124</v>
      </c>
      <c r="F22" s="220"/>
      <c r="G22" s="220"/>
      <c r="H22" s="50"/>
      <c r="I22" s="82"/>
    </row>
    <row r="23" spans="2:9" x14ac:dyDescent="0.25">
      <c r="B23" s="81"/>
      <c r="C23" s="4" t="s">
        <v>344</v>
      </c>
      <c r="D23" s="41" t="s">
        <v>138</v>
      </c>
      <c r="E23" s="45" t="s">
        <v>124</v>
      </c>
      <c r="F23" s="220"/>
      <c r="G23" s="220"/>
      <c r="H23" s="50"/>
      <c r="I23" s="82"/>
    </row>
    <row r="24" spans="2:9" x14ac:dyDescent="0.25">
      <c r="B24" s="81"/>
      <c r="C24" s="4" t="s">
        <v>420</v>
      </c>
      <c r="D24" s="41"/>
      <c r="E24" s="45"/>
      <c r="F24" s="220"/>
      <c r="G24" s="220"/>
      <c r="H24" s="50"/>
      <c r="I24" s="82"/>
    </row>
    <row r="25" spans="2:9" x14ac:dyDescent="0.25">
      <c r="B25" s="81"/>
      <c r="C25" s="5" t="s">
        <v>462</v>
      </c>
      <c r="D25" s="362" t="s">
        <v>664</v>
      </c>
      <c r="E25" s="45" t="s">
        <v>124</v>
      </c>
      <c r="F25" s="363"/>
      <c r="G25" s="363"/>
      <c r="H25" s="364"/>
      <c r="I25" s="82"/>
    </row>
    <row r="26" spans="2:9" s="85" customFormat="1" x14ac:dyDescent="0.25">
      <c r="B26" s="83"/>
      <c r="C26" s="9"/>
      <c r="D26" s="42"/>
      <c r="E26" s="46"/>
      <c r="F26" s="222"/>
      <c r="G26" s="222"/>
      <c r="H26" s="165"/>
      <c r="I26" s="84"/>
    </row>
    <row r="27" spans="2:9" x14ac:dyDescent="0.25">
      <c r="B27" s="81"/>
      <c r="C27" s="5"/>
      <c r="D27" s="22"/>
      <c r="E27" s="47"/>
      <c r="F27" s="22"/>
      <c r="G27" s="22"/>
      <c r="H27" s="166"/>
      <c r="I27" s="82"/>
    </row>
    <row r="28" spans="2:9" x14ac:dyDescent="0.25">
      <c r="B28" s="81"/>
      <c r="C28" s="16" t="s">
        <v>29</v>
      </c>
      <c r="D28" s="20"/>
      <c r="E28" s="48"/>
      <c r="F28" s="20"/>
      <c r="G28" s="20"/>
      <c r="H28" s="167"/>
      <c r="I28" s="82"/>
    </row>
    <row r="29" spans="2:9" x14ac:dyDescent="0.25">
      <c r="B29" s="81"/>
      <c r="C29" s="4" t="s">
        <v>48</v>
      </c>
      <c r="D29" s="20" t="s">
        <v>138</v>
      </c>
      <c r="E29" s="48"/>
      <c r="F29" s="20"/>
      <c r="G29" s="20"/>
      <c r="H29" s="167"/>
      <c r="I29" s="82"/>
    </row>
    <row r="30" spans="2:9" x14ac:dyDescent="0.25">
      <c r="B30" s="81"/>
      <c r="C30" s="4" t="s">
        <v>0</v>
      </c>
      <c r="D30" s="41" t="s">
        <v>663</v>
      </c>
      <c r="E30" s="45" t="s">
        <v>96</v>
      </c>
      <c r="F30" s="41"/>
      <c r="G30" s="220" t="s">
        <v>82</v>
      </c>
      <c r="H30" s="50"/>
      <c r="I30" s="82"/>
    </row>
    <row r="31" spans="2:9" x14ac:dyDescent="0.25">
      <c r="B31" s="81"/>
      <c r="C31" s="4" t="s">
        <v>39</v>
      </c>
      <c r="D31" s="41" t="s">
        <v>138</v>
      </c>
      <c r="E31" s="45"/>
      <c r="F31" s="41"/>
      <c r="G31" s="41"/>
      <c r="H31" s="50"/>
      <c r="I31" s="82"/>
    </row>
    <row r="32" spans="2:9" s="85" customFormat="1" x14ac:dyDescent="0.25">
      <c r="B32" s="83"/>
      <c r="C32" s="9"/>
      <c r="D32" s="21"/>
      <c r="E32" s="49"/>
      <c r="F32" s="21"/>
      <c r="G32" s="21"/>
      <c r="H32" s="168"/>
      <c r="I32" s="84"/>
    </row>
    <row r="33" spans="2:9" x14ac:dyDescent="0.25">
      <c r="B33" s="81"/>
      <c r="C33" s="5"/>
      <c r="D33" s="22"/>
      <c r="E33" s="47"/>
      <c r="F33" s="22"/>
      <c r="G33" s="22"/>
      <c r="H33" s="166"/>
      <c r="I33" s="82"/>
    </row>
    <row r="34" spans="2:9" x14ac:dyDescent="0.25">
      <c r="B34" s="81"/>
      <c r="C34" s="16" t="s">
        <v>30</v>
      </c>
      <c r="D34" s="20"/>
      <c r="E34" s="69"/>
      <c r="F34" s="70"/>
      <c r="G34" s="70"/>
      <c r="H34" s="169"/>
      <c r="I34" s="82"/>
    </row>
    <row r="35" spans="2:9" x14ac:dyDescent="0.25">
      <c r="B35" s="81"/>
      <c r="C35" s="4" t="s">
        <v>118</v>
      </c>
      <c r="D35" s="20" t="s">
        <v>663</v>
      </c>
      <c r="E35" s="48" t="s">
        <v>102</v>
      </c>
      <c r="F35" s="20"/>
      <c r="G35" s="20"/>
      <c r="H35" s="167"/>
      <c r="I35" s="82"/>
    </row>
    <row r="36" spans="2:9" x14ac:dyDescent="0.25">
      <c r="B36" s="81"/>
      <c r="C36" s="4" t="s">
        <v>343</v>
      </c>
      <c r="D36" s="20" t="s">
        <v>138</v>
      </c>
      <c r="E36" s="48"/>
      <c r="F36" s="20"/>
      <c r="G36" s="20"/>
      <c r="H36" s="167"/>
      <c r="I36" s="82"/>
    </row>
    <row r="37" spans="2:9" x14ac:dyDescent="0.25">
      <c r="B37" s="81"/>
      <c r="C37" s="4" t="s">
        <v>1</v>
      </c>
      <c r="D37" s="20" t="s">
        <v>138</v>
      </c>
      <c r="E37" s="48"/>
      <c r="F37" s="20"/>
      <c r="G37" s="20"/>
      <c r="H37" s="167"/>
      <c r="I37" s="82"/>
    </row>
    <row r="38" spans="2:9" x14ac:dyDescent="0.25">
      <c r="B38" s="81"/>
      <c r="C38" s="4" t="s">
        <v>12</v>
      </c>
      <c r="D38" s="20" t="s">
        <v>138</v>
      </c>
      <c r="E38" s="48"/>
      <c r="F38" s="20"/>
      <c r="G38" s="220" t="s">
        <v>26</v>
      </c>
      <c r="H38" s="167"/>
      <c r="I38" s="82"/>
    </row>
    <row r="39" spans="2:9" x14ac:dyDescent="0.25">
      <c r="B39" s="81"/>
      <c r="C39" s="4" t="s">
        <v>164</v>
      </c>
      <c r="D39" s="20" t="s">
        <v>276</v>
      </c>
      <c r="E39" s="48" t="s">
        <v>277</v>
      </c>
      <c r="F39" s="20"/>
      <c r="G39" s="20"/>
      <c r="H39" s="164" t="s">
        <v>139</v>
      </c>
      <c r="I39" s="82"/>
    </row>
    <row r="40" spans="2:9" s="85" customFormat="1" x14ac:dyDescent="0.25">
      <c r="B40" s="83"/>
      <c r="C40" s="9"/>
      <c r="D40" s="21"/>
      <c r="E40" s="49"/>
      <c r="F40" s="21"/>
      <c r="G40" s="21"/>
      <c r="H40" s="21"/>
      <c r="I40" s="84"/>
    </row>
    <row r="41" spans="2:9" ht="15.75" thickBot="1" x14ac:dyDescent="0.3">
      <c r="B41" s="86"/>
      <c r="C41" s="87"/>
      <c r="D41" s="88"/>
      <c r="E41" s="89"/>
      <c r="F41" s="88"/>
      <c r="G41" s="88"/>
      <c r="H41" s="88"/>
      <c r="I41" s="90"/>
    </row>
    <row r="42" spans="2:9" x14ac:dyDescent="0.25">
      <c r="D42" s="91"/>
      <c r="E42" s="92"/>
      <c r="F42" s="91"/>
      <c r="G42" s="91"/>
      <c r="H42" s="91"/>
    </row>
    <row r="43" spans="2:9" x14ac:dyDescent="0.25">
      <c r="C43" s="71" t="s">
        <v>129</v>
      </c>
    </row>
    <row r="44" spans="2:9" x14ac:dyDescent="0.25">
      <c r="C44" s="71" t="s">
        <v>406</v>
      </c>
    </row>
    <row r="45" spans="2:9" x14ac:dyDescent="0.25">
      <c r="C45" s="71" t="s">
        <v>407</v>
      </c>
    </row>
    <row r="46" spans="2:9" x14ac:dyDescent="0.25">
      <c r="B46" s="133"/>
      <c r="C46" s="71" t="s">
        <v>143</v>
      </c>
    </row>
    <row r="47" spans="2:9" x14ac:dyDescent="0.25">
      <c r="B47" s="223">
        <v>1</v>
      </c>
      <c r="C47" s="71" t="s">
        <v>262</v>
      </c>
      <c r="D47" s="72"/>
    </row>
    <row r="48" spans="2:9" x14ac:dyDescent="0.25">
      <c r="B48" s="223">
        <v>2</v>
      </c>
      <c r="C48" s="72" t="s">
        <v>263</v>
      </c>
      <c r="D48" s="72"/>
      <c r="E48" s="26"/>
      <c r="F48" s="26"/>
      <c r="G48" s="26"/>
      <c r="H48" s="26"/>
    </row>
    <row r="49" spans="2:8" x14ac:dyDescent="0.25">
      <c r="B49" s="223">
        <v>3</v>
      </c>
      <c r="C49" s="71" t="s">
        <v>264</v>
      </c>
      <c r="D49" s="72"/>
      <c r="E49" s="26"/>
      <c r="F49" s="26"/>
      <c r="G49" s="26"/>
      <c r="H49" s="26"/>
    </row>
    <row r="50" spans="2:8" x14ac:dyDescent="0.25">
      <c r="B50" s="223">
        <v>4</v>
      </c>
      <c r="C50" s="71" t="s">
        <v>265</v>
      </c>
      <c r="D50" s="72"/>
      <c r="E50" s="26"/>
      <c r="F50" s="26"/>
      <c r="G50" s="26"/>
      <c r="H50" s="26"/>
    </row>
    <row r="51" spans="2:8" x14ac:dyDescent="0.25">
      <c r="B51" s="223">
        <v>5</v>
      </c>
      <c r="C51" s="71" t="s">
        <v>268</v>
      </c>
      <c r="D51" s="72"/>
      <c r="E51" s="26"/>
      <c r="F51" s="26"/>
      <c r="G51" s="26"/>
      <c r="H51" s="26"/>
    </row>
    <row r="52" spans="2:8" x14ac:dyDescent="0.25">
      <c r="B52" s="223"/>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17" t="s">
        <v>558</v>
      </c>
      <c r="C2" s="417" t="s">
        <v>559</v>
      </c>
    </row>
    <row r="3" spans="2:3" ht="15.75" thickBot="1" x14ac:dyDescent="0.3">
      <c r="B3" s="418" t="s">
        <v>560</v>
      </c>
      <c r="C3" s="419" t="s">
        <v>561</v>
      </c>
    </row>
    <row r="4" spans="2:3" ht="15.75" thickBot="1" x14ac:dyDescent="0.3">
      <c r="B4" s="420" t="s">
        <v>77</v>
      </c>
      <c r="C4" s="421" t="s">
        <v>562</v>
      </c>
    </row>
    <row r="5" spans="2:3" ht="15.75" thickBot="1" x14ac:dyDescent="0.3">
      <c r="B5" s="418" t="s">
        <v>187</v>
      </c>
      <c r="C5" s="419" t="s">
        <v>563</v>
      </c>
    </row>
    <row r="6" spans="2:3" ht="15.75" thickBot="1" x14ac:dyDescent="0.3">
      <c r="B6" s="420" t="s">
        <v>11</v>
      </c>
      <c r="C6" s="421" t="s">
        <v>564</v>
      </c>
    </row>
    <row r="7" spans="2:3" ht="15.75" thickBot="1" x14ac:dyDescent="0.3">
      <c r="B7" s="418" t="s">
        <v>565</v>
      </c>
      <c r="C7" s="419" t="s">
        <v>566</v>
      </c>
    </row>
    <row r="8" spans="2:3" ht="15.75" thickBot="1" x14ac:dyDescent="0.3">
      <c r="B8" s="420" t="s">
        <v>24</v>
      </c>
      <c r="C8" s="421" t="s">
        <v>567</v>
      </c>
    </row>
    <row r="9" spans="2:3" ht="15.75" thickBot="1" x14ac:dyDescent="0.3">
      <c r="B9" s="418" t="s">
        <v>568</v>
      </c>
      <c r="C9" s="419" t="s">
        <v>569</v>
      </c>
    </row>
    <row r="10" spans="2:3" ht="15.75" thickBot="1" x14ac:dyDescent="0.3">
      <c r="B10" s="420" t="s">
        <v>570</v>
      </c>
      <c r="C10" s="421" t="s">
        <v>571</v>
      </c>
    </row>
    <row r="11" spans="2:3" ht="15.75" thickBot="1" x14ac:dyDescent="0.3">
      <c r="B11" s="418" t="s">
        <v>8</v>
      </c>
      <c r="C11" s="419" t="s">
        <v>572</v>
      </c>
    </row>
    <row r="12" spans="2:3" ht="15.75" thickBot="1" x14ac:dyDescent="0.3">
      <c r="B12" s="420" t="s">
        <v>573</v>
      </c>
      <c r="C12" s="421" t="s">
        <v>574</v>
      </c>
    </row>
    <row r="13" spans="2:3" ht="15.75" thickBot="1" x14ac:dyDescent="0.3">
      <c r="B13" s="418" t="s">
        <v>124</v>
      </c>
      <c r="C13" s="419" t="s">
        <v>575</v>
      </c>
    </row>
    <row r="14" spans="2:3" ht="15.75" thickBot="1" x14ac:dyDescent="0.3">
      <c r="B14" s="420" t="s">
        <v>347</v>
      </c>
      <c r="C14" s="421" t="s">
        <v>576</v>
      </c>
    </row>
    <row r="15" spans="2:3" ht="15.75" thickBot="1" x14ac:dyDescent="0.3">
      <c r="B15" s="418" t="s">
        <v>577</v>
      </c>
      <c r="C15" s="419" t="s">
        <v>578</v>
      </c>
    </row>
    <row r="16" spans="2:3" ht="15.75" thickBot="1" x14ac:dyDescent="0.3">
      <c r="B16" s="420" t="s">
        <v>579</v>
      </c>
      <c r="C16" s="421" t="s">
        <v>580</v>
      </c>
    </row>
    <row r="17" spans="2:3" ht="15.75" thickBot="1" x14ac:dyDescent="0.3">
      <c r="B17" s="418" t="s">
        <v>581</v>
      </c>
      <c r="C17" s="419" t="s">
        <v>582</v>
      </c>
    </row>
    <row r="18" spans="2:3" ht="15.75" thickBot="1" x14ac:dyDescent="0.3">
      <c r="B18" s="420" t="s">
        <v>46</v>
      </c>
      <c r="C18" s="421" t="s">
        <v>583</v>
      </c>
    </row>
    <row r="20" spans="2:3" ht="15.75" thickBot="1" x14ac:dyDescent="0.3"/>
    <row r="21" spans="2:3" ht="15.75" thickBot="1" x14ac:dyDescent="0.3">
      <c r="B21" s="417" t="s">
        <v>558</v>
      </c>
      <c r="C21" s="417" t="s">
        <v>559</v>
      </c>
    </row>
    <row r="22" spans="2:3" ht="15.75" thickBot="1" x14ac:dyDescent="0.3">
      <c r="B22" s="418" t="s">
        <v>584</v>
      </c>
      <c r="C22" s="419" t="s">
        <v>597</v>
      </c>
    </row>
    <row r="23" spans="2:3" ht="15.75" thickBot="1" x14ac:dyDescent="0.3">
      <c r="B23" s="420" t="s">
        <v>585</v>
      </c>
      <c r="C23" s="421" t="s">
        <v>596</v>
      </c>
    </row>
    <row r="24" spans="2:3" ht="15.75" thickBot="1" x14ac:dyDescent="0.3">
      <c r="B24" s="418" t="s">
        <v>586</v>
      </c>
      <c r="C24" s="419" t="s">
        <v>592</v>
      </c>
    </row>
    <row r="25" spans="2:3" ht="15.75" thickBot="1" x14ac:dyDescent="0.3">
      <c r="B25" s="420" t="s">
        <v>588</v>
      </c>
      <c r="C25" s="421" t="s">
        <v>587</v>
      </c>
    </row>
    <row r="26" spans="2:3" ht="15.75" thickBot="1" x14ac:dyDescent="0.3">
      <c r="B26" s="418" t="s">
        <v>589</v>
      </c>
      <c r="C26" s="419" t="s">
        <v>593</v>
      </c>
    </row>
    <row r="27" spans="2:3" ht="15.75" thickBot="1" x14ac:dyDescent="0.3">
      <c r="B27" s="420" t="s">
        <v>590</v>
      </c>
      <c r="C27" s="421" t="s">
        <v>594</v>
      </c>
    </row>
    <row r="28" spans="2:3" ht="15.75" thickBot="1" x14ac:dyDescent="0.3">
      <c r="B28" s="418" t="s">
        <v>591</v>
      </c>
      <c r="C28" s="419" t="s">
        <v>595</v>
      </c>
    </row>
  </sheetData>
  <pageMargins left="0.7" right="0.7" top="0.75" bottom="0.75" header="0.3" footer="0.3"/>
  <pageSetup paperSize="9" scale="42"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74"/>
  <sheetViews>
    <sheetView showGridLines="0" zoomScale="80" zoomScaleNormal="80" workbookViewId="0">
      <selection activeCell="F13" sqref="F13"/>
    </sheetView>
  </sheetViews>
  <sheetFormatPr defaultColWidth="9.140625" defaultRowHeight="15" x14ac:dyDescent="0.3"/>
  <cols>
    <col min="1" max="1" width="9.140625" style="224"/>
    <col min="2" max="2" width="12.42578125" style="224" bestFit="1" customWidth="1"/>
    <col min="3" max="3" width="3.7109375" style="407" customWidth="1"/>
    <col min="4" max="19" width="9.140625" style="407"/>
    <col min="20" max="16384" width="9.140625" style="224"/>
  </cols>
  <sheetData>
    <row r="2" spans="2:24" x14ac:dyDescent="0.3">
      <c r="B2" s="313" t="s">
        <v>270</v>
      </c>
      <c r="C2" s="313" t="s">
        <v>271</v>
      </c>
      <c r="D2" s="313"/>
      <c r="E2" s="403"/>
      <c r="F2" s="403"/>
      <c r="G2" s="403"/>
      <c r="H2" s="403"/>
      <c r="I2" s="403"/>
      <c r="J2" s="403"/>
      <c r="K2" s="403"/>
      <c r="L2" s="403"/>
      <c r="M2" s="403"/>
      <c r="N2" s="403"/>
      <c r="O2" s="403"/>
      <c r="P2" s="403"/>
      <c r="Q2" s="403"/>
      <c r="R2" s="403"/>
      <c r="S2" s="403"/>
      <c r="X2" s="390"/>
    </row>
    <row r="3" spans="2:24" x14ac:dyDescent="0.3">
      <c r="X3" s="390"/>
    </row>
    <row r="4" spans="2:24" x14ac:dyDescent="0.3">
      <c r="B4" s="408" t="s">
        <v>747</v>
      </c>
      <c r="C4" s="404"/>
      <c r="D4" s="405"/>
      <c r="E4" s="406"/>
      <c r="F4" s="406"/>
      <c r="G4" s="406"/>
      <c r="H4" s="406"/>
      <c r="I4" s="406"/>
      <c r="J4" s="406"/>
      <c r="K4" s="406"/>
      <c r="L4" s="406"/>
      <c r="M4" s="406"/>
      <c r="N4" s="406"/>
      <c r="O4" s="406"/>
      <c r="P4" s="406"/>
      <c r="Q4" s="406"/>
      <c r="R4" s="406"/>
      <c r="S4" s="406"/>
      <c r="X4" s="390"/>
    </row>
    <row r="5" spans="2:24" x14ac:dyDescent="0.3">
      <c r="C5" s="407" t="s">
        <v>670</v>
      </c>
      <c r="X5" s="390"/>
    </row>
    <row r="6" spans="2:24" x14ac:dyDescent="0.3">
      <c r="B6" s="408" t="s">
        <v>703</v>
      </c>
      <c r="C6" s="404"/>
      <c r="D6" s="405"/>
      <c r="E6" s="406"/>
      <c r="F6" s="406"/>
      <c r="G6" s="406"/>
      <c r="H6" s="406"/>
      <c r="I6" s="406"/>
      <c r="J6" s="406"/>
      <c r="K6" s="406"/>
      <c r="L6" s="406"/>
      <c r="M6" s="406"/>
      <c r="N6" s="406"/>
      <c r="O6" s="406"/>
      <c r="P6" s="406"/>
      <c r="Q6" s="406"/>
      <c r="R6" s="406"/>
      <c r="S6" s="406"/>
      <c r="X6" s="390"/>
    </row>
    <row r="7" spans="2:24" x14ac:dyDescent="0.3">
      <c r="C7" s="407" t="s">
        <v>704</v>
      </c>
      <c r="X7" s="390"/>
    </row>
    <row r="8" spans="2:24" x14ac:dyDescent="0.3">
      <c r="C8" s="407" t="s">
        <v>705</v>
      </c>
      <c r="X8" s="390"/>
    </row>
    <row r="9" spans="2:24" x14ac:dyDescent="0.3">
      <c r="B9" s="408" t="s">
        <v>694</v>
      </c>
      <c r="C9" s="404"/>
      <c r="D9" s="405"/>
      <c r="E9" s="406"/>
      <c r="F9" s="406"/>
      <c r="G9" s="406"/>
      <c r="H9" s="406"/>
      <c r="I9" s="406"/>
      <c r="J9" s="406"/>
      <c r="K9" s="406"/>
      <c r="L9" s="406"/>
      <c r="M9" s="406"/>
      <c r="N9" s="406"/>
      <c r="O9" s="406"/>
      <c r="P9" s="406"/>
      <c r="Q9" s="406"/>
      <c r="R9" s="406"/>
      <c r="S9" s="406"/>
      <c r="X9" s="390"/>
    </row>
    <row r="10" spans="2:24" x14ac:dyDescent="0.3">
      <c r="C10" s="407" t="s">
        <v>670</v>
      </c>
      <c r="X10" s="390"/>
    </row>
    <row r="11" spans="2:24" x14ac:dyDescent="0.3">
      <c r="B11" s="408" t="s">
        <v>672</v>
      </c>
      <c r="C11" s="404"/>
      <c r="D11" s="405"/>
      <c r="E11" s="406"/>
      <c r="F11" s="406"/>
      <c r="G11" s="406"/>
      <c r="H11" s="406"/>
      <c r="I11" s="406"/>
      <c r="J11" s="406"/>
      <c r="K11" s="406"/>
      <c r="L11" s="406"/>
      <c r="M11" s="406"/>
      <c r="N11" s="406"/>
      <c r="O11" s="406"/>
      <c r="P11" s="406"/>
      <c r="Q11" s="406"/>
      <c r="R11" s="406"/>
      <c r="S11" s="406"/>
      <c r="X11" s="390"/>
    </row>
    <row r="12" spans="2:24" x14ac:dyDescent="0.3">
      <c r="C12" s="407" t="s">
        <v>673</v>
      </c>
      <c r="X12" s="390"/>
    </row>
    <row r="13" spans="2:24" x14ac:dyDescent="0.3">
      <c r="C13" s="407" t="s">
        <v>674</v>
      </c>
      <c r="X13" s="390"/>
    </row>
    <row r="14" spans="2:24" x14ac:dyDescent="0.3">
      <c r="C14" s="407" t="s">
        <v>675</v>
      </c>
      <c r="X14" s="390"/>
    </row>
    <row r="15" spans="2:24" x14ac:dyDescent="0.3">
      <c r="C15" s="407" t="s">
        <v>689</v>
      </c>
      <c r="X15" s="390"/>
    </row>
    <row r="16" spans="2:24" x14ac:dyDescent="0.3">
      <c r="B16" s="408" t="s">
        <v>669</v>
      </c>
      <c r="C16" s="404"/>
      <c r="D16" s="405"/>
      <c r="E16" s="406"/>
      <c r="F16" s="406"/>
      <c r="G16" s="406"/>
      <c r="H16" s="406"/>
      <c r="I16" s="406"/>
      <c r="J16" s="406"/>
      <c r="K16" s="406"/>
      <c r="L16" s="406"/>
      <c r="M16" s="406"/>
      <c r="N16" s="406"/>
      <c r="O16" s="406"/>
      <c r="P16" s="406"/>
      <c r="Q16" s="406"/>
      <c r="R16" s="406"/>
      <c r="S16" s="406"/>
      <c r="X16" s="390"/>
    </row>
    <row r="17" spans="2:24" x14ac:dyDescent="0.3">
      <c r="C17" s="407" t="s">
        <v>670</v>
      </c>
      <c r="X17" s="390"/>
    </row>
    <row r="18" spans="2:24" x14ac:dyDescent="0.3">
      <c r="B18" s="408" t="s">
        <v>668</v>
      </c>
      <c r="C18" s="404"/>
      <c r="D18" s="405"/>
      <c r="E18" s="406"/>
      <c r="F18" s="406"/>
      <c r="G18" s="406"/>
      <c r="H18" s="406"/>
      <c r="I18" s="406"/>
      <c r="J18" s="406"/>
      <c r="K18" s="406"/>
      <c r="L18" s="406"/>
      <c r="M18" s="406"/>
      <c r="N18" s="406"/>
      <c r="O18" s="406"/>
      <c r="P18" s="406"/>
      <c r="Q18" s="406"/>
      <c r="R18" s="406"/>
      <c r="S18" s="406"/>
      <c r="X18" s="390"/>
    </row>
    <row r="19" spans="2:24" x14ac:dyDescent="0.3">
      <c r="C19" s="407" t="s">
        <v>670</v>
      </c>
      <c r="X19" s="390"/>
    </row>
    <row r="20" spans="2:24" x14ac:dyDescent="0.3">
      <c r="B20" s="408" t="s">
        <v>630</v>
      </c>
      <c r="C20" s="404"/>
      <c r="D20" s="405"/>
      <c r="E20" s="406"/>
      <c r="F20" s="406"/>
      <c r="G20" s="406"/>
      <c r="H20" s="406"/>
      <c r="I20" s="406"/>
      <c r="J20" s="406"/>
      <c r="K20" s="406"/>
      <c r="L20" s="406"/>
      <c r="M20" s="406"/>
      <c r="N20" s="406"/>
      <c r="O20" s="406"/>
      <c r="P20" s="406"/>
      <c r="Q20" s="406"/>
      <c r="R20" s="406"/>
      <c r="S20" s="406"/>
      <c r="X20" s="390"/>
    </row>
    <row r="21" spans="2:24" x14ac:dyDescent="0.3">
      <c r="C21" s="407" t="s">
        <v>631</v>
      </c>
      <c r="X21" s="390"/>
    </row>
    <row r="22" spans="2:24" x14ac:dyDescent="0.3">
      <c r="C22" s="407" t="s">
        <v>671</v>
      </c>
      <c r="X22" s="390"/>
    </row>
    <row r="23" spans="2:24" x14ac:dyDescent="0.3">
      <c r="B23" s="408" t="s">
        <v>599</v>
      </c>
      <c r="C23" s="404"/>
      <c r="D23" s="405"/>
      <c r="E23" s="406"/>
      <c r="F23" s="406"/>
      <c r="G23" s="406"/>
      <c r="H23" s="406"/>
      <c r="I23" s="406"/>
      <c r="J23" s="406"/>
      <c r="K23" s="406"/>
      <c r="L23" s="406"/>
      <c r="M23" s="406"/>
      <c r="N23" s="406"/>
      <c r="O23" s="406"/>
      <c r="P23" s="406"/>
      <c r="Q23" s="406"/>
      <c r="R23" s="406"/>
      <c r="S23" s="406"/>
      <c r="X23" s="390"/>
    </row>
    <row r="24" spans="2:24" x14ac:dyDescent="0.3">
      <c r="C24" s="407" t="s">
        <v>600</v>
      </c>
    </row>
    <row r="25" spans="2:24" x14ac:dyDescent="0.3">
      <c r="C25" s="407" t="s">
        <v>601</v>
      </c>
    </row>
    <row r="26" spans="2:24" x14ac:dyDescent="0.3">
      <c r="B26" s="408" t="s">
        <v>553</v>
      </c>
      <c r="C26" s="404"/>
      <c r="D26" s="405"/>
      <c r="E26" s="406"/>
      <c r="F26" s="406"/>
      <c r="G26" s="406"/>
      <c r="H26" s="406"/>
      <c r="I26" s="406"/>
      <c r="J26" s="406"/>
      <c r="K26" s="406"/>
      <c r="L26" s="406"/>
      <c r="M26" s="406"/>
      <c r="N26" s="406"/>
      <c r="O26" s="406"/>
      <c r="P26" s="406"/>
      <c r="Q26" s="406"/>
      <c r="R26" s="406"/>
      <c r="S26" s="406"/>
    </row>
    <row r="27" spans="2:24" x14ac:dyDescent="0.3">
      <c r="C27" s="224" t="s">
        <v>557</v>
      </c>
    </row>
    <row r="28" spans="2:24" x14ac:dyDescent="0.3">
      <c r="C28" s="224" t="s">
        <v>556</v>
      </c>
    </row>
    <row r="29" spans="2:24" x14ac:dyDescent="0.3">
      <c r="C29" s="224" t="s">
        <v>555</v>
      </c>
    </row>
    <row r="30" spans="2:24" x14ac:dyDescent="0.3">
      <c r="C30" s="224" t="s">
        <v>598</v>
      </c>
    </row>
    <row r="31" spans="2:24" x14ac:dyDescent="0.3">
      <c r="B31" s="408" t="s">
        <v>494</v>
      </c>
      <c r="C31" s="404"/>
      <c r="D31" s="405"/>
      <c r="E31" s="406"/>
      <c r="F31" s="406"/>
      <c r="G31" s="406"/>
      <c r="H31" s="406"/>
      <c r="I31" s="406"/>
      <c r="J31" s="406"/>
      <c r="K31" s="406"/>
      <c r="L31" s="406"/>
      <c r="M31" s="406"/>
      <c r="N31" s="406"/>
      <c r="O31" s="406"/>
      <c r="P31" s="406"/>
      <c r="Q31" s="406"/>
      <c r="R31" s="406"/>
      <c r="S31" s="406"/>
    </row>
    <row r="32" spans="2:24" x14ac:dyDescent="0.3">
      <c r="B32" s="409"/>
      <c r="C32" s="407" t="s">
        <v>495</v>
      </c>
    </row>
    <row r="33" spans="2:19" x14ac:dyDescent="0.3">
      <c r="B33" s="409"/>
      <c r="C33" s="407" t="s">
        <v>496</v>
      </c>
    </row>
    <row r="34" spans="2:19" x14ac:dyDescent="0.3">
      <c r="B34" s="408" t="s">
        <v>497</v>
      </c>
      <c r="C34" s="404"/>
      <c r="D34" s="405"/>
      <c r="E34" s="406"/>
      <c r="F34" s="406"/>
      <c r="G34" s="406"/>
      <c r="H34" s="406"/>
      <c r="I34" s="406"/>
      <c r="J34" s="406"/>
      <c r="K34" s="406"/>
      <c r="L34" s="406"/>
      <c r="M34" s="406"/>
      <c r="N34" s="406"/>
      <c r="O34" s="406"/>
      <c r="P34" s="406"/>
      <c r="Q34" s="406"/>
      <c r="R34" s="406"/>
      <c r="S34" s="406"/>
    </row>
    <row r="35" spans="2:19" x14ac:dyDescent="0.3">
      <c r="B35" s="409"/>
      <c r="C35" s="407" t="s">
        <v>498</v>
      </c>
    </row>
    <row r="36" spans="2:19" x14ac:dyDescent="0.3">
      <c r="B36" s="408" t="s">
        <v>499</v>
      </c>
      <c r="C36" s="404"/>
      <c r="D36" s="405"/>
      <c r="E36" s="406"/>
      <c r="F36" s="406"/>
      <c r="G36" s="406"/>
      <c r="H36" s="406"/>
      <c r="I36" s="406"/>
      <c r="J36" s="406"/>
      <c r="K36" s="406"/>
      <c r="L36" s="406"/>
      <c r="M36" s="406"/>
      <c r="N36" s="406"/>
      <c r="O36" s="406"/>
      <c r="P36" s="406"/>
      <c r="Q36" s="406"/>
      <c r="R36" s="406"/>
      <c r="S36" s="406"/>
    </row>
    <row r="37" spans="2:19" x14ac:dyDescent="0.3">
      <c r="B37" s="409"/>
      <c r="C37" s="407" t="s">
        <v>500</v>
      </c>
    </row>
    <row r="38" spans="2:19" x14ac:dyDescent="0.3">
      <c r="B38" s="409"/>
      <c r="C38" s="407" t="s">
        <v>501</v>
      </c>
    </row>
    <row r="39" spans="2:19" x14ac:dyDescent="0.3">
      <c r="B39" s="409"/>
      <c r="C39" s="407" t="s">
        <v>502</v>
      </c>
    </row>
    <row r="40" spans="2:19" x14ac:dyDescent="0.3">
      <c r="B40" s="408" t="s">
        <v>503</v>
      </c>
      <c r="C40" s="404"/>
      <c r="D40" s="405"/>
      <c r="E40" s="406"/>
      <c r="F40" s="406"/>
      <c r="G40" s="406"/>
      <c r="H40" s="406"/>
      <c r="I40" s="406"/>
      <c r="J40" s="406"/>
      <c r="K40" s="406"/>
      <c r="L40" s="406"/>
      <c r="M40" s="406"/>
      <c r="N40" s="406"/>
      <c r="O40" s="406"/>
      <c r="P40" s="406"/>
      <c r="Q40" s="406"/>
      <c r="R40" s="406"/>
      <c r="S40" s="406"/>
    </row>
    <row r="41" spans="2:19" x14ac:dyDescent="0.3">
      <c r="B41" s="409"/>
      <c r="C41" s="407" t="s">
        <v>504</v>
      </c>
    </row>
    <row r="42" spans="2:19" x14ac:dyDescent="0.3">
      <c r="B42" s="408" t="s">
        <v>505</v>
      </c>
      <c r="C42" s="404"/>
      <c r="D42" s="405"/>
      <c r="E42" s="406"/>
      <c r="F42" s="406"/>
      <c r="G42" s="406"/>
      <c r="H42" s="406"/>
      <c r="I42" s="406"/>
      <c r="J42" s="406"/>
      <c r="K42" s="406"/>
      <c r="L42" s="406"/>
      <c r="M42" s="406"/>
      <c r="N42" s="406"/>
      <c r="O42" s="406"/>
      <c r="P42" s="406"/>
      <c r="Q42" s="406"/>
      <c r="R42" s="406"/>
      <c r="S42" s="406"/>
    </row>
    <row r="43" spans="2:19" x14ac:dyDescent="0.3">
      <c r="B43" s="409"/>
      <c r="C43" s="407" t="s">
        <v>506</v>
      </c>
    </row>
    <row r="44" spans="2:19" x14ac:dyDescent="0.3">
      <c r="B44" s="409"/>
      <c r="C44" s="407" t="s">
        <v>507</v>
      </c>
    </row>
    <row r="45" spans="2:19" x14ac:dyDescent="0.3">
      <c r="B45" s="409"/>
      <c r="C45" s="407" t="s">
        <v>508</v>
      </c>
    </row>
    <row r="46" spans="2:19" x14ac:dyDescent="0.3">
      <c r="B46" s="408" t="s">
        <v>509</v>
      </c>
      <c r="C46" s="404"/>
      <c r="D46" s="405"/>
      <c r="E46" s="406"/>
      <c r="F46" s="406"/>
      <c r="G46" s="406"/>
      <c r="H46" s="406"/>
      <c r="I46" s="406"/>
      <c r="J46" s="406"/>
      <c r="K46" s="406"/>
      <c r="L46" s="406"/>
      <c r="M46" s="406"/>
      <c r="N46" s="406"/>
      <c r="O46" s="406"/>
      <c r="P46" s="406"/>
      <c r="Q46" s="406"/>
      <c r="R46" s="406"/>
      <c r="S46" s="406"/>
    </row>
    <row r="47" spans="2:19" x14ac:dyDescent="0.3">
      <c r="B47" s="409"/>
      <c r="C47" s="407" t="s">
        <v>510</v>
      </c>
    </row>
    <row r="48" spans="2:19" x14ac:dyDescent="0.3">
      <c r="B48" s="409"/>
      <c r="C48" s="407" t="s">
        <v>511</v>
      </c>
    </row>
    <row r="49" spans="2:19" x14ac:dyDescent="0.3">
      <c r="B49" s="409"/>
      <c r="C49" s="407" t="s">
        <v>512</v>
      </c>
    </row>
    <row r="50" spans="2:19" x14ac:dyDescent="0.3">
      <c r="B50" s="408" t="s">
        <v>513</v>
      </c>
      <c r="C50" s="404"/>
      <c r="D50" s="405"/>
      <c r="E50" s="406"/>
      <c r="F50" s="406"/>
      <c r="G50" s="406"/>
      <c r="H50" s="406"/>
      <c r="I50" s="406"/>
      <c r="J50" s="406"/>
      <c r="K50" s="406"/>
      <c r="L50" s="406"/>
      <c r="M50" s="406"/>
      <c r="N50" s="406"/>
      <c r="O50" s="406"/>
      <c r="P50" s="406"/>
      <c r="Q50" s="406"/>
      <c r="R50" s="406"/>
      <c r="S50" s="406"/>
    </row>
    <row r="51" spans="2:19" x14ac:dyDescent="0.3">
      <c r="B51" s="409"/>
      <c r="C51" s="407" t="s">
        <v>514</v>
      </c>
    </row>
    <row r="52" spans="2:19" x14ac:dyDescent="0.3">
      <c r="B52" s="408" t="s">
        <v>515</v>
      </c>
      <c r="C52" s="404"/>
      <c r="D52" s="405"/>
      <c r="E52" s="406"/>
      <c r="F52" s="406"/>
      <c r="G52" s="406"/>
      <c r="H52" s="406"/>
      <c r="I52" s="406"/>
      <c r="J52" s="406"/>
      <c r="K52" s="406"/>
      <c r="L52" s="406"/>
      <c r="M52" s="406"/>
      <c r="N52" s="406"/>
      <c r="O52" s="406"/>
      <c r="P52" s="406"/>
      <c r="Q52" s="406"/>
      <c r="R52" s="406"/>
      <c r="S52" s="406"/>
    </row>
    <row r="53" spans="2:19" x14ac:dyDescent="0.3">
      <c r="B53" s="409"/>
      <c r="C53" s="407" t="s">
        <v>405</v>
      </c>
    </row>
    <row r="54" spans="2:19" x14ac:dyDescent="0.3">
      <c r="B54" s="408" t="s">
        <v>516</v>
      </c>
      <c r="C54" s="404"/>
      <c r="D54" s="405"/>
      <c r="E54" s="406"/>
      <c r="F54" s="406"/>
      <c r="G54" s="406"/>
      <c r="H54" s="406"/>
      <c r="I54" s="406"/>
      <c r="J54" s="406"/>
      <c r="K54" s="406"/>
      <c r="L54" s="406"/>
      <c r="M54" s="406"/>
      <c r="N54" s="406"/>
      <c r="O54" s="406"/>
      <c r="P54" s="406"/>
      <c r="Q54" s="406"/>
      <c r="R54" s="406"/>
      <c r="S54" s="406"/>
    </row>
    <row r="55" spans="2:19" x14ac:dyDescent="0.3">
      <c r="B55" s="409"/>
      <c r="C55" s="407" t="s">
        <v>361</v>
      </c>
    </row>
    <row r="56" spans="2:19" x14ac:dyDescent="0.3">
      <c r="B56" s="409"/>
      <c r="C56" s="407" t="s">
        <v>362</v>
      </c>
    </row>
    <row r="57" spans="2:19" x14ac:dyDescent="0.3">
      <c r="B57" s="408" t="s">
        <v>517</v>
      </c>
      <c r="C57" s="404"/>
      <c r="D57" s="405"/>
      <c r="E57" s="406"/>
      <c r="F57" s="406"/>
      <c r="G57" s="406"/>
      <c r="H57" s="406"/>
      <c r="I57" s="406"/>
      <c r="J57" s="406"/>
      <c r="K57" s="406"/>
      <c r="L57" s="406"/>
      <c r="M57" s="406"/>
      <c r="N57" s="406"/>
      <c r="O57" s="406"/>
      <c r="P57" s="406"/>
      <c r="Q57" s="406"/>
      <c r="R57" s="406"/>
      <c r="S57" s="406"/>
    </row>
    <row r="58" spans="2:19" x14ac:dyDescent="0.3">
      <c r="B58" s="409"/>
      <c r="C58" s="407" t="s">
        <v>533</v>
      </c>
    </row>
    <row r="59" spans="2:19" x14ac:dyDescent="0.3">
      <c r="B59" s="408" t="s">
        <v>518</v>
      </c>
      <c r="C59" s="404"/>
      <c r="D59" s="405"/>
      <c r="E59" s="406"/>
      <c r="F59" s="406"/>
      <c r="G59" s="406"/>
      <c r="H59" s="406"/>
      <c r="I59" s="406"/>
      <c r="J59" s="406"/>
      <c r="K59" s="406"/>
      <c r="L59" s="406"/>
      <c r="M59" s="406"/>
      <c r="N59" s="406"/>
      <c r="O59" s="406"/>
      <c r="P59" s="406"/>
      <c r="Q59" s="406"/>
      <c r="R59" s="406"/>
      <c r="S59" s="406"/>
    </row>
    <row r="60" spans="2:19" ht="16.5" x14ac:dyDescent="0.3">
      <c r="B60" s="409"/>
      <c r="C60" s="407" t="s">
        <v>534</v>
      </c>
    </row>
    <row r="61" spans="2:19" ht="16.5" x14ac:dyDescent="0.3">
      <c r="B61" s="409"/>
      <c r="C61" s="407" t="s">
        <v>535</v>
      </c>
    </row>
    <row r="62" spans="2:19" x14ac:dyDescent="0.3">
      <c r="B62" s="408" t="s">
        <v>519</v>
      </c>
      <c r="C62" s="404"/>
      <c r="D62" s="405"/>
      <c r="E62" s="406"/>
      <c r="F62" s="406"/>
      <c r="G62" s="406"/>
      <c r="H62" s="406"/>
      <c r="I62" s="406"/>
      <c r="J62" s="406"/>
      <c r="K62" s="406"/>
      <c r="L62" s="406"/>
      <c r="M62" s="406"/>
      <c r="N62" s="406"/>
      <c r="O62" s="406"/>
      <c r="P62" s="406"/>
      <c r="Q62" s="406"/>
      <c r="R62" s="406"/>
      <c r="S62" s="406"/>
    </row>
    <row r="63" spans="2:19" x14ac:dyDescent="0.3">
      <c r="B63" s="409"/>
      <c r="C63" s="407" t="s">
        <v>520</v>
      </c>
    </row>
    <row r="64" spans="2:19" x14ac:dyDescent="0.3">
      <c r="B64" s="409"/>
      <c r="C64" s="407" t="s">
        <v>521</v>
      </c>
    </row>
    <row r="65" spans="2:19" x14ac:dyDescent="0.3">
      <c r="B65" s="408" t="s">
        <v>522</v>
      </c>
      <c r="C65" s="404"/>
      <c r="D65" s="405"/>
      <c r="E65" s="406"/>
      <c r="F65" s="406"/>
      <c r="G65" s="406"/>
      <c r="H65" s="406"/>
      <c r="I65" s="406"/>
      <c r="J65" s="406"/>
      <c r="K65" s="406"/>
      <c r="L65" s="406"/>
      <c r="M65" s="406"/>
      <c r="N65" s="406"/>
      <c r="O65" s="406"/>
      <c r="P65" s="406"/>
      <c r="Q65" s="406"/>
      <c r="R65" s="406"/>
      <c r="S65" s="406"/>
    </row>
    <row r="66" spans="2:19" x14ac:dyDescent="0.3">
      <c r="B66" s="409"/>
      <c r="C66" s="407" t="s">
        <v>523</v>
      </c>
    </row>
    <row r="67" spans="2:19" x14ac:dyDescent="0.3">
      <c r="B67" s="408" t="s">
        <v>524</v>
      </c>
      <c r="C67" s="404"/>
      <c r="D67" s="405"/>
      <c r="E67" s="406"/>
      <c r="F67" s="406"/>
      <c r="G67" s="406"/>
      <c r="H67" s="406"/>
      <c r="I67" s="406"/>
      <c r="J67" s="406"/>
      <c r="K67" s="406"/>
      <c r="L67" s="406"/>
      <c r="M67" s="406"/>
      <c r="N67" s="406"/>
      <c r="O67" s="406"/>
      <c r="P67" s="406"/>
      <c r="Q67" s="406"/>
      <c r="R67" s="406"/>
      <c r="S67" s="406"/>
    </row>
    <row r="68" spans="2:19" x14ac:dyDescent="0.3">
      <c r="B68" s="409"/>
      <c r="C68" s="407" t="s">
        <v>525</v>
      </c>
    </row>
    <row r="69" spans="2:19" x14ac:dyDescent="0.3">
      <c r="B69" s="409"/>
      <c r="C69" s="407" t="s">
        <v>526</v>
      </c>
    </row>
    <row r="70" spans="2:19" x14ac:dyDescent="0.3">
      <c r="B70" s="408" t="s">
        <v>314</v>
      </c>
      <c r="C70" s="404"/>
      <c r="D70" s="406"/>
      <c r="E70" s="406"/>
      <c r="F70" s="406"/>
      <c r="G70" s="406"/>
      <c r="H70" s="406"/>
      <c r="I70" s="406"/>
      <c r="J70" s="406"/>
      <c r="K70" s="406"/>
      <c r="L70" s="406"/>
      <c r="M70" s="406"/>
      <c r="N70" s="406"/>
      <c r="O70" s="406"/>
      <c r="P70" s="406"/>
      <c r="Q70" s="406"/>
      <c r="R70" s="406"/>
      <c r="S70" s="406"/>
    </row>
    <row r="71" spans="2:19" x14ac:dyDescent="0.3">
      <c r="D71" s="407" t="s">
        <v>244</v>
      </c>
    </row>
    <row r="72" spans="2:19" x14ac:dyDescent="0.3">
      <c r="D72" s="407" t="s">
        <v>250</v>
      </c>
    </row>
    <row r="73" spans="2:19" x14ac:dyDescent="0.3">
      <c r="D73" s="407" t="s">
        <v>269</v>
      </c>
    </row>
    <row r="74" spans="2:19" x14ac:dyDescent="0.3">
      <c r="D74" s="407" t="s">
        <v>260</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87"/>
  <sheetViews>
    <sheetView showGridLines="0" view="pageBreakPreview" zoomScale="70" zoomScaleNormal="80" zoomScaleSheetLayoutView="70" workbookViewId="0">
      <selection activeCell="O13" sqref="O1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9"/>
    </row>
    <row r="2" spans="2:18" ht="15.75" thickBot="1" x14ac:dyDescent="0.3">
      <c r="C2" s="185" t="s">
        <v>170</v>
      </c>
      <c r="D2" s="186">
        <f>'D1'!D2</f>
        <v>45565</v>
      </c>
      <c r="E2" s="26"/>
      <c r="F2" s="26"/>
      <c r="G2" s="26"/>
      <c r="H2" s="26"/>
      <c r="I2" s="26"/>
      <c r="J2" s="26"/>
      <c r="K2" s="26"/>
      <c r="L2" s="26"/>
      <c r="M2" s="26"/>
      <c r="N2" s="26"/>
      <c r="O2" s="26"/>
      <c r="P2" s="26"/>
      <c r="Q2" s="26"/>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5"/>
    </row>
    <row r="5" spans="2:18" x14ac:dyDescent="0.25">
      <c r="B5" s="81"/>
      <c r="R5" s="229"/>
    </row>
    <row r="6" spans="2:18" s="80" customFormat="1" ht="60" customHeight="1" x14ac:dyDescent="0.25">
      <c r="B6" s="78"/>
      <c r="C6" s="3" t="s">
        <v>51</v>
      </c>
      <c r="D6" s="1" t="s">
        <v>25</v>
      </c>
      <c r="E6" s="1" t="s">
        <v>61</v>
      </c>
      <c r="F6" s="1" t="s">
        <v>612</v>
      </c>
      <c r="G6" s="1" t="s">
        <v>137</v>
      </c>
      <c r="H6" s="1" t="s">
        <v>36</v>
      </c>
      <c r="I6" s="1" t="s">
        <v>53</v>
      </c>
      <c r="J6" s="1" t="s">
        <v>32</v>
      </c>
      <c r="K6" s="1" t="s">
        <v>2</v>
      </c>
      <c r="L6" s="1" t="s">
        <v>50</v>
      </c>
      <c r="M6" s="1" t="s">
        <v>33</v>
      </c>
      <c r="N6" s="1" t="s">
        <v>27</v>
      </c>
      <c r="O6" s="1" t="s">
        <v>187</v>
      </c>
      <c r="P6" s="1" t="s">
        <v>34</v>
      </c>
      <c r="Q6" s="1" t="s">
        <v>657</v>
      </c>
      <c r="R6" s="286"/>
    </row>
    <row r="7" spans="2:18" x14ac:dyDescent="0.25">
      <c r="B7" s="81"/>
      <c r="C7" s="5"/>
      <c r="D7" s="8"/>
      <c r="E7" s="8"/>
      <c r="F7" s="8"/>
      <c r="G7" s="8" t="s">
        <v>84</v>
      </c>
      <c r="H7" s="8"/>
      <c r="I7" s="8" t="s">
        <v>53</v>
      </c>
      <c r="J7" s="8" t="s">
        <v>273</v>
      </c>
      <c r="K7" s="8" t="s">
        <v>273</v>
      </c>
      <c r="L7" s="8" t="s">
        <v>273</v>
      </c>
      <c r="M7" s="8" t="s">
        <v>273</v>
      </c>
      <c r="N7" s="8" t="s">
        <v>273</v>
      </c>
      <c r="O7" s="8" t="s">
        <v>273</v>
      </c>
      <c r="P7" s="12" t="s">
        <v>274</v>
      </c>
      <c r="Q7" s="8"/>
      <c r="R7" s="229"/>
    </row>
    <row r="8" spans="2:18" x14ac:dyDescent="0.25">
      <c r="B8" s="81"/>
      <c r="C8" s="514" t="s">
        <v>658</v>
      </c>
      <c r="D8" s="425"/>
      <c r="E8" s="425"/>
      <c r="F8" s="425"/>
      <c r="G8" s="425"/>
      <c r="H8" s="425"/>
      <c r="I8" s="425"/>
      <c r="J8" s="425"/>
      <c r="K8" s="425"/>
      <c r="L8" s="425"/>
      <c r="M8" s="425"/>
      <c r="N8" s="425"/>
      <c r="O8" s="425"/>
      <c r="P8" s="425"/>
      <c r="Q8" s="425"/>
      <c r="R8" s="229"/>
    </row>
    <row r="9" spans="2:18" x14ac:dyDescent="0.25">
      <c r="B9" s="81"/>
      <c r="C9" s="4" t="s">
        <v>47</v>
      </c>
      <c r="D9" s="2" t="s">
        <v>444</v>
      </c>
      <c r="E9" s="2" t="s">
        <v>63</v>
      </c>
      <c r="F9" s="2" t="s">
        <v>8</v>
      </c>
      <c r="G9" s="6">
        <v>2019</v>
      </c>
      <c r="H9" s="2" t="s">
        <v>73</v>
      </c>
      <c r="I9" s="105">
        <f>'6. %'!F9</f>
        <v>5.6999998161926343E-2</v>
      </c>
      <c r="J9" s="17">
        <f t="shared" ref="J9:J23" ca="1" si="0">K9</f>
        <v>65</v>
      </c>
      <c r="K9" s="17">
        <f ca="1">-SUMIF('CF (Equity, Debt)'!$C$3:$K$53,'9. All deals (a)'!C9,'CF (Equity, Debt)'!$E$3:$E$53)</f>
        <v>65</v>
      </c>
      <c r="L9" s="17">
        <v>0</v>
      </c>
      <c r="M9" s="17">
        <f ca="1">SUMIF('CF (Equity, Debt)'!$C$3:$K$53,'9. All deals (a)'!C9,'CF (Equity, Debt)'!$F$3:$F$53)</f>
        <v>0</v>
      </c>
      <c r="N9" s="17">
        <f>VLOOKUP(C9,NAV!$B$4:$E$44,4,0)</f>
        <v>0</v>
      </c>
      <c r="O9" s="17">
        <f ca="1">N9+M9-K9</f>
        <v>-65</v>
      </c>
      <c r="P9" s="10">
        <f t="shared" ref="P9:P21" ca="1" si="1">(M9+N9)/K9</f>
        <v>0</v>
      </c>
      <c r="Q9" s="102" t="s">
        <v>82</v>
      </c>
      <c r="R9" s="229"/>
    </row>
    <row r="10" spans="2:18" x14ac:dyDescent="0.25">
      <c r="B10" s="81"/>
      <c r="C10" s="4" t="s">
        <v>0</v>
      </c>
      <c r="D10" s="2" t="s">
        <v>444</v>
      </c>
      <c r="E10" s="2" t="s">
        <v>63</v>
      </c>
      <c r="F10" s="2" t="s">
        <v>8</v>
      </c>
      <c r="G10" s="6">
        <v>2019</v>
      </c>
      <c r="H10" s="2" t="s">
        <v>68</v>
      </c>
      <c r="I10" s="105">
        <f>'6. %'!F10</f>
        <v>0.14000000235296001</v>
      </c>
      <c r="J10" s="17">
        <f t="shared" ca="1" si="0"/>
        <v>8</v>
      </c>
      <c r="K10" s="17">
        <f ca="1">-SUMIF('CF (Equity, Debt)'!$C$3:$K$53,'9. All deals (a)'!C10,'CF (Equity, Debt)'!$E$3:$E$53)</f>
        <v>8</v>
      </c>
      <c r="L10" s="17">
        <v>0</v>
      </c>
      <c r="M10" s="17">
        <f ca="1">SUMIF('CF (Equity, Debt)'!$C$3:$K$53,'9. All deals (a)'!C10,'CF (Equity, Debt)'!$F$3:$F$53)</f>
        <v>0</v>
      </c>
      <c r="N10" s="17">
        <f>VLOOKUP(C10,NAV!$B$4:$E$44,4,0)</f>
        <v>0</v>
      </c>
      <c r="O10" s="17">
        <f t="shared" ref="O10:O29" ca="1" si="2">N10+M10-K10</f>
        <v>-8</v>
      </c>
      <c r="P10" s="10">
        <f t="shared" ca="1" si="1"/>
        <v>0</v>
      </c>
      <c r="Q10" s="102" t="s">
        <v>82</v>
      </c>
      <c r="R10" s="229"/>
    </row>
    <row r="11" spans="2:18" ht="17.25" x14ac:dyDescent="0.25">
      <c r="B11" s="81"/>
      <c r="C11" s="4" t="s">
        <v>38</v>
      </c>
      <c r="D11" s="2" t="s">
        <v>78</v>
      </c>
      <c r="E11" s="2" t="s">
        <v>62</v>
      </c>
      <c r="F11" s="2" t="s">
        <v>8</v>
      </c>
      <c r="G11" s="6">
        <v>2019</v>
      </c>
      <c r="H11" s="2" t="s">
        <v>75</v>
      </c>
      <c r="I11" s="105">
        <f>'6. %'!F11</f>
        <v>4.1582449367391403E-2</v>
      </c>
      <c r="J11" s="17">
        <f t="shared" ca="1" si="0"/>
        <v>10</v>
      </c>
      <c r="K11" s="17">
        <f ca="1">-SUMIF('CF (Equity, Debt)'!$C$3:$K$53,'9. All deals (a)'!C11,'CF (Equity, Debt)'!$E$3:$E$53)</f>
        <v>10</v>
      </c>
      <c r="L11" s="17">
        <v>0</v>
      </c>
      <c r="M11" s="17">
        <f ca="1">SUMIF('CF (Equity, Debt)'!$C$3:$K$53,'9. All deals (a)'!C11,'CF (Equity, Debt)'!$F$3:$F$53)</f>
        <v>0</v>
      </c>
      <c r="N11" s="17">
        <f>VLOOKUP(C11,NAV!$B$4:$E$44,4,0)</f>
        <v>37.118730497400001</v>
      </c>
      <c r="O11" s="17">
        <f t="shared" ca="1" si="2"/>
        <v>27.118730497400001</v>
      </c>
      <c r="P11" s="10">
        <f t="shared" ca="1" si="1"/>
        <v>3.7118730497400003</v>
      </c>
      <c r="Q11" s="102" t="s">
        <v>551</v>
      </c>
      <c r="R11" s="229"/>
    </row>
    <row r="12" spans="2:18" x14ac:dyDescent="0.25">
      <c r="B12" s="81"/>
      <c r="C12" s="4" t="s">
        <v>39</v>
      </c>
      <c r="D12" s="2" t="s">
        <v>79</v>
      </c>
      <c r="E12" s="2" t="s">
        <v>62</v>
      </c>
      <c r="F12" s="2" t="s">
        <v>8</v>
      </c>
      <c r="G12" s="6">
        <v>2020</v>
      </c>
      <c r="H12" s="2" t="s">
        <v>44</v>
      </c>
      <c r="I12" s="105" t="str">
        <f>'6. %'!F12</f>
        <v>n/a</v>
      </c>
      <c r="J12" s="17">
        <f t="shared" ca="1" si="0"/>
        <v>2.5</v>
      </c>
      <c r="K12" s="17">
        <f ca="1">-SUMIF('CF (Equity, Debt)'!$C$3:$K$53,'9. All deals (a)'!C12,'CF (Equity, Debt)'!$E$3:$E$53)</f>
        <v>2.5</v>
      </c>
      <c r="L12" s="17">
        <v>0</v>
      </c>
      <c r="M12" s="17">
        <f ca="1">SUMIF('CF (Equity, Debt)'!$C$3:$K$53,'9. All deals (a)'!C12,'CF (Equity, Debt)'!$F$3:$F$53)</f>
        <v>5</v>
      </c>
      <c r="N12" s="17">
        <f>VLOOKUP(C12,NAV!$B$4:$E$44,4,0)</f>
        <v>0</v>
      </c>
      <c r="O12" s="17">
        <f t="shared" ca="1" si="2"/>
        <v>2.5</v>
      </c>
      <c r="P12" s="10">
        <f t="shared" ca="1" si="1"/>
        <v>2</v>
      </c>
      <c r="Q12" s="102"/>
      <c r="R12" s="229"/>
    </row>
    <row r="13" spans="2:18" x14ac:dyDescent="0.25">
      <c r="B13" s="81"/>
      <c r="C13" s="4" t="s">
        <v>37</v>
      </c>
      <c r="D13" s="2" t="s">
        <v>78</v>
      </c>
      <c r="E13" s="2" t="s">
        <v>64</v>
      </c>
      <c r="F13" s="2" t="s">
        <v>8</v>
      </c>
      <c r="G13" s="6">
        <v>2020</v>
      </c>
      <c r="H13" s="2" t="s">
        <v>67</v>
      </c>
      <c r="I13" s="105">
        <f>'6. %'!F13</f>
        <v>9.4347728005070269E-2</v>
      </c>
      <c r="J13" s="17">
        <f t="shared" ca="1" si="0"/>
        <v>90</v>
      </c>
      <c r="K13" s="17">
        <f ca="1">-SUMIF('CF (Equity, Debt)'!$C$3:$K$53,'9. All deals (a)'!C13,'CF (Equity, Debt)'!$E$3:$E$53)</f>
        <v>90</v>
      </c>
      <c r="L13" s="17">
        <v>0</v>
      </c>
      <c r="M13" s="17">
        <f ca="1">SUMIF('CF (Equity, Debt)'!$C$3:$K$53,'9. All deals (a)'!C13,'CF (Equity, Debt)'!$F$3:$F$53)</f>
        <v>0</v>
      </c>
      <c r="N13" s="17">
        <f>VLOOKUP(C13,NAV!$B$4:$E$44,4,0)</f>
        <v>45.500770150000008</v>
      </c>
      <c r="O13" s="17">
        <f t="shared" ca="1" si="2"/>
        <v>-44.499229849999992</v>
      </c>
      <c r="P13" s="10">
        <f t="shared" ca="1" si="1"/>
        <v>0.50556411277777791</v>
      </c>
      <c r="Q13" s="102"/>
      <c r="R13" s="229"/>
    </row>
    <row r="14" spans="2:18" x14ac:dyDescent="0.25">
      <c r="B14" s="81"/>
      <c r="C14" s="4" t="s">
        <v>87</v>
      </c>
      <c r="D14" s="2" t="s">
        <v>78</v>
      </c>
      <c r="E14" s="2" t="s">
        <v>64</v>
      </c>
      <c r="F14" s="2" t="s">
        <v>8</v>
      </c>
      <c r="G14" s="6">
        <v>2020</v>
      </c>
      <c r="H14" s="2" t="s">
        <v>45</v>
      </c>
      <c r="I14" s="105">
        <f>'6. %'!F14</f>
        <v>4.7112658862960358E-2</v>
      </c>
      <c r="J14" s="17">
        <f t="shared" ca="1" si="0"/>
        <v>141.4702596743665</v>
      </c>
      <c r="K14" s="17">
        <f ca="1">-SUMIF('CF (Equity, Debt)'!$C$3:$K$53,'9. All deals (a)'!C14,'CF (Equity, Debt)'!$E$3:$E$53)</f>
        <v>141.4702596743665</v>
      </c>
      <c r="L14" s="17">
        <v>0</v>
      </c>
      <c r="M14" s="17">
        <f ca="1">SUMIF('CF (Equity, Debt)'!$C$3:$K$53,'9. All deals (a)'!C14,'CF (Equity, Debt)'!$F$3:$F$53)</f>
        <v>0</v>
      </c>
      <c r="N14" s="17">
        <f>VLOOKUP(C14,NAV!$B$4:$E$44,4,0)</f>
        <v>94.332808617835184</v>
      </c>
      <c r="O14" s="17">
        <f t="shared" ca="1" si="2"/>
        <v>-47.137451056531319</v>
      </c>
      <c r="P14" s="10">
        <f t="shared" ca="1" si="1"/>
        <v>0.66680310642652818</v>
      </c>
      <c r="Q14" s="102"/>
      <c r="R14" s="229"/>
    </row>
    <row r="15" spans="2:18" x14ac:dyDescent="0.25">
      <c r="B15" s="81"/>
      <c r="C15" s="4" t="s">
        <v>9</v>
      </c>
      <c r="D15" s="2" t="s">
        <v>78</v>
      </c>
      <c r="E15" s="2" t="s">
        <v>63</v>
      </c>
      <c r="F15" s="2" t="s">
        <v>8</v>
      </c>
      <c r="G15" s="6">
        <v>2020</v>
      </c>
      <c r="H15" s="2" t="s">
        <v>72</v>
      </c>
      <c r="I15" s="105">
        <f>'6. %'!F15</f>
        <v>0.14380000000000001</v>
      </c>
      <c r="J15" s="17">
        <f t="shared" ca="1" si="0"/>
        <v>60</v>
      </c>
      <c r="K15" s="17">
        <f ca="1">-SUMIF('CF (Equity, Debt)'!$C$3:$K$53,'9. All deals (a)'!C15,'CF (Equity, Debt)'!$E$3:$E$53)</f>
        <v>60</v>
      </c>
      <c r="L15" s="17">
        <v>0</v>
      </c>
      <c r="M15" s="17">
        <f ca="1">SUMIF('CF (Equity, Debt)'!$C$3:$K$53,'9. All deals (a)'!C15,'CF (Equity, Debt)'!$F$3:$F$53)</f>
        <v>0</v>
      </c>
      <c r="N15" s="17">
        <f>VLOOKUP(C15,NAV!$B$4:$E$44,4,0)</f>
        <v>153.73258334414044</v>
      </c>
      <c r="O15" s="17">
        <f t="shared" ca="1" si="2"/>
        <v>93.732583344140437</v>
      </c>
      <c r="P15" s="10">
        <f t="shared" ca="1" si="1"/>
        <v>2.5622097224023408</v>
      </c>
      <c r="Q15" s="102"/>
      <c r="R15" s="229"/>
    </row>
    <row r="16" spans="2:18" ht="17.25" x14ac:dyDescent="0.25">
      <c r="B16" s="81"/>
      <c r="C16" s="4" t="s">
        <v>18</v>
      </c>
      <c r="D16" s="2" t="s">
        <v>79</v>
      </c>
      <c r="E16" s="2" t="s">
        <v>62</v>
      </c>
      <c r="F16" s="2" t="s">
        <v>279</v>
      </c>
      <c r="G16" s="6">
        <v>2021</v>
      </c>
      <c r="H16" s="2" t="s">
        <v>49</v>
      </c>
      <c r="I16" s="105">
        <f>'6. %'!F16</f>
        <v>0.03</v>
      </c>
      <c r="J16" s="17">
        <f t="shared" ca="1" si="0"/>
        <v>20</v>
      </c>
      <c r="K16" s="17">
        <f ca="1">-SUMIF('CF (Equity, Debt)'!$C$3:$K$53,'9. All deals (a)'!C16,'CF (Equity, Debt)'!$E$3:$E$53)</f>
        <v>20</v>
      </c>
      <c r="L16" s="17">
        <v>0</v>
      </c>
      <c r="M16" s="17">
        <f ca="1">SUMIF('CF (Equity, Debt)'!$C$3:$K$53,'9. All deals (a)'!C16,'CF (Equity, Debt)'!$F$3:$F$53)</f>
        <v>24.5</v>
      </c>
      <c r="N16" s="17">
        <f>VLOOKUP(C16,NAV!$B$4:$E$44,4,0)</f>
        <v>0</v>
      </c>
      <c r="O16" s="17">
        <f t="shared" ca="1" si="2"/>
        <v>4.5</v>
      </c>
      <c r="P16" s="10">
        <f t="shared" ca="1" si="1"/>
        <v>1.2250000000000001</v>
      </c>
      <c r="Q16" s="102"/>
      <c r="R16" s="229"/>
    </row>
    <row r="17" spans="2:18" x14ac:dyDescent="0.25">
      <c r="B17" s="81"/>
      <c r="C17" s="4" t="s">
        <v>40</v>
      </c>
      <c r="D17" s="2" t="s">
        <v>78</v>
      </c>
      <c r="E17" s="2" t="s">
        <v>66</v>
      </c>
      <c r="F17" s="2" t="s">
        <v>8</v>
      </c>
      <c r="G17" s="6">
        <v>2021</v>
      </c>
      <c r="H17" s="2" t="s">
        <v>69</v>
      </c>
      <c r="I17" s="105">
        <f>'6. %'!F17</f>
        <v>9.117206771726628E-3</v>
      </c>
      <c r="J17" s="17">
        <f t="shared" ca="1" si="0"/>
        <v>39.999983359999995</v>
      </c>
      <c r="K17" s="17">
        <f ca="1">-SUMIF('CF (Equity, Debt)'!$C$3:$K$53,'9. All deals (a)'!C17,'CF (Equity, Debt)'!$E$3:$E$53)</f>
        <v>39.999983359999995</v>
      </c>
      <c r="L17" s="17">
        <v>0</v>
      </c>
      <c r="M17" s="17">
        <f ca="1">SUMIF('CF (Equity, Debt)'!$C$3:$K$53,'9. All deals (a)'!C17,'CF (Equity, Debt)'!$F$3:$F$53)</f>
        <v>0</v>
      </c>
      <c r="N17" s="17">
        <f>VLOOKUP(C17,NAV!$B$4:$E$44,4,0)</f>
        <v>21.135483260000001</v>
      </c>
      <c r="O17" s="17">
        <f t="shared" ca="1" si="2"/>
        <v>-18.864500099999994</v>
      </c>
      <c r="P17" s="10">
        <f t="shared" ca="1" si="1"/>
        <v>0.52838730130911749</v>
      </c>
      <c r="Q17" s="102"/>
      <c r="R17" s="229"/>
    </row>
    <row r="18" spans="2:18" x14ac:dyDescent="0.25">
      <c r="B18" s="81"/>
      <c r="C18" s="4" t="s">
        <v>41</v>
      </c>
      <c r="D18" s="2" t="s">
        <v>78</v>
      </c>
      <c r="E18" s="2" t="s">
        <v>62</v>
      </c>
      <c r="F18" s="2" t="s">
        <v>8</v>
      </c>
      <c r="G18" s="6">
        <v>2021</v>
      </c>
      <c r="H18" s="2" t="s">
        <v>74</v>
      </c>
      <c r="I18" s="105">
        <f>'6. %'!F18</f>
        <v>0.16080402010050251</v>
      </c>
      <c r="J18" s="17">
        <f t="shared" ca="1" si="0"/>
        <v>8</v>
      </c>
      <c r="K18" s="17">
        <f ca="1">-SUMIF('CF (Equity, Debt)'!$C$3:$K$53,'9. All deals (a)'!C18,'CF (Equity, Debt)'!$E$3:$E$53)</f>
        <v>8</v>
      </c>
      <c r="L18" s="17">
        <v>0</v>
      </c>
      <c r="M18" s="17">
        <f ca="1">SUMIF('CF (Equity, Debt)'!$C$3:$K$53,'9. All deals (a)'!C18,'CF (Equity, Debt)'!$F$3:$F$53)</f>
        <v>0</v>
      </c>
      <c r="N18" s="17">
        <f>VLOOKUP(C18,NAV!$B$4:$E$44,4,0)</f>
        <v>8</v>
      </c>
      <c r="O18" s="17">
        <f t="shared" ca="1" si="2"/>
        <v>0</v>
      </c>
      <c r="P18" s="10">
        <f t="shared" ca="1" si="1"/>
        <v>1</v>
      </c>
      <c r="Q18" s="102"/>
      <c r="R18" s="229"/>
    </row>
    <row r="19" spans="2:18" x14ac:dyDescent="0.25">
      <c r="B19" s="81"/>
      <c r="C19" s="4" t="s">
        <v>42</v>
      </c>
      <c r="D19" s="2" t="s">
        <v>79</v>
      </c>
      <c r="E19" s="2" t="s">
        <v>66</v>
      </c>
      <c r="F19" s="2" t="s">
        <v>8</v>
      </c>
      <c r="G19" s="6">
        <v>2021</v>
      </c>
      <c r="H19" s="2" t="s">
        <v>76</v>
      </c>
      <c r="I19" s="105">
        <f>'6. %'!F19</f>
        <v>1.1489405791845828E-2</v>
      </c>
      <c r="J19" s="17">
        <f t="shared" ca="1" si="0"/>
        <v>5.0237201984774336</v>
      </c>
      <c r="K19" s="17">
        <f ca="1">-SUMIF('CF (Equity, Debt)'!$C$3:$K$53,'9. All deals (a)'!C19,'CF (Equity, Debt)'!$E$3:$E$53)</f>
        <v>5.0237201984774336</v>
      </c>
      <c r="L19" s="17">
        <v>0</v>
      </c>
      <c r="M19" s="17">
        <f ca="1">SUMIF('CF (Equity, Debt)'!$C$3:$K$53,'9. All deals (a)'!C19,'CF (Equity, Debt)'!$F$3:$F$53)</f>
        <v>7.9421925299999989</v>
      </c>
      <c r="N19" s="17">
        <f>VLOOKUP(C19,NAV!$B$4:$E$44,4,0)</f>
        <v>0</v>
      </c>
      <c r="O19" s="17">
        <f t="shared" ca="1" si="2"/>
        <v>2.9184723315225654</v>
      </c>
      <c r="P19" s="10">
        <f t="shared" ca="1" si="1"/>
        <v>1.5809384711368046</v>
      </c>
      <c r="Q19" s="102"/>
      <c r="R19" s="229"/>
    </row>
    <row r="20" spans="2:18" ht="17.25" x14ac:dyDescent="0.25">
      <c r="B20" s="81"/>
      <c r="C20" s="4" t="s">
        <v>70</v>
      </c>
      <c r="D20" s="2" t="s">
        <v>79</v>
      </c>
      <c r="E20" s="2" t="s">
        <v>63</v>
      </c>
      <c r="F20" s="2" t="s">
        <v>280</v>
      </c>
      <c r="G20" s="6">
        <v>2022</v>
      </c>
      <c r="H20" s="2" t="s">
        <v>77</v>
      </c>
      <c r="I20" s="105">
        <f>'6. %'!F20</f>
        <v>5.1000000000000004E-2</v>
      </c>
      <c r="J20" s="17">
        <f t="shared" ca="1" si="0"/>
        <v>493.50095619999996</v>
      </c>
      <c r="K20" s="17">
        <f ca="1">-SUMIF('CF (Equity, Debt)'!$C$3:$K$53,'9. All deals (a)'!C20,'CF (Equity, Debt)'!$E$3:$E$53)</f>
        <v>493.50095619999996</v>
      </c>
      <c r="L20" s="17">
        <v>0</v>
      </c>
      <c r="M20" s="17">
        <f ca="1">SUMIF('CF (Equity, Debt)'!$C$3:$K$53,'9. All deals (a)'!C20,'CF (Equity, Debt)'!$F$3:$F$53)</f>
        <v>403</v>
      </c>
      <c r="N20" s="17">
        <f>VLOOKUP(C20,NAV!$B$4:$E$44,4,0)</f>
        <v>0</v>
      </c>
      <c r="O20" s="17">
        <f t="shared" ca="1" si="2"/>
        <v>-90.500956199999962</v>
      </c>
      <c r="P20" s="10">
        <f t="shared" ca="1" si="1"/>
        <v>0.81661442584252486</v>
      </c>
      <c r="Q20" s="102"/>
      <c r="R20" s="229"/>
    </row>
    <row r="21" spans="2:18" ht="17.25" x14ac:dyDescent="0.25">
      <c r="B21" s="81"/>
      <c r="C21" s="4" t="s">
        <v>19</v>
      </c>
      <c r="D21" s="2" t="s">
        <v>78</v>
      </c>
      <c r="E21" s="2" t="s">
        <v>65</v>
      </c>
      <c r="F21" s="2" t="s">
        <v>11</v>
      </c>
      <c r="G21" s="6">
        <v>2022</v>
      </c>
      <c r="H21" s="2" t="s">
        <v>77</v>
      </c>
      <c r="I21" s="105">
        <f>'6. %'!F21</f>
        <v>0.11141913554582343</v>
      </c>
      <c r="J21" s="17">
        <f t="shared" ca="1" si="0"/>
        <v>300</v>
      </c>
      <c r="K21" s="17">
        <f ca="1">-SUMIF('CF (Equity, Debt)'!$C$3:$K$53,'9. All deals (a)'!C21,'CF (Equity, Debt)'!$E$3:$E$53)</f>
        <v>300</v>
      </c>
      <c r="L21" s="17">
        <f>0</f>
        <v>0</v>
      </c>
      <c r="M21" s="17">
        <f ca="1">SUMIF('CF (Equity, Debt)'!$C$3:$K$53,'9. All deals (a)'!C21,'CF (Equity, Debt)'!$F$3:$F$53)</f>
        <v>0</v>
      </c>
      <c r="N21" s="17">
        <f>VLOOKUP(C21,NAV!$B$4:$E$44,4,0)</f>
        <v>204.6</v>
      </c>
      <c r="O21" s="17">
        <f t="shared" ca="1" si="2"/>
        <v>-95.4</v>
      </c>
      <c r="P21" s="10">
        <f t="shared" ca="1" si="1"/>
        <v>0.68199999999999994</v>
      </c>
      <c r="Q21" s="102" t="s">
        <v>145</v>
      </c>
      <c r="R21" s="229"/>
    </row>
    <row r="22" spans="2:18" ht="17.25" x14ac:dyDescent="0.25">
      <c r="B22" s="81"/>
      <c r="C22" s="4" t="s">
        <v>88</v>
      </c>
      <c r="D22" s="2" t="s">
        <v>78</v>
      </c>
      <c r="E22" s="2" t="s">
        <v>64</v>
      </c>
      <c r="F22" s="2" t="s">
        <v>11</v>
      </c>
      <c r="G22" s="6">
        <v>2022</v>
      </c>
      <c r="H22" s="2" t="s">
        <v>45</v>
      </c>
      <c r="I22" s="105">
        <f>'6. %'!F22</f>
        <v>2.134358174658308E-3</v>
      </c>
      <c r="J22" s="17">
        <f t="shared" ca="1" si="0"/>
        <v>24.53125</v>
      </c>
      <c r="K22" s="17">
        <f ca="1">-SUMIF('CF (Equity, Debt)'!$C$3:$K$53,'9. All deals (a)'!C22,'CF (Equity, Debt)'!$E$3:$E$53)</f>
        <v>24.53125</v>
      </c>
      <c r="L22" s="17">
        <f t="shared" ref="L22:L29" ca="1" si="3">J22-K22</f>
        <v>0</v>
      </c>
      <c r="M22" s="17">
        <f ca="1">SUMIF('CF (Equity, Debt)'!$C$3:$K$53,'9. All deals (a)'!C22,'CF (Equity, Debt)'!$F$3:$F$53)</f>
        <v>0</v>
      </c>
      <c r="N22" s="17">
        <f>VLOOKUP(C22,NAV!$B$4:$E$44,4,0)</f>
        <v>3.5222472049999998</v>
      </c>
      <c r="O22" s="17">
        <f t="shared" ca="1" si="2"/>
        <v>-21.009002795000001</v>
      </c>
      <c r="P22" s="10">
        <f ca="1">(M22+N22)/K22</f>
        <v>0.14358205166878979</v>
      </c>
      <c r="Q22" s="102" t="s">
        <v>161</v>
      </c>
      <c r="R22" s="229"/>
    </row>
    <row r="23" spans="2:18" ht="17.25" x14ac:dyDescent="0.25">
      <c r="B23" s="81"/>
      <c r="C23" s="4" t="s">
        <v>35</v>
      </c>
      <c r="D23" s="2" t="s">
        <v>79</v>
      </c>
      <c r="E23" s="2" t="s">
        <v>63</v>
      </c>
      <c r="F23" s="2" t="s">
        <v>281</v>
      </c>
      <c r="G23" s="6">
        <v>2022</v>
      </c>
      <c r="H23" s="2" t="s">
        <v>77</v>
      </c>
      <c r="I23" s="105">
        <f>'6. %'!F23</f>
        <v>1.8823528000000003E-2</v>
      </c>
      <c r="J23" s="17">
        <f t="shared" ca="1" si="0"/>
        <v>800</v>
      </c>
      <c r="K23" s="17">
        <f ca="1">-SUMIF('CF (Equity, Debt)'!$C$3:$K$53,'9. All deals (a)'!C23,'CF (Equity, Debt)'!$E$3:$E$53)</f>
        <v>800</v>
      </c>
      <c r="L23" s="17">
        <f t="shared" ca="1" si="3"/>
        <v>0</v>
      </c>
      <c r="M23" s="17">
        <f ca="1">SUMIF('CF (Equity, Debt)'!$C$3:$K$53,'9. All deals (a)'!C23,'CF (Equity, Debt)'!$F$3:$F$53)</f>
        <v>802.8</v>
      </c>
      <c r="N23" s="17">
        <f>VLOOKUP(C23,NAV!$B$4:$E$44,4,0)</f>
        <v>0</v>
      </c>
      <c r="O23" s="17">
        <f t="shared" ca="1" si="2"/>
        <v>2.7999999999999545</v>
      </c>
      <c r="P23" s="10">
        <f t="shared" ref="P23" ca="1" si="4">(M23+N23)/K23</f>
        <v>1.0034999999999998</v>
      </c>
      <c r="Q23" s="102"/>
      <c r="R23" s="229"/>
    </row>
    <row r="24" spans="2:18" x14ac:dyDescent="0.25">
      <c r="B24" s="81"/>
      <c r="C24" s="4" t="s">
        <v>246</v>
      </c>
      <c r="D24" s="2" t="s">
        <v>78</v>
      </c>
      <c r="E24" s="2" t="s">
        <v>64</v>
      </c>
      <c r="F24" s="2" t="s">
        <v>8</v>
      </c>
      <c r="G24" s="6">
        <v>2022</v>
      </c>
      <c r="H24" s="2" t="s">
        <v>44</v>
      </c>
      <c r="I24" s="105" t="str">
        <f>'6. %'!F24</f>
        <v>n/a</v>
      </c>
      <c r="J24" s="17">
        <v>15</v>
      </c>
      <c r="K24" s="17">
        <f ca="1">-SUMIF('CF (Equity, Debt)'!$C$3:$K$53,'9. All deals (a)'!C24,'CF (Equity, Debt)'!$E$3:$E$53)</f>
        <v>11.5</v>
      </c>
      <c r="L24" s="17">
        <f t="shared" ca="1" si="3"/>
        <v>3.5</v>
      </c>
      <c r="M24" s="17">
        <v>0</v>
      </c>
      <c r="N24" s="17">
        <f>VLOOKUP(C24,NAV!$B$4:$E$44,4,0)</f>
        <v>11.5</v>
      </c>
      <c r="O24" s="17">
        <f t="shared" ca="1" si="2"/>
        <v>0</v>
      </c>
      <c r="P24" s="10">
        <f t="shared" ref="P24:P33" ca="1" si="5">(M24+N24)/K24</f>
        <v>1</v>
      </c>
      <c r="Q24" s="102"/>
      <c r="R24" s="229"/>
    </row>
    <row r="25" spans="2:18" ht="17.25" x14ac:dyDescent="0.25">
      <c r="B25" s="81"/>
      <c r="C25" s="4" t="s">
        <v>275</v>
      </c>
      <c r="D25" s="2" t="s">
        <v>78</v>
      </c>
      <c r="E25" s="2" t="s">
        <v>65</v>
      </c>
      <c r="F25" s="2" t="s">
        <v>291</v>
      </c>
      <c r="G25" s="6">
        <v>2022</v>
      </c>
      <c r="H25" s="2" t="s">
        <v>68</v>
      </c>
      <c r="I25" s="105">
        <f>'6. %'!F25</f>
        <v>2.7864956399278339E-2</v>
      </c>
      <c r="J25" s="17">
        <f t="shared" ref="J25:J27" ca="1" si="6">K25</f>
        <v>15</v>
      </c>
      <c r="K25" s="17">
        <f ca="1">-SUMIF('CF (Equity, Debt)'!$C$3:$K$53,'9. All deals (a)'!C25,'CF (Equity, Debt)'!$E$3:$E$53)</f>
        <v>15</v>
      </c>
      <c r="L25" s="17">
        <f t="shared" ca="1" si="3"/>
        <v>0</v>
      </c>
      <c r="M25" s="17">
        <v>0</v>
      </c>
      <c r="N25" s="17">
        <f>VLOOKUP(C25,NAV!$B$4:$E$44,4,0)</f>
        <v>20.888121539999997</v>
      </c>
      <c r="O25" s="17">
        <f t="shared" ca="1" si="2"/>
        <v>5.8881215399999967</v>
      </c>
      <c r="P25" s="10">
        <f t="shared" ca="1" si="5"/>
        <v>1.3925414359999997</v>
      </c>
      <c r="Q25" s="102"/>
      <c r="R25" s="229"/>
    </row>
    <row r="26" spans="2:18" x14ac:dyDescent="0.25">
      <c r="B26" s="81"/>
      <c r="C26" s="4" t="s">
        <v>344</v>
      </c>
      <c r="D26" s="2" t="s">
        <v>78</v>
      </c>
      <c r="E26" s="2" t="s">
        <v>64</v>
      </c>
      <c r="F26" s="2" t="s">
        <v>8</v>
      </c>
      <c r="G26" s="6">
        <v>2023</v>
      </c>
      <c r="H26" s="2" t="s">
        <v>67</v>
      </c>
      <c r="I26" s="105">
        <f>'6. %'!F26</f>
        <v>6.2621982517370271E-3</v>
      </c>
      <c r="J26" s="17">
        <f t="shared" ca="1" si="6"/>
        <v>14.999998939999999</v>
      </c>
      <c r="K26" s="17">
        <f ca="1">-SUMIF('CF (Equity, Debt)'!$C$3:$K$53,'9. All deals (a)'!C26,'CF (Equity, Debt)'!$E$3:$E$53)</f>
        <v>14.999998939999999</v>
      </c>
      <c r="L26" s="17">
        <f t="shared" ca="1" si="3"/>
        <v>0</v>
      </c>
      <c r="M26" s="17">
        <v>0</v>
      </c>
      <c r="N26" s="17">
        <f ca="1">VLOOKUP(C26,NAV!$B$4:$E$44,4,0)</f>
        <v>14.999998939999999</v>
      </c>
      <c r="O26" s="17">
        <f t="shared" ca="1" si="2"/>
        <v>0</v>
      </c>
      <c r="P26" s="10">
        <f t="shared" ca="1" si="5"/>
        <v>1</v>
      </c>
      <c r="Q26" s="102"/>
      <c r="R26" s="229"/>
    </row>
    <row r="27" spans="2:18" ht="17.25" x14ac:dyDescent="0.25">
      <c r="B27" s="81"/>
      <c r="C27" s="4" t="s">
        <v>409</v>
      </c>
      <c r="D27" s="2" t="s">
        <v>78</v>
      </c>
      <c r="E27" s="2" t="s">
        <v>64</v>
      </c>
      <c r="F27" s="2" t="s">
        <v>8</v>
      </c>
      <c r="G27" s="6">
        <v>2023</v>
      </c>
      <c r="H27" s="2" t="s">
        <v>412</v>
      </c>
      <c r="I27" s="105">
        <f>'6. %'!F27</f>
        <v>6.2500000000000003E-3</v>
      </c>
      <c r="J27" s="17">
        <f t="shared" ca="1" si="6"/>
        <v>6.875E-3</v>
      </c>
      <c r="K27" s="17">
        <f ca="1">-SUMIF('CF (Equity, Debt)'!$C$3:$K$53,'9. All deals (a)'!C27,'CF (Equity, Debt)'!$E$3:$E$53)</f>
        <v>6.875E-3</v>
      </c>
      <c r="L27" s="17">
        <f t="shared" ca="1" si="3"/>
        <v>0</v>
      </c>
      <c r="M27" s="17">
        <v>0</v>
      </c>
      <c r="N27" s="17">
        <f>VLOOKUP(C27,NAV!$B$4:$E$44,4,0)</f>
        <v>118.21249999999999</v>
      </c>
      <c r="O27" s="17">
        <f t="shared" ca="1" si="2"/>
        <v>118.205625</v>
      </c>
      <c r="P27" s="10" t="s">
        <v>347</v>
      </c>
      <c r="Q27" s="102" t="s">
        <v>552</v>
      </c>
      <c r="R27" s="229"/>
    </row>
    <row r="28" spans="2:18" ht="17.25" x14ac:dyDescent="0.25">
      <c r="B28" s="81"/>
      <c r="C28" s="4" t="s">
        <v>420</v>
      </c>
      <c r="D28" s="2" t="s">
        <v>78</v>
      </c>
      <c r="E28" s="2" t="s">
        <v>62</v>
      </c>
      <c r="F28" s="2" t="s">
        <v>8</v>
      </c>
      <c r="G28" s="6">
        <v>2023</v>
      </c>
      <c r="H28" s="2" t="s">
        <v>68</v>
      </c>
      <c r="I28" s="105">
        <f>'6. %'!F28</f>
        <v>0.11483735948644427</v>
      </c>
      <c r="J28" s="17">
        <f ca="1">K28</f>
        <v>6</v>
      </c>
      <c r="K28" s="17">
        <f ca="1">-SUMIF('CF (Equity, Debt)'!$C$3:$K$53,'9. All deals (a)'!C28,'CF (Equity, Debt)'!$E$3:$E$53)</f>
        <v>6</v>
      </c>
      <c r="L28" s="17">
        <f t="shared" ca="1" si="3"/>
        <v>0</v>
      </c>
      <c r="M28" s="17">
        <v>0</v>
      </c>
      <c r="N28" s="17">
        <f ca="1">VLOOKUP(C28,NAV!$B$4:$E$44,4,0)</f>
        <v>6</v>
      </c>
      <c r="O28" s="17">
        <f t="shared" ca="1" si="2"/>
        <v>0</v>
      </c>
      <c r="P28" s="10">
        <f t="shared" ca="1" si="5"/>
        <v>1</v>
      </c>
      <c r="Q28" s="102" t="s">
        <v>434</v>
      </c>
      <c r="R28" s="229"/>
    </row>
    <row r="29" spans="2:18" ht="17.25" x14ac:dyDescent="0.25">
      <c r="B29" s="81"/>
      <c r="C29" s="4" t="s">
        <v>462</v>
      </c>
      <c r="D29" s="2" t="s">
        <v>78</v>
      </c>
      <c r="E29" s="2" t="s">
        <v>463</v>
      </c>
      <c r="F29" s="2" t="s">
        <v>606</v>
      </c>
      <c r="G29" s="6">
        <v>2024</v>
      </c>
      <c r="H29" s="2" t="s">
        <v>465</v>
      </c>
      <c r="I29" s="105">
        <f>'6. %'!F29</f>
        <v>0.25</v>
      </c>
      <c r="J29" s="17">
        <f ca="1">K29+0.25</f>
        <v>2.75</v>
      </c>
      <c r="K29" s="17">
        <f ca="1">-SUMIF('CF (Equity, Debt)'!$C$3:$K$53,'9. All deals (a)'!C29,'CF (Equity, Debt)'!$E$3:$E$53)</f>
        <v>2.5</v>
      </c>
      <c r="L29" s="17">
        <f t="shared" ca="1" si="3"/>
        <v>0.25</v>
      </c>
      <c r="M29" s="17">
        <v>0</v>
      </c>
      <c r="N29" s="17">
        <f ca="1">VLOOKUP(C29,NAV!$B$4:$E$44,4,0)</f>
        <v>2.5</v>
      </c>
      <c r="O29" s="17">
        <f t="shared" ca="1" si="2"/>
        <v>0</v>
      </c>
      <c r="P29" s="10">
        <f t="shared" ca="1" si="5"/>
        <v>1</v>
      </c>
      <c r="Q29" s="102" t="s">
        <v>536</v>
      </c>
      <c r="R29" s="229"/>
    </row>
    <row r="30" spans="2:18" x14ac:dyDescent="0.25">
      <c r="B30" s="81"/>
      <c r="C30" s="4" t="s">
        <v>602</v>
      </c>
      <c r="D30" s="2" t="s">
        <v>78</v>
      </c>
      <c r="E30" s="2" t="s">
        <v>64</v>
      </c>
      <c r="F30" s="2" t="s">
        <v>603</v>
      </c>
      <c r="G30" s="6">
        <v>2024</v>
      </c>
      <c r="H30" s="2" t="s">
        <v>44</v>
      </c>
      <c r="I30" s="105" t="str">
        <f>'6. %'!F30</f>
        <v>n/a</v>
      </c>
      <c r="J30" s="17">
        <f t="shared" ref="J30" ca="1" si="7">K30</f>
        <v>20</v>
      </c>
      <c r="K30" s="17">
        <f ca="1">-SUMIF('CF (Equity, Debt)'!$C$3:$K$53,'9. All deals (a)'!C30,'CF (Equity, Debt)'!$E$3:$E$53)</f>
        <v>20</v>
      </c>
      <c r="L30" s="17">
        <f t="shared" ref="L30:L31" ca="1" si="8">J30-K30</f>
        <v>0</v>
      </c>
      <c r="M30" s="17">
        <v>0</v>
      </c>
      <c r="N30" s="17">
        <f>VLOOKUP(C30,NAV!$B$4:$E$44,4,0)</f>
        <v>20</v>
      </c>
      <c r="O30" s="17">
        <f t="shared" ref="O30:O31" ca="1" si="9">N30+M30-K30</f>
        <v>0</v>
      </c>
      <c r="P30" s="10">
        <f t="shared" ca="1" si="5"/>
        <v>1</v>
      </c>
      <c r="Q30" s="102"/>
      <c r="R30" s="229"/>
    </row>
    <row r="31" spans="2:18" x14ac:dyDescent="0.25">
      <c r="B31" s="81"/>
      <c r="C31" s="4" t="s">
        <v>676</v>
      </c>
      <c r="D31" s="2" t="s">
        <v>78</v>
      </c>
      <c r="E31" s="2" t="s">
        <v>64</v>
      </c>
      <c r="F31" s="2" t="s">
        <v>603</v>
      </c>
      <c r="G31" s="6">
        <v>2024</v>
      </c>
      <c r="H31" s="2" t="s">
        <v>677</v>
      </c>
      <c r="I31" s="105" t="s">
        <v>124</v>
      </c>
      <c r="J31" s="17">
        <v>10</v>
      </c>
      <c r="K31" s="17">
        <f ca="1">-SUMIF('CF (Equity, Debt)'!$C$3:$K$53,'9. All deals (a)'!C31,'CF (Equity, Debt)'!$E$3:$E$53)</f>
        <v>10</v>
      </c>
      <c r="L31" s="17">
        <f t="shared" ca="1" si="8"/>
        <v>0</v>
      </c>
      <c r="M31" s="17">
        <v>0</v>
      </c>
      <c r="N31" s="17">
        <f>VLOOKUP(C31,NAV!$B$4:$E$44,4,0)</f>
        <v>10</v>
      </c>
      <c r="O31" s="17">
        <f t="shared" ca="1" si="9"/>
        <v>0</v>
      </c>
      <c r="P31" s="10">
        <f t="shared" ca="1" si="5"/>
        <v>1</v>
      </c>
      <c r="Q31" s="102" t="s">
        <v>683</v>
      </c>
      <c r="R31" s="229"/>
    </row>
    <row r="32" spans="2:18" x14ac:dyDescent="0.25">
      <c r="B32" s="81"/>
      <c r="C32" s="5"/>
      <c r="D32" s="7"/>
      <c r="E32" s="7"/>
      <c r="F32" s="7"/>
      <c r="G32" s="14"/>
      <c r="H32" s="7"/>
      <c r="I32" s="206"/>
      <c r="J32" s="24"/>
      <c r="K32" s="7"/>
      <c r="L32" s="24"/>
      <c r="M32" s="24"/>
      <c r="N32" s="24"/>
      <c r="O32" s="24"/>
      <c r="P32" s="15"/>
      <c r="Q32" s="219"/>
      <c r="R32" s="229"/>
    </row>
    <row r="33" spans="2:18" s="85" customFormat="1" x14ac:dyDescent="0.25">
      <c r="B33" s="83"/>
      <c r="C33" s="98"/>
      <c r="D33" s="98"/>
      <c r="E33" s="98"/>
      <c r="F33" s="98"/>
      <c r="G33" s="98"/>
      <c r="H33" s="98"/>
      <c r="I33" s="99"/>
      <c r="J33" s="100">
        <f ca="1">SUM(J9:J31)</f>
        <v>2151.7830433728436</v>
      </c>
      <c r="K33" s="100">
        <f t="shared" ref="K33:O33" ca="1" si="10">SUM(K9:K31)</f>
        <v>2148.0330433728436</v>
      </c>
      <c r="L33" s="100">
        <f t="shared" ca="1" si="10"/>
        <v>3.75</v>
      </c>
      <c r="M33" s="100">
        <f t="shared" ca="1" si="10"/>
        <v>1243.24219253</v>
      </c>
      <c r="N33" s="98">
        <f t="shared" ca="1" si="10"/>
        <v>772.04324355437564</v>
      </c>
      <c r="O33" s="100">
        <f t="shared" ca="1" si="10"/>
        <v>-132.74760728846832</v>
      </c>
      <c r="P33" s="101">
        <f t="shared" ca="1" si="5"/>
        <v>0.93820038863088095</v>
      </c>
      <c r="Q33" s="103"/>
      <c r="R33" s="287"/>
    </row>
    <row r="34" spans="2:18" x14ac:dyDescent="0.25">
      <c r="B34" s="81"/>
      <c r="C34" s="5"/>
      <c r="D34" s="8"/>
      <c r="E34" s="8"/>
      <c r="F34" s="8"/>
      <c r="G34" s="8"/>
      <c r="H34" s="8"/>
      <c r="I34" s="22"/>
      <c r="J34" s="19"/>
      <c r="K34" s="19"/>
      <c r="L34" s="19"/>
      <c r="M34" s="19"/>
      <c r="N34" s="19"/>
      <c r="O34" s="19"/>
      <c r="P34" s="12"/>
      <c r="Q34" s="104"/>
      <c r="R34" s="229"/>
    </row>
    <row r="35" spans="2:18" x14ac:dyDescent="0.25">
      <c r="B35" s="81"/>
      <c r="C35" s="514" t="s">
        <v>29</v>
      </c>
      <c r="D35" s="425"/>
      <c r="E35" s="425"/>
      <c r="F35" s="425"/>
      <c r="G35" s="426"/>
      <c r="H35" s="425"/>
      <c r="I35" s="427"/>
      <c r="J35" s="428"/>
      <c r="K35" s="428"/>
      <c r="L35" s="428"/>
      <c r="M35" s="428"/>
      <c r="N35" s="428"/>
      <c r="O35" s="428"/>
      <c r="P35" s="429"/>
      <c r="Q35" s="425"/>
      <c r="R35" s="229"/>
    </row>
    <row r="36" spans="2:18" x14ac:dyDescent="0.25">
      <c r="B36" s="81"/>
      <c r="C36" s="4" t="s">
        <v>48</v>
      </c>
      <c r="D36" s="2" t="s">
        <v>444</v>
      </c>
      <c r="E36" s="2" t="s">
        <v>305</v>
      </c>
      <c r="F36" s="2" t="s">
        <v>8</v>
      </c>
      <c r="G36" s="6">
        <v>2019</v>
      </c>
      <c r="H36" s="2" t="s">
        <v>126</v>
      </c>
      <c r="I36" s="105" t="s">
        <v>124</v>
      </c>
      <c r="J36" s="17">
        <v>8</v>
      </c>
      <c r="K36" s="17">
        <v>8</v>
      </c>
      <c r="L36" s="17">
        <v>0</v>
      </c>
      <c r="M36" s="17">
        <v>0</v>
      </c>
      <c r="N36" s="17">
        <v>0</v>
      </c>
      <c r="O36" s="17">
        <f t="shared" ref="O36:O38" si="11">N36+M36-K36</f>
        <v>-8</v>
      </c>
      <c r="P36" s="10">
        <f>(M36+N36)/K36</f>
        <v>0</v>
      </c>
      <c r="Q36" s="102" t="s">
        <v>445</v>
      </c>
      <c r="R36" s="229"/>
    </row>
    <row r="37" spans="2:18" x14ac:dyDescent="0.25">
      <c r="B37" s="81"/>
      <c r="C37" s="4" t="s">
        <v>248</v>
      </c>
      <c r="D37" s="2" t="s">
        <v>444</v>
      </c>
      <c r="E37" s="2" t="s">
        <v>63</v>
      </c>
      <c r="F37" s="2" t="s">
        <v>8</v>
      </c>
      <c r="G37" s="6">
        <v>2021</v>
      </c>
      <c r="H37" s="2" t="s">
        <v>128</v>
      </c>
      <c r="I37" s="105" t="s">
        <v>124</v>
      </c>
      <c r="J37" s="17">
        <v>2.3539819999999998</v>
      </c>
      <c r="K37" s="17">
        <f>J37</f>
        <v>2.3539819999999998</v>
      </c>
      <c r="L37" s="17">
        <v>0</v>
      </c>
      <c r="M37" s="17">
        <v>0</v>
      </c>
      <c r="N37" s="17">
        <f>VLOOKUP(C37,NAV!$B$4:$E$44,4,0)</f>
        <v>0</v>
      </c>
      <c r="O37" s="17">
        <f t="shared" si="11"/>
        <v>-2.3539819999999998</v>
      </c>
      <c r="P37" s="10">
        <f>(M37+N37)/K37</f>
        <v>0</v>
      </c>
      <c r="Q37" s="102" t="s">
        <v>82</v>
      </c>
      <c r="R37" s="229"/>
    </row>
    <row r="38" spans="2:18" x14ac:dyDescent="0.25">
      <c r="B38" s="81"/>
      <c r="C38" s="4" t="s">
        <v>240</v>
      </c>
      <c r="D38" s="2" t="s">
        <v>79</v>
      </c>
      <c r="E38" s="2" t="s">
        <v>62</v>
      </c>
      <c r="F38" s="2" t="s">
        <v>8</v>
      </c>
      <c r="G38" s="6">
        <v>2021</v>
      </c>
      <c r="H38" s="2" t="s">
        <v>128</v>
      </c>
      <c r="I38" s="105" t="s">
        <v>124</v>
      </c>
      <c r="J38" s="17">
        <v>0.41176499999999999</v>
      </c>
      <c r="K38" s="17">
        <v>0.41176499999999999</v>
      </c>
      <c r="L38" s="17">
        <v>0</v>
      </c>
      <c r="M38" s="17">
        <f>'CF (Equity, Debt)'!F58</f>
        <v>0.47078465000000003</v>
      </c>
      <c r="N38" s="17">
        <v>0</v>
      </c>
      <c r="O38" s="17">
        <f t="shared" si="11"/>
        <v>5.9019650000000035E-2</v>
      </c>
      <c r="P38" s="10">
        <f>(M38+N38)/K38</f>
        <v>1.1433333333333333</v>
      </c>
      <c r="Q38" s="102"/>
      <c r="R38" s="229"/>
    </row>
    <row r="39" spans="2:18" s="85" customFormat="1" x14ac:dyDescent="0.25">
      <c r="B39" s="83"/>
      <c r="C39" s="98"/>
      <c r="D39" s="98"/>
      <c r="E39" s="98"/>
      <c r="F39" s="98"/>
      <c r="G39" s="98"/>
      <c r="H39" s="98"/>
      <c r="I39" s="106"/>
      <c r="J39" s="100">
        <f>SUM(J36:J38)</f>
        <v>10.765747000000001</v>
      </c>
      <c r="K39" s="100">
        <f>SUM(K36:K38)</f>
        <v>10.765747000000001</v>
      </c>
      <c r="L39" s="100">
        <f>SUM(L36:L38)</f>
        <v>0</v>
      </c>
      <c r="M39" s="100">
        <f>SUM(M36:M38)</f>
        <v>0.47078465000000003</v>
      </c>
      <c r="N39" s="100">
        <f>SUM(N36:N38)</f>
        <v>0</v>
      </c>
      <c r="O39" s="100">
        <f>N39+M39-K39</f>
        <v>-10.29496235</v>
      </c>
      <c r="P39" s="101">
        <f t="shared" ref="P39" si="12">(M39+N39)/K39</f>
        <v>4.3729863798582673E-2</v>
      </c>
      <c r="Q39" s="103"/>
      <c r="R39" s="287"/>
    </row>
    <row r="40" spans="2:18" x14ac:dyDescent="0.25">
      <c r="B40" s="81"/>
      <c r="C40" s="5"/>
      <c r="D40" s="8"/>
      <c r="E40" s="8"/>
      <c r="F40" s="8"/>
      <c r="G40" s="8"/>
      <c r="H40" s="8"/>
      <c r="I40" s="107"/>
      <c r="J40" s="19"/>
      <c r="K40" s="19"/>
      <c r="L40" s="19"/>
      <c r="M40" s="19"/>
      <c r="N40" s="19"/>
      <c r="O40" s="19"/>
      <c r="P40" s="12"/>
      <c r="Q40" s="8"/>
      <c r="R40" s="229"/>
    </row>
    <row r="41" spans="2:18" x14ac:dyDescent="0.25">
      <c r="B41" s="81"/>
      <c r="C41" s="514" t="s">
        <v>30</v>
      </c>
      <c r="D41" s="425"/>
      <c r="E41" s="425"/>
      <c r="F41" s="425"/>
      <c r="G41" s="426"/>
      <c r="H41" s="425"/>
      <c r="I41" s="427"/>
      <c r="J41" s="428"/>
      <c r="K41" s="428"/>
      <c r="L41" s="428"/>
      <c r="M41" s="428"/>
      <c r="N41" s="428"/>
      <c r="O41" s="428"/>
      <c r="P41" s="429"/>
      <c r="Q41" s="425"/>
      <c r="R41" s="229"/>
    </row>
    <row r="42" spans="2:18" x14ac:dyDescent="0.25">
      <c r="B42" s="81"/>
      <c r="C42" s="4" t="s">
        <v>118</v>
      </c>
      <c r="D42" s="2" t="s">
        <v>78</v>
      </c>
      <c r="E42" s="2" t="s">
        <v>62</v>
      </c>
      <c r="F42" s="2" t="s">
        <v>610</v>
      </c>
      <c r="G42" s="6">
        <v>2020</v>
      </c>
      <c r="H42" s="2" t="s">
        <v>54</v>
      </c>
      <c r="I42" s="105" t="s">
        <v>124</v>
      </c>
      <c r="J42" s="17">
        <f>'8. NewSpace'!P7*10^-6*NAV!K22</f>
        <v>25.877846596949897</v>
      </c>
      <c r="K42" s="17">
        <f ca="1">-SUMIF('CF (Funds)'!$C$4:$E$2011,C42,'CF (Funds)'!$E$4:$E$2011)</f>
        <v>15.922439021640404</v>
      </c>
      <c r="L42" s="17">
        <f>'8. NewSpace'!P22*10^-6*NAV!K22</f>
        <v>12.368992537830598</v>
      </c>
      <c r="M42" s="17">
        <f>SUM('CF (Funds)'!F38:F61)</f>
        <v>3.4194690781652</v>
      </c>
      <c r="N42" s="17">
        <f>VLOOKUP(C42,NAV!$B$4:$E$44,4,0)</f>
        <v>21.613971432657998</v>
      </c>
      <c r="O42" s="17">
        <f t="shared" ref="O42:O46" ca="1" si="13">N42+M42-K42</f>
        <v>9.1110014891827937</v>
      </c>
      <c r="P42" s="10">
        <f ca="1">(M42+N42)/K42</f>
        <v>1.5722114229358899</v>
      </c>
      <c r="Q42" s="2"/>
      <c r="R42" s="229"/>
    </row>
    <row r="43" spans="2:18" x14ac:dyDescent="0.25">
      <c r="B43" s="81"/>
      <c r="C43" s="4" t="s">
        <v>343</v>
      </c>
      <c r="D43" s="2" t="s">
        <v>78</v>
      </c>
      <c r="E43" s="2" t="s">
        <v>62</v>
      </c>
      <c r="F43" s="2" t="s">
        <v>610</v>
      </c>
      <c r="G43" s="6">
        <v>2023</v>
      </c>
      <c r="H43" s="2" t="s">
        <v>54</v>
      </c>
      <c r="I43" s="105" t="s">
        <v>124</v>
      </c>
      <c r="J43" s="17">
        <f>2.3/0.85</f>
        <v>2.7058823529411762</v>
      </c>
      <c r="K43" s="17">
        <v>2.7058823529411762</v>
      </c>
      <c r="L43" s="17">
        <v>0</v>
      </c>
      <c r="M43" s="17">
        <v>0</v>
      </c>
      <c r="N43" s="17">
        <f ca="1">VLOOKUP(C43,NAV!$B$4:$E$44,4,0)</f>
        <v>3.673109615751482</v>
      </c>
      <c r="O43" s="17">
        <f t="shared" ca="1" si="13"/>
        <v>0.9672272628103058</v>
      </c>
      <c r="P43" s="10">
        <f ca="1">(M43+N43)/K43</f>
        <v>1.3574535536472869</v>
      </c>
      <c r="Q43" s="94"/>
      <c r="R43" s="229"/>
    </row>
    <row r="44" spans="2:18" x14ac:dyDescent="0.25">
      <c r="B44" s="81"/>
      <c r="C44" s="4" t="s">
        <v>1</v>
      </c>
      <c r="D44" s="2" t="s">
        <v>78</v>
      </c>
      <c r="E44" s="2" t="s">
        <v>63</v>
      </c>
      <c r="F44" s="2" t="s">
        <v>610</v>
      </c>
      <c r="G44" s="6">
        <v>2020</v>
      </c>
      <c r="H44" s="2" t="s">
        <v>54</v>
      </c>
      <c r="I44" s="105" t="s">
        <v>124</v>
      </c>
      <c r="J44" s="17">
        <f ca="1">K44+L44</f>
        <v>83.630349999999979</v>
      </c>
      <c r="K44" s="17">
        <f ca="1">-SUMIF('CF (Funds)'!$C$4:$E$2011,C44,'CF (Funds)'!$E$4:$E$2011)</f>
        <v>83.270349999999979</v>
      </c>
      <c r="L44" s="17">
        <f>0.12*3</f>
        <v>0.36</v>
      </c>
      <c r="M44" s="17">
        <f>SUM('CF (Funds)'!F26:'CF (Funds)'!F36)</f>
        <v>7.8158709999999996</v>
      </c>
      <c r="N44" s="17">
        <f>VLOOKUP(C44,NAV!$B$4:$E$44,4,0)</f>
        <v>91.324445999999995</v>
      </c>
      <c r="O44" s="17">
        <f t="shared" ca="1" si="13"/>
        <v>15.869967000000017</v>
      </c>
      <c r="P44" s="10">
        <f ca="1">(M44+N44)/K44</f>
        <v>1.190583647120494</v>
      </c>
      <c r="Q44" s="2"/>
      <c r="R44" s="229"/>
    </row>
    <row r="45" spans="2:18" x14ac:dyDescent="0.25">
      <c r="B45" s="81"/>
      <c r="C45" s="4" t="s">
        <v>12</v>
      </c>
      <c r="D45" s="2" t="s">
        <v>79</v>
      </c>
      <c r="E45" s="2" t="s">
        <v>63</v>
      </c>
      <c r="F45" s="2" t="s">
        <v>610</v>
      </c>
      <c r="G45" s="6">
        <v>2020</v>
      </c>
      <c r="H45" s="2" t="s">
        <v>54</v>
      </c>
      <c r="I45" s="105" t="s">
        <v>124</v>
      </c>
      <c r="J45" s="17">
        <v>50</v>
      </c>
      <c r="K45" s="17">
        <f ca="1">-SUMIF('CF (Funds)'!$C$4:$E$2011,C45,'CF (Funds)'!$E$4:$E$2011)</f>
        <v>24.959693000000001</v>
      </c>
      <c r="L45" s="17">
        <v>0</v>
      </c>
      <c r="M45" s="17">
        <f>SUM('CF (Funds)'!F4:F21)</f>
        <v>25.403521350000002</v>
      </c>
      <c r="N45" s="17">
        <f>VLOOKUP(C45,NAV!$B$4:$E$44,4,0)</f>
        <v>0</v>
      </c>
      <c r="O45" s="17">
        <f ca="1">N45+M45-K45</f>
        <v>0.44382835000000043</v>
      </c>
      <c r="P45" s="10">
        <f ca="1">(M45+N45)/K45</f>
        <v>1.0177818032457371</v>
      </c>
      <c r="Q45" s="94"/>
      <c r="R45" s="229"/>
    </row>
    <row r="46" spans="2:18" ht="17.25" x14ac:dyDescent="0.25">
      <c r="B46" s="81"/>
      <c r="C46" s="4" t="s">
        <v>164</v>
      </c>
      <c r="D46" s="2" t="s">
        <v>78</v>
      </c>
      <c r="E46" s="2" t="s">
        <v>64</v>
      </c>
      <c r="F46" s="2" t="s">
        <v>610</v>
      </c>
      <c r="G46" s="6">
        <v>2021</v>
      </c>
      <c r="H46" s="2" t="s">
        <v>54</v>
      </c>
      <c r="I46" s="105">
        <v>0.33</v>
      </c>
      <c r="J46" s="17">
        <v>17.112500000000001</v>
      </c>
      <c r="K46" s="17">
        <f ca="1">-SUMIF('CF (Funds)'!$C$4:$E$2011,C46,'CF (Funds)'!$E$4:$E$2011)</f>
        <v>14.0151375</v>
      </c>
      <c r="L46" s="17">
        <f ca="1">J46-K46</f>
        <v>3.0973625000000009</v>
      </c>
      <c r="M46" s="17">
        <v>0</v>
      </c>
      <c r="N46" s="17">
        <f>VLOOKUP(C46,NAV!$B$4:$E$44,4,0)</f>
        <v>10.875211999999999</v>
      </c>
      <c r="O46" s="17">
        <f t="shared" ca="1" si="13"/>
        <v>-3.1399255000000004</v>
      </c>
      <c r="P46" s="10">
        <f ca="1">(M46+N46)/K46</f>
        <v>0.77596184839428084</v>
      </c>
      <c r="Q46" s="2" t="s">
        <v>435</v>
      </c>
      <c r="R46" s="229"/>
    </row>
    <row r="47" spans="2:18" s="85" customFormat="1" x14ac:dyDescent="0.25">
      <c r="B47" s="83"/>
      <c r="C47" s="9"/>
      <c r="D47" s="9"/>
      <c r="E47" s="9"/>
      <c r="F47" s="9"/>
      <c r="G47" s="9"/>
      <c r="H47" s="9"/>
      <c r="I47" s="108"/>
      <c r="J47" s="18">
        <f ca="1">SUM(J42:J46)</f>
        <v>179.32657894989106</v>
      </c>
      <c r="K47" s="18">
        <f ca="1">SUM(K42:K46)</f>
        <v>140.87350187458156</v>
      </c>
      <c r="L47" s="18">
        <f ca="1">SUM(L42:L46)</f>
        <v>15.826355037830599</v>
      </c>
      <c r="M47" s="18">
        <f>SUM(M42:M46)</f>
        <v>36.6388614281652</v>
      </c>
      <c r="N47" s="9">
        <f ca="1">SUM(N42:N46)</f>
        <v>127.48673904840948</v>
      </c>
      <c r="O47" s="18">
        <f ca="1">N47+M47-K47</f>
        <v>23.252098601993112</v>
      </c>
      <c r="P47" s="11">
        <f t="shared" ref="P47:P49" ca="1" si="14">(M47+N47)/K47</f>
        <v>1.1650565812064093</v>
      </c>
      <c r="Q47" s="9"/>
      <c r="R47" s="287"/>
    </row>
    <row r="48" spans="2:18" s="85" customFormat="1" x14ac:dyDescent="0.25">
      <c r="B48" s="83"/>
      <c r="C48" s="181"/>
      <c r="D48" s="181"/>
      <c r="E48" s="181"/>
      <c r="F48" s="181"/>
      <c r="G48" s="181"/>
      <c r="H48" s="181"/>
      <c r="I48" s="107"/>
      <c r="J48" s="182"/>
      <c r="K48" s="182"/>
      <c r="L48" s="182"/>
      <c r="M48" s="182"/>
      <c r="N48" s="182"/>
      <c r="O48" s="182"/>
      <c r="P48" s="183"/>
      <c r="Q48" s="181"/>
      <c r="R48" s="287"/>
    </row>
    <row r="49" spans="2:19" s="85" customFormat="1" x14ac:dyDescent="0.25">
      <c r="B49" s="83"/>
      <c r="C49" s="184" t="s">
        <v>56</v>
      </c>
      <c r="D49" s="177"/>
      <c r="E49" s="177"/>
      <c r="F49" s="177"/>
      <c r="G49" s="177"/>
      <c r="H49" s="177"/>
      <c r="I49" s="178"/>
      <c r="J49" s="179">
        <f ca="1">J33+J39+J47</f>
        <v>2341.8753693227345</v>
      </c>
      <c r="K49" s="179">
        <f ca="1">K33+K39+K47</f>
        <v>2299.672292247425</v>
      </c>
      <c r="L49" s="179">
        <f ca="1">L33+L39+L47</f>
        <v>19.576355037830599</v>
      </c>
      <c r="M49" s="179">
        <f ca="1">M33+M39+M47</f>
        <v>1280.3518386081653</v>
      </c>
      <c r="N49" s="179">
        <f ca="1">N33+N39+N47</f>
        <v>899.52998260278514</v>
      </c>
      <c r="O49" s="179">
        <f ca="1">N49+M49-K49</f>
        <v>-119.79047103647463</v>
      </c>
      <c r="P49" s="180">
        <f t="shared" ca="1" si="14"/>
        <v>0.94790976460415333</v>
      </c>
      <c r="Q49" s="177"/>
      <c r="R49" s="287"/>
    </row>
    <row r="50" spans="2:19" s="217" customFormat="1" ht="15.75" thickBot="1" x14ac:dyDescent="0.3">
      <c r="B50" s="210"/>
      <c r="C50" s="211"/>
      <c r="D50" s="212"/>
      <c r="E50" s="212"/>
      <c r="F50" s="212"/>
      <c r="G50" s="212"/>
      <c r="H50" s="212"/>
      <c r="I50" s="213"/>
      <c r="J50" s="214"/>
      <c r="K50" s="214"/>
      <c r="L50" s="214"/>
      <c r="M50" s="214"/>
      <c r="N50" s="214"/>
      <c r="O50" s="214"/>
      <c r="P50" s="215"/>
      <c r="Q50" s="212"/>
      <c r="R50" s="288"/>
    </row>
    <row r="51" spans="2:19" x14ac:dyDescent="0.25">
      <c r="I51" s="91"/>
    </row>
    <row r="52" spans="2:19" x14ac:dyDescent="0.25">
      <c r="C52" s="187" t="s">
        <v>146</v>
      </c>
      <c r="D52" s="109"/>
      <c r="E52" s="110"/>
      <c r="F52" s="111"/>
      <c r="G52" s="111"/>
      <c r="H52" s="111"/>
      <c r="I52" s="111"/>
      <c r="J52" s="111"/>
      <c r="K52" s="111"/>
      <c r="L52" s="111"/>
      <c r="M52" s="111"/>
      <c r="N52" s="111"/>
      <c r="O52" s="111"/>
      <c r="P52" s="111"/>
      <c r="Q52" s="111"/>
    </row>
    <row r="53" spans="2:19" x14ac:dyDescent="0.25">
      <c r="C53" s="72" t="s">
        <v>211</v>
      </c>
      <c r="G53" s="122"/>
      <c r="K53" s="188"/>
      <c r="N53" s="95"/>
      <c r="O53" s="95"/>
      <c r="Q53" s="95"/>
    </row>
    <row r="54" spans="2:19" x14ac:dyDescent="0.25">
      <c r="C54" s="71" t="s">
        <v>212</v>
      </c>
      <c r="N54" s="95"/>
      <c r="O54" s="95"/>
      <c r="Q54" s="95"/>
    </row>
    <row r="55" spans="2:19" x14ac:dyDescent="0.25">
      <c r="C55" s="71" t="s">
        <v>214</v>
      </c>
      <c r="N55" s="95"/>
      <c r="O55" s="95"/>
      <c r="Q55" s="95"/>
    </row>
    <row r="56" spans="2:19" x14ac:dyDescent="0.25">
      <c r="C56" s="71" t="s">
        <v>433</v>
      </c>
      <c r="N56" s="95"/>
      <c r="O56" s="95"/>
      <c r="Q56" s="95"/>
    </row>
    <row r="57" spans="2:19" x14ac:dyDescent="0.25">
      <c r="C57" s="71" t="s">
        <v>437</v>
      </c>
      <c r="N57" s="95"/>
      <c r="O57" s="95"/>
      <c r="Q57" s="95"/>
    </row>
    <row r="58" spans="2:19" x14ac:dyDescent="0.25">
      <c r="C58" s="72" t="s">
        <v>436</v>
      </c>
      <c r="N58" s="95"/>
      <c r="O58" s="95"/>
      <c r="Q58" s="95"/>
    </row>
    <row r="59" spans="2:19" x14ac:dyDescent="0.25">
      <c r="C59" s="72" t="s">
        <v>537</v>
      </c>
      <c r="N59" s="95"/>
      <c r="O59" s="95"/>
      <c r="Q59" s="95"/>
    </row>
    <row r="60" spans="2:19" x14ac:dyDescent="0.25">
      <c r="C60" s="72" t="s">
        <v>290</v>
      </c>
      <c r="N60" s="95"/>
      <c r="O60" s="95"/>
      <c r="Q60" s="95"/>
      <c r="R60" s="289"/>
      <c r="S60" s="263"/>
    </row>
    <row r="61" spans="2:19" x14ac:dyDescent="0.25">
      <c r="C61" s="72"/>
      <c r="N61" s="95"/>
      <c r="O61" s="95"/>
      <c r="Q61" s="95"/>
      <c r="R61" s="289"/>
      <c r="S61" s="263"/>
    </row>
    <row r="62" spans="2:19" x14ac:dyDescent="0.25">
      <c r="C62" s="187" t="s">
        <v>617</v>
      </c>
      <c r="D62" s="109"/>
      <c r="E62" s="110"/>
      <c r="F62" s="111"/>
      <c r="G62" s="111"/>
      <c r="H62" s="111"/>
      <c r="I62" s="110"/>
      <c r="J62" s="111"/>
      <c r="K62" s="111"/>
      <c r="L62" s="111"/>
      <c r="M62" s="111"/>
      <c r="N62" s="111"/>
      <c r="O62" s="111"/>
      <c r="P62" s="111"/>
      <c r="Q62" s="111"/>
      <c r="R62" s="289"/>
      <c r="S62" s="263"/>
    </row>
    <row r="63" spans="2:19" x14ac:dyDescent="0.25">
      <c r="C63" s="72" t="s">
        <v>288</v>
      </c>
      <c r="N63" s="95"/>
      <c r="O63" s="95"/>
      <c r="Q63" s="95"/>
      <c r="R63" s="289"/>
      <c r="S63" s="263"/>
    </row>
    <row r="64" spans="2:19" x14ac:dyDescent="0.25">
      <c r="C64" s="218" t="s">
        <v>289</v>
      </c>
      <c r="N64" s="95"/>
      <c r="O64" s="95"/>
      <c r="Q64" s="95"/>
    </row>
    <row r="65" spans="3:17" x14ac:dyDescent="0.25">
      <c r="C65" s="27"/>
      <c r="N65" s="95"/>
      <c r="O65" s="95"/>
      <c r="Q65" s="95"/>
    </row>
    <row r="66" spans="3:17" x14ac:dyDescent="0.25">
      <c r="C66" s="187" t="s">
        <v>613</v>
      </c>
      <c r="D66" s="109"/>
      <c r="E66" s="110"/>
      <c r="F66" s="111"/>
      <c r="G66" s="111"/>
      <c r="H66" s="111"/>
      <c r="I66" s="110"/>
      <c r="J66" s="111"/>
      <c r="K66" s="111"/>
      <c r="L66" s="111"/>
      <c r="M66" s="111"/>
      <c r="N66" s="111"/>
      <c r="O66" s="111"/>
      <c r="P66" s="111"/>
      <c r="Q66" s="111"/>
    </row>
    <row r="67" spans="3:17" x14ac:dyDescent="0.25">
      <c r="C67" s="13" t="s">
        <v>614</v>
      </c>
      <c r="N67" s="95"/>
      <c r="O67" s="95"/>
      <c r="Q67" s="95"/>
    </row>
    <row r="68" spans="3:17" x14ac:dyDescent="0.25">
      <c r="C68" s="13" t="s">
        <v>615</v>
      </c>
      <c r="N68" s="95"/>
      <c r="O68" s="95"/>
      <c r="Q68" s="95"/>
    </row>
    <row r="69" spans="3:17" x14ac:dyDescent="0.25">
      <c r="C69" s="13" t="s">
        <v>283</v>
      </c>
      <c r="N69" s="95"/>
      <c r="O69" s="95"/>
      <c r="Q69" s="95"/>
    </row>
    <row r="70" spans="3:17" x14ac:dyDescent="0.25">
      <c r="C70" s="13" t="s">
        <v>616</v>
      </c>
      <c r="N70" s="95"/>
      <c r="O70" s="95"/>
      <c r="Q70" s="95"/>
    </row>
    <row r="71" spans="3:17" x14ac:dyDescent="0.25">
      <c r="C71" s="13"/>
      <c r="N71" s="95"/>
      <c r="O71" s="95"/>
      <c r="Q71" s="95"/>
    </row>
    <row r="72" spans="3:17" x14ac:dyDescent="0.25">
      <c r="C72" s="72" t="s">
        <v>284</v>
      </c>
      <c r="N72" s="95"/>
      <c r="O72" s="95"/>
      <c r="Q72" s="95"/>
    </row>
    <row r="73" spans="3:17" x14ac:dyDescent="0.25">
      <c r="C73" s="13" t="s">
        <v>285</v>
      </c>
      <c r="N73" s="95"/>
      <c r="O73" s="95"/>
      <c r="Q73" s="95"/>
    </row>
    <row r="74" spans="3:17" x14ac:dyDescent="0.25">
      <c r="C74" s="72" t="s">
        <v>286</v>
      </c>
      <c r="N74" s="95"/>
      <c r="O74" s="95"/>
      <c r="Q74" s="95"/>
    </row>
    <row r="75" spans="3:17" x14ac:dyDescent="0.25">
      <c r="C75" s="72" t="s">
        <v>287</v>
      </c>
      <c r="P75" s="27"/>
    </row>
    <row r="76" spans="3:17" x14ac:dyDescent="0.25">
      <c r="C76" s="72" t="s">
        <v>611</v>
      </c>
      <c r="P76" s="27"/>
    </row>
    <row r="77" spans="3:17" x14ac:dyDescent="0.25">
      <c r="C77" s="26"/>
      <c r="P77" s="27"/>
    </row>
    <row r="78" spans="3:17" x14ac:dyDescent="0.25">
      <c r="C78" s="187" t="s">
        <v>147</v>
      </c>
      <c r="D78" s="109"/>
      <c r="E78" s="110"/>
      <c r="F78" s="111"/>
      <c r="G78" s="111"/>
      <c r="H78" s="111"/>
      <c r="I78" s="110"/>
      <c r="J78" s="111"/>
      <c r="K78" s="111"/>
      <c r="L78" s="111"/>
      <c r="M78" s="111"/>
      <c r="N78" s="111"/>
      <c r="O78" s="111"/>
      <c r="P78" s="111"/>
      <c r="Q78" s="111"/>
    </row>
    <row r="79" spans="3:17" x14ac:dyDescent="0.25">
      <c r="C79" s="13" t="s">
        <v>247</v>
      </c>
      <c r="P79" s="27"/>
    </row>
    <row r="80" spans="3:17" x14ac:dyDescent="0.25">
      <c r="C80" s="13" t="s">
        <v>140</v>
      </c>
      <c r="P80" s="27"/>
    </row>
    <row r="81" spans="3:9" x14ac:dyDescent="0.25">
      <c r="C81" s="72" t="s">
        <v>213</v>
      </c>
      <c r="I81" s="72"/>
    </row>
    <row r="82" spans="3:9" x14ac:dyDescent="0.25">
      <c r="H82" s="163"/>
      <c r="I82" s="72"/>
    </row>
    <row r="83" spans="3:9" x14ac:dyDescent="0.25">
      <c r="H83" s="72"/>
      <c r="I83" s="72"/>
    </row>
    <row r="84" spans="3:9" x14ac:dyDescent="0.25">
      <c r="C84" s="72"/>
      <c r="E84" s="72"/>
      <c r="H84" s="72"/>
      <c r="I84" s="72"/>
    </row>
    <row r="85" spans="3:9" x14ac:dyDescent="0.25">
      <c r="C85" s="27"/>
      <c r="H85" s="72"/>
      <c r="I85" s="72"/>
    </row>
    <row r="86" spans="3:9" x14ac:dyDescent="0.25">
      <c r="C86" s="27"/>
    </row>
    <row r="87" spans="3:9" x14ac:dyDescent="0.25">
      <c r="F87" s="72"/>
    </row>
  </sheetData>
  <pageMargins left="0.7" right="0.7" top="0.75" bottom="0.75" header="0.3" footer="0.3"/>
  <pageSetup paperSize="9" scale="25" orientation="portrait" verticalDpi="0" r:id="rId1"/>
  <ignoredErrors>
    <ignoredError sqref="J43"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zoomScale="70" zoomScaleNormal="90" zoomScaleSheetLayoutView="70" workbookViewId="0"/>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5"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9"/>
      <c r="D1" s="159"/>
    </row>
    <row r="2" spans="2:23" ht="15.75" thickBot="1" x14ac:dyDescent="0.3">
      <c r="C2" s="185" t="s">
        <v>170</v>
      </c>
      <c r="D2" s="186">
        <f>'D1'!D2</f>
        <v>45565</v>
      </c>
      <c r="F2" s="26"/>
      <c r="G2" s="26"/>
      <c r="H2" s="26"/>
      <c r="I2" s="26"/>
      <c r="J2" s="26"/>
      <c r="K2" s="26"/>
      <c r="L2" s="26"/>
      <c r="M2" s="26"/>
      <c r="N2" s="26"/>
      <c r="O2" s="26"/>
      <c r="P2" s="26"/>
      <c r="Q2" s="26"/>
      <c r="R2" s="26"/>
      <c r="S2" s="26"/>
    </row>
    <row r="3" spans="2:23" ht="21.75" customHeight="1" thickBot="1" x14ac:dyDescent="0.3">
      <c r="C3" s="159"/>
      <c r="D3" s="159"/>
    </row>
    <row r="4" spans="2:23" x14ac:dyDescent="0.25">
      <c r="B4" s="73"/>
      <c r="C4" s="74"/>
      <c r="D4" s="74"/>
      <c r="E4" s="75"/>
      <c r="F4" s="75"/>
      <c r="G4" s="75"/>
      <c r="H4" s="75"/>
      <c r="I4" s="75"/>
      <c r="J4" s="75"/>
      <c r="K4" s="75"/>
      <c r="L4" s="75"/>
      <c r="M4" s="75"/>
      <c r="N4" s="75"/>
      <c r="O4" s="75"/>
      <c r="P4" s="75"/>
      <c r="Q4" s="75"/>
      <c r="R4" s="161"/>
      <c r="S4" s="75"/>
      <c r="T4" s="77"/>
    </row>
    <row r="5" spans="2:23" s="217" customFormat="1" x14ac:dyDescent="0.25">
      <c r="B5" s="236"/>
      <c r="C5" s="237"/>
      <c r="D5" s="237"/>
      <c r="E5" s="238">
        <v>2</v>
      </c>
      <c r="F5" s="238">
        <v>3</v>
      </c>
      <c r="G5" s="238">
        <v>4</v>
      </c>
      <c r="H5" s="238">
        <v>5</v>
      </c>
      <c r="I5" s="238">
        <v>6</v>
      </c>
      <c r="J5" s="238">
        <v>7</v>
      </c>
      <c r="K5" s="238">
        <v>8</v>
      </c>
      <c r="L5" s="238">
        <v>9</v>
      </c>
      <c r="M5" s="238">
        <v>10</v>
      </c>
      <c r="N5" s="238">
        <v>11</v>
      </c>
      <c r="O5" s="238">
        <v>12</v>
      </c>
      <c r="P5" s="238">
        <v>13</v>
      </c>
      <c r="Q5" s="238"/>
      <c r="R5" s="238">
        <v>14</v>
      </c>
      <c r="S5" s="238">
        <v>15</v>
      </c>
      <c r="T5" s="239"/>
    </row>
    <row r="6" spans="2:23"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408</v>
      </c>
      <c r="R6" s="1" t="s">
        <v>34</v>
      </c>
      <c r="S6" s="1" t="s">
        <v>448</v>
      </c>
      <c r="T6" s="79"/>
    </row>
    <row r="7" spans="2:23" ht="15.75" thickBot="1" x14ac:dyDescent="0.3">
      <c r="B7" s="81"/>
      <c r="C7" s="5"/>
      <c r="D7" s="5"/>
      <c r="E7" s="8"/>
      <c r="F7" s="8"/>
      <c r="G7" s="8"/>
      <c r="H7" s="8"/>
      <c r="I7" s="8" t="s">
        <v>84</v>
      </c>
      <c r="J7" s="8" t="s">
        <v>53</v>
      </c>
      <c r="K7" s="8" t="s">
        <v>273</v>
      </c>
      <c r="L7" s="8" t="s">
        <v>273</v>
      </c>
      <c r="M7" s="8" t="s">
        <v>273</v>
      </c>
      <c r="N7" s="8" t="s">
        <v>273</v>
      </c>
      <c r="O7" s="8" t="s">
        <v>273</v>
      </c>
      <c r="P7" s="8" t="s">
        <v>273</v>
      </c>
      <c r="Q7" s="8"/>
      <c r="R7" s="12" t="s">
        <v>274</v>
      </c>
      <c r="S7" s="8"/>
      <c r="T7" s="82"/>
      <c r="V7" s="276"/>
      <c r="W7" s="276"/>
    </row>
    <row r="8" spans="2:23" x14ac:dyDescent="0.25">
      <c r="B8" s="81"/>
      <c r="C8" s="514" t="s">
        <v>604</v>
      </c>
      <c r="D8" s="424"/>
      <c r="E8" s="425"/>
      <c r="F8" s="425"/>
      <c r="G8" s="425"/>
      <c r="H8" s="425"/>
      <c r="I8" s="426"/>
      <c r="J8" s="427"/>
      <c r="K8" s="428"/>
      <c r="L8" s="428"/>
      <c r="M8" s="428"/>
      <c r="N8" s="428"/>
      <c r="O8" s="428"/>
      <c r="P8" s="428"/>
      <c r="Q8" s="428"/>
      <c r="R8" s="429"/>
      <c r="S8" s="425"/>
      <c r="T8" s="82"/>
    </row>
    <row r="9" spans="2:23" ht="17.25" x14ac:dyDescent="0.25">
      <c r="B9" s="81"/>
      <c r="C9" s="4" t="s">
        <v>420</v>
      </c>
      <c r="D9" s="44" t="s">
        <v>292</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434</v>
      </c>
      <c r="T9" s="82"/>
    </row>
    <row r="10" spans="2:23" x14ac:dyDescent="0.25">
      <c r="B10" s="81"/>
      <c r="C10" s="4" t="s">
        <v>409</v>
      </c>
      <c r="D10" s="44" t="s">
        <v>292</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118.21249999999999</v>
      </c>
      <c r="P10" s="17">
        <f ca="1">VLOOKUP($C10,'9. All deals (a)'!$C$6:$Q$49,P$5,0)</f>
        <v>118.205625</v>
      </c>
      <c r="Q10" s="17" t="s">
        <v>124</v>
      </c>
      <c r="R10" s="10" t="str">
        <f>VLOOKUP($C10,'9. All deals (a)'!$C$6:$Q$49,R$5,0)</f>
        <v>NM</v>
      </c>
      <c r="S10" s="2"/>
      <c r="T10" s="82"/>
    </row>
    <row r="11" spans="2:23" x14ac:dyDescent="0.25">
      <c r="B11" s="81"/>
      <c r="C11" s="4" t="s">
        <v>344</v>
      </c>
      <c r="D11" s="44" t="s">
        <v>292</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3" x14ac:dyDescent="0.25">
      <c r="B12" s="81"/>
      <c r="C12" s="4" t="s">
        <v>275</v>
      </c>
      <c r="D12" s="44" t="s">
        <v>292</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c r="W12" s="365"/>
    </row>
    <row r="13" spans="2:23" x14ac:dyDescent="0.25">
      <c r="B13" s="81"/>
      <c r="C13" s="4" t="s">
        <v>246</v>
      </c>
      <c r="D13" s="44" t="s">
        <v>292</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c r="W13" s="365"/>
    </row>
    <row r="14" spans="2:23" x14ac:dyDescent="0.25">
      <c r="B14" s="81"/>
      <c r="C14" s="499" t="s">
        <v>70</v>
      </c>
      <c r="D14" s="500" t="s">
        <v>292</v>
      </c>
      <c r="E14" s="501" t="str">
        <f>VLOOKUP($C14,'9. All deals (a)'!$C$6:$Q$49,E$5,0)</f>
        <v>Realized</v>
      </c>
      <c r="F14" s="501" t="str">
        <f>VLOOKUP($C14,'9. All deals (a)'!$C$6:$Q$49,F$5,0)</f>
        <v>Elaine</v>
      </c>
      <c r="G14" s="501" t="str">
        <f>VLOOKUP($C14,'9. All deals (a)'!$C$6:$Q$49,G$5,0)</f>
        <v>Mozn 2</v>
      </c>
      <c r="H14" s="502">
        <f>VLOOKUP($C14,'9. All deals (a)'!$C$6:$Q$49,H$5,0)</f>
        <v>2022</v>
      </c>
      <c r="I14" s="502" t="str">
        <f>VLOOKUP($C14,'9. All deals (a)'!$C$6:$Q$49,I$5,0)</f>
        <v>Equity-TBC</v>
      </c>
      <c r="J14" s="503">
        <f>VLOOKUP($C14,'9. All deals (a)'!$C$6:$Q$49,J$5,0)</f>
        <v>5.1000000000000004E-2</v>
      </c>
      <c r="K14" s="504">
        <f ca="1">VLOOKUP($C14,'9. All deals (a)'!$C$6:$Q$49,K$5,0)</f>
        <v>493.50095619999996</v>
      </c>
      <c r="L14" s="504">
        <f ca="1">VLOOKUP($C14,'9. All deals (a)'!$C$6:$Q$49,L$5,0)</f>
        <v>493.50095619999996</v>
      </c>
      <c r="M14" s="504">
        <f>VLOOKUP($C14,'9. All deals (a)'!$C$6:$Q$49,M$5,0)</f>
        <v>0</v>
      </c>
      <c r="N14" s="504">
        <f ca="1">VLOOKUP($C14,'9. All deals (a)'!$C$6:$Q$49,N$5,0)</f>
        <v>403</v>
      </c>
      <c r="O14" s="504">
        <f>VLOOKUP($C14,'9. All deals (a)'!$C$6:$Q$49,O$5,0)</f>
        <v>0</v>
      </c>
      <c r="P14" s="504">
        <f ca="1">VLOOKUP($C14,'9. All deals (a)'!$C$6:$Q$49,P$5,0)</f>
        <v>-90.500956199999962</v>
      </c>
      <c r="Q14" s="504">
        <v>-64.391000000000005</v>
      </c>
      <c r="R14" s="505">
        <f ca="1">VLOOKUP($C14,'9. All deals (a)'!$C$6:$Q$49,R$5,0)</f>
        <v>0.81661442584252486</v>
      </c>
      <c r="S14" s="501" t="s">
        <v>607</v>
      </c>
      <c r="T14" s="82"/>
      <c r="W14" s="365"/>
    </row>
    <row r="15" spans="2:23" x14ac:dyDescent="0.25">
      <c r="B15" s="81"/>
      <c r="C15" s="499" t="s">
        <v>248</v>
      </c>
      <c r="D15" s="500" t="s">
        <v>293</v>
      </c>
      <c r="E15" s="501" t="str">
        <f>VLOOKUP($C15,'9. All deals (a)'!$C$6:$Q$49,E$5,0)</f>
        <v>Written-off</v>
      </c>
      <c r="F15" s="501" t="str">
        <f>VLOOKUP($C15,'9. All deals (a)'!$C$6:$Q$49,F$5,0)</f>
        <v>Elaine</v>
      </c>
      <c r="G15" s="501" t="str">
        <f>VLOOKUP($C15,'9. All deals (a)'!$C$6:$Q$49,G$5,0)</f>
        <v>Mozn</v>
      </c>
      <c r="H15" s="502">
        <f>VLOOKUP($C15,'9. All deals (a)'!$C$6:$Q$49,H$5,0)</f>
        <v>2021</v>
      </c>
      <c r="I15" s="502" t="str">
        <f>VLOOKUP($C15,'9. All deals (a)'!$C$6:$Q$49,I$5,0)</f>
        <v xml:space="preserve">Loan </v>
      </c>
      <c r="J15" s="503" t="str">
        <f>VLOOKUP($C15,'9. All deals (a)'!$C$6:$Q$49,J$5,0)</f>
        <v>n/a</v>
      </c>
      <c r="K15" s="504">
        <f>VLOOKUP($C15,'9. All deals (a)'!$C$6:$Q$49,K$5,0)</f>
        <v>2.3539819999999998</v>
      </c>
      <c r="L15" s="504">
        <f>VLOOKUP($C15,'9. All deals (a)'!$C$6:$Q$49,L$5,0)</f>
        <v>2.3539819999999998</v>
      </c>
      <c r="M15" s="504">
        <f>VLOOKUP($C15,'9. All deals (a)'!$C$6:$Q$49,M$5,0)</f>
        <v>0</v>
      </c>
      <c r="N15" s="504">
        <f>VLOOKUP($C15,'9. All deals (a)'!$C$6:$Q$49,N$5,0)</f>
        <v>0</v>
      </c>
      <c r="O15" s="504">
        <f>VLOOKUP($C15,'9. All deals (a)'!$C$6:$Q$49,O$5,0)</f>
        <v>0</v>
      </c>
      <c r="P15" s="504">
        <f>VLOOKUP($C15,'9. All deals (a)'!$C$6:$Q$49,P$5,0)</f>
        <v>-2.3539819999999998</v>
      </c>
      <c r="Q15" s="504">
        <v>0</v>
      </c>
      <c r="R15" s="505">
        <f>VLOOKUP($C15,'9. All deals (a)'!$C$6:$Q$49,R$5,0)</f>
        <v>0</v>
      </c>
      <c r="S15" s="501" t="s">
        <v>443</v>
      </c>
      <c r="T15" s="82"/>
      <c r="W15" s="365"/>
    </row>
    <row r="16" spans="2:23" x14ac:dyDescent="0.25">
      <c r="B16" s="81"/>
      <c r="C16" s="499" t="s">
        <v>240</v>
      </c>
      <c r="D16" s="500" t="s">
        <v>293</v>
      </c>
      <c r="E16" s="501" t="str">
        <f>VLOOKUP($C16,'9. All deals (a)'!$C$6:$Q$49,E$5,0)</f>
        <v>Realized</v>
      </c>
      <c r="F16" s="501" t="str">
        <f>VLOOKUP($C16,'9. All deals (a)'!$C$6:$Q$49,F$5,0)</f>
        <v>Sushil</v>
      </c>
      <c r="G16" s="501" t="str">
        <f>VLOOKUP($C16,'9. All deals (a)'!$C$6:$Q$49,G$5,0)</f>
        <v>Mozn</v>
      </c>
      <c r="H16" s="502">
        <f>VLOOKUP($C16,'9. All deals (a)'!$C$6:$Q$49,H$5,0)</f>
        <v>2021</v>
      </c>
      <c r="I16" s="502" t="str">
        <f>VLOOKUP($C16,'9. All deals (a)'!$C$6:$Q$49,I$5,0)</f>
        <v xml:space="preserve">Loan </v>
      </c>
      <c r="J16" s="503" t="str">
        <f>VLOOKUP($C16,'9. All deals (a)'!$C$6:$Q$49,J$5,0)</f>
        <v>n/a</v>
      </c>
      <c r="K16" s="504">
        <f>VLOOKUP($C16,'9. All deals (a)'!$C$6:$Q$49,K$5,0)</f>
        <v>0.41176499999999999</v>
      </c>
      <c r="L16" s="504">
        <f>VLOOKUP($C16,'9. All deals (a)'!$C$6:$Q$49,L$5,0)</f>
        <v>0.41176499999999999</v>
      </c>
      <c r="M16" s="504">
        <f>VLOOKUP($C16,'9. All deals (a)'!$C$6:$Q$49,M$5,0)</f>
        <v>0</v>
      </c>
      <c r="N16" s="504">
        <f>VLOOKUP($C16,'9. All deals (a)'!$C$6:$Q$49,N$5,0)</f>
        <v>0.47078465000000003</v>
      </c>
      <c r="O16" s="504">
        <f>VLOOKUP($C16,'9. All deals (a)'!$C$6:$Q$49,O$5,0)</f>
        <v>0</v>
      </c>
      <c r="P16" s="504">
        <f>VLOOKUP($C16,'9. All deals (a)'!$C$6:$Q$49,P$5,0)</f>
        <v>5.9019650000000035E-2</v>
      </c>
      <c r="Q16" s="504">
        <v>5.9019650000000035E-2</v>
      </c>
      <c r="R16" s="505">
        <f>VLOOKUP($C16,'9. All deals (a)'!$C$6:$Q$49,R$5,0)</f>
        <v>1.1433333333333333</v>
      </c>
      <c r="S16" s="501" t="s">
        <v>607</v>
      </c>
      <c r="T16" s="82"/>
      <c r="W16" s="154"/>
    </row>
    <row r="17" spans="2:20" x14ac:dyDescent="0.25">
      <c r="B17" s="81"/>
      <c r="C17" s="499" t="s">
        <v>18</v>
      </c>
      <c r="D17" s="500" t="s">
        <v>292</v>
      </c>
      <c r="E17" s="501" t="str">
        <f>VLOOKUP($C17,'9. All deals (a)'!$C$6:$Q$49,E$5,0)</f>
        <v>Realized</v>
      </c>
      <c r="F17" s="501" t="str">
        <f>VLOOKUP($C17,'9. All deals (a)'!$C$6:$Q$49,F$5,0)</f>
        <v>Sushil</v>
      </c>
      <c r="G17" s="501" t="str">
        <f>VLOOKUP($C17,'9. All deals (a)'!$C$6:$Q$49,G$5,0)</f>
        <v>Mozn 1</v>
      </c>
      <c r="H17" s="502">
        <f>VLOOKUP($C17,'9. All deals (a)'!$C$6:$Q$49,H$5,0)</f>
        <v>2021</v>
      </c>
      <c r="I17" s="502" t="str">
        <f>VLOOKUP($C17,'9. All deals (a)'!$C$6:$Q$49,I$5,0)</f>
        <v>A (Ordinary Shares)</v>
      </c>
      <c r="J17" s="503">
        <f>VLOOKUP($C17,'9. All deals (a)'!$C$6:$Q$49,J$5,0)</f>
        <v>0.03</v>
      </c>
      <c r="K17" s="504">
        <f ca="1">VLOOKUP($C17,'9. All deals (a)'!$C$6:$Q$49,K$5,0)</f>
        <v>20</v>
      </c>
      <c r="L17" s="504">
        <f ca="1">VLOOKUP($C17,'9. All deals (a)'!$C$6:$Q$49,L$5,0)</f>
        <v>20</v>
      </c>
      <c r="M17" s="504">
        <f>VLOOKUP($C17,'9. All deals (a)'!$C$6:$Q$49,M$5,0)</f>
        <v>0</v>
      </c>
      <c r="N17" s="504">
        <f ca="1">VLOOKUP($C17,'9. All deals (a)'!$C$6:$Q$49,N$5,0)</f>
        <v>24.5</v>
      </c>
      <c r="O17" s="504">
        <f>VLOOKUP($C17,'9. All deals (a)'!$C$6:$Q$49,O$5,0)</f>
        <v>0</v>
      </c>
      <c r="P17" s="504">
        <f ca="1">VLOOKUP($C17,'9. All deals (a)'!$C$6:$Q$49,P$5,0)</f>
        <v>4.5</v>
      </c>
      <c r="Q17" s="504">
        <v>0</v>
      </c>
      <c r="R17" s="505">
        <f ca="1">VLOOKUP($C17,'9. All deals (a)'!$C$6:$Q$49,R$5,0)</f>
        <v>1.2250000000000001</v>
      </c>
      <c r="S17" s="501" t="s">
        <v>607</v>
      </c>
      <c r="T17" s="82"/>
    </row>
    <row r="18" spans="2:20" x14ac:dyDescent="0.25">
      <c r="B18" s="81"/>
      <c r="C18" s="499" t="s">
        <v>42</v>
      </c>
      <c r="D18" s="500" t="s">
        <v>292</v>
      </c>
      <c r="E18" s="501" t="str">
        <f>VLOOKUP($C18,'9. All deals (a)'!$C$6:$Q$49,E$5,0)</f>
        <v>Realized</v>
      </c>
      <c r="F18" s="501" t="str">
        <f>VLOOKUP($C18,'9. All deals (a)'!$C$6:$Q$49,F$5,0)</f>
        <v>Ignasi</v>
      </c>
      <c r="G18" s="501" t="str">
        <f>VLOOKUP($C18,'9. All deals (a)'!$C$6:$Q$49,G$5,0)</f>
        <v>Mozn</v>
      </c>
      <c r="H18" s="502">
        <f>VLOOKUP($C18,'9. All deals (a)'!$C$6:$Q$49,H$5,0)</f>
        <v>2021</v>
      </c>
      <c r="I18" s="502" t="str">
        <f>VLOOKUP($C18,'9. All deals (a)'!$C$6:$Q$49,I$5,0)</f>
        <v xml:space="preserve">B Prefs </v>
      </c>
      <c r="J18" s="503">
        <f>VLOOKUP($C18,'9. All deals (a)'!$C$6:$Q$49,J$5,0)</f>
        <v>1.1489405791845828E-2</v>
      </c>
      <c r="K18" s="504">
        <f ca="1">VLOOKUP($C18,'9. All deals (a)'!$C$6:$Q$49,K$5,0)</f>
        <v>5.0237201984774336</v>
      </c>
      <c r="L18" s="504">
        <f ca="1">VLOOKUP($C18,'9. All deals (a)'!$C$6:$Q$49,L$5,0)</f>
        <v>5.0237201984774336</v>
      </c>
      <c r="M18" s="504">
        <f>VLOOKUP($C18,'9. All deals (a)'!$C$6:$Q$49,M$5,0)</f>
        <v>0</v>
      </c>
      <c r="N18" s="504">
        <f ca="1">VLOOKUP($C18,'9. All deals (a)'!$C$6:$Q$49,N$5,0)</f>
        <v>7.9421925299999989</v>
      </c>
      <c r="O18" s="504">
        <f>VLOOKUP($C18,'9. All deals (a)'!$C$6:$Q$49,O$5,0)</f>
        <v>0</v>
      </c>
      <c r="P18" s="504">
        <f ca="1">VLOOKUP($C18,'9. All deals (a)'!$C$6:$Q$49,P$5,0)</f>
        <v>2.9184723315225654</v>
      </c>
      <c r="Q18" s="504">
        <v>1.6721788054421767</v>
      </c>
      <c r="R18" s="505">
        <f ca="1">VLOOKUP($C18,'9. All deals (a)'!$C$6:$Q$49,R$5,0)</f>
        <v>1.5809384711368046</v>
      </c>
      <c r="S18" s="501" t="s">
        <v>607</v>
      </c>
      <c r="T18" s="82"/>
    </row>
    <row r="19" spans="2:20" x14ac:dyDescent="0.25">
      <c r="B19" s="81"/>
      <c r="C19" s="4" t="s">
        <v>40</v>
      </c>
      <c r="D19" s="44" t="s">
        <v>292</v>
      </c>
      <c r="E19" s="2" t="str">
        <f>VLOOKUP($C19,'9. All deals (a)'!$C$6:$Q$49,E$5,0)</f>
        <v>Unrealized</v>
      </c>
      <c r="F19" s="2" t="str">
        <f>VLOOKUP($C19,'9. All deals (a)'!$C$6:$Q$49,F$5,0)</f>
        <v>Ignasi</v>
      </c>
      <c r="G19" s="2" t="str">
        <f>VLOOKUP($C19,'9. All deals (a)'!$C$6:$Q$49,G$5,0)</f>
        <v>Mozn</v>
      </c>
      <c r="H19" s="6">
        <f>VLOOKUP($C19,'9. All deals (a)'!$C$6:$Q$49,H$5,0)</f>
        <v>2021</v>
      </c>
      <c r="I19" s="6" t="str">
        <f>VLOOKUP($C19,'9. All deals (a)'!$C$6:$Q$49,I$5,0)</f>
        <v>F Prefs</v>
      </c>
      <c r="J19" s="105">
        <f>VLOOKUP($C19,'9. All deals (a)'!$C$6:$Q$49,J$5,0)</f>
        <v>9.117206771726628E-3</v>
      </c>
      <c r="K19" s="17">
        <f ca="1">VLOOKUP($C19,'9. All deals (a)'!$C$6:$Q$49,K$5,0)</f>
        <v>39.999983359999995</v>
      </c>
      <c r="L19" s="17">
        <f ca="1">VLOOKUP($C19,'9. All deals (a)'!$C$6:$Q$49,L$5,0)</f>
        <v>39.999983359999995</v>
      </c>
      <c r="M19" s="17">
        <f>VLOOKUP($C19,'9. All deals (a)'!$C$6:$Q$49,M$5,0)</f>
        <v>0</v>
      </c>
      <c r="N19" s="17">
        <f ca="1">VLOOKUP($C19,'9. All deals (a)'!$C$6:$Q$49,N$5,0)</f>
        <v>0</v>
      </c>
      <c r="O19" s="17">
        <f>VLOOKUP($C19,'9. All deals (a)'!$C$6:$Q$49,O$5,0)</f>
        <v>21.135483260000001</v>
      </c>
      <c r="P19" s="17">
        <f ca="1">VLOOKUP($C19,'9. All deals (a)'!$C$6:$Q$49,P$5,0)</f>
        <v>-18.864500099999994</v>
      </c>
      <c r="Q19" s="17">
        <v>0</v>
      </c>
      <c r="R19" s="10">
        <f ca="1">VLOOKUP($C19,'9. All deals (a)'!$C$6:$Q$49,R$5,0)</f>
        <v>0.52838730130911749</v>
      </c>
      <c r="S19" s="2"/>
      <c r="T19" s="82"/>
    </row>
    <row r="20" spans="2:20" x14ac:dyDescent="0.25">
      <c r="B20" s="81"/>
      <c r="C20" s="4" t="s">
        <v>41</v>
      </c>
      <c r="D20" s="44" t="s">
        <v>292</v>
      </c>
      <c r="E20" s="2" t="str">
        <f>VLOOKUP($C20,'9. All deals (a)'!$C$6:$Q$49,E$5,0)</f>
        <v>Unrealized</v>
      </c>
      <c r="F20" s="2" t="str">
        <f>VLOOKUP($C20,'9. All deals (a)'!$C$6:$Q$49,F$5,0)</f>
        <v>Sushil</v>
      </c>
      <c r="G20" s="2" t="str">
        <f>VLOOKUP($C20,'9. All deals (a)'!$C$6:$Q$49,G$5,0)</f>
        <v>Mozn</v>
      </c>
      <c r="H20" s="6">
        <f>VLOOKUP($C20,'9. All deals (a)'!$C$6:$Q$49,H$5,0)</f>
        <v>2021</v>
      </c>
      <c r="I20" s="6" t="str">
        <f>VLOOKUP($C20,'9. All deals (a)'!$C$6:$Q$49,I$5,0)</f>
        <v>A Pref Units</v>
      </c>
      <c r="J20" s="105">
        <f>VLOOKUP($C20,'9. All deals (a)'!$C$6:$Q$49,J$5,0)</f>
        <v>0.16080402010050251</v>
      </c>
      <c r="K20" s="17">
        <f ca="1">VLOOKUP($C20,'9. All deals (a)'!$C$6:$Q$49,K$5,0)</f>
        <v>8</v>
      </c>
      <c r="L20" s="17">
        <f ca="1">VLOOKUP($C20,'9. All deals (a)'!$C$6:$Q$49,L$5,0)</f>
        <v>8</v>
      </c>
      <c r="M20" s="17">
        <f>VLOOKUP($C20,'9. All deals (a)'!$C$6:$Q$49,M$5,0)</f>
        <v>0</v>
      </c>
      <c r="N20" s="17">
        <f ca="1">VLOOKUP($C20,'9. All deals (a)'!$C$6:$Q$49,N$5,0)</f>
        <v>0</v>
      </c>
      <c r="O20" s="17">
        <f>VLOOKUP($C20,'9. All deals (a)'!$C$6:$Q$49,O$5,0)</f>
        <v>8</v>
      </c>
      <c r="P20" s="17">
        <f ca="1">VLOOKUP($C20,'9. All deals (a)'!$C$6:$Q$49,P$5,0)</f>
        <v>0</v>
      </c>
      <c r="Q20" s="17">
        <v>0</v>
      </c>
      <c r="R20" s="10">
        <f ca="1">VLOOKUP($C20,'9. All deals (a)'!$C$6:$Q$49,R$5,0)</f>
        <v>1</v>
      </c>
      <c r="S20" s="2"/>
      <c r="T20" s="82"/>
    </row>
    <row r="21" spans="2:20" x14ac:dyDescent="0.25">
      <c r="B21" s="81"/>
      <c r="C21" s="499" t="s">
        <v>39</v>
      </c>
      <c r="D21" s="500" t="s">
        <v>292</v>
      </c>
      <c r="E21" s="501" t="str">
        <f>VLOOKUP($C21,'9. All deals (a)'!$C$6:$Q$49,E$5,0)</f>
        <v>Realized</v>
      </c>
      <c r="F21" s="501" t="str">
        <f>VLOOKUP($C21,'9. All deals (a)'!$C$6:$Q$49,F$5,0)</f>
        <v>Sushil</v>
      </c>
      <c r="G21" s="501" t="str">
        <f>VLOOKUP($C21,'9. All deals (a)'!$C$6:$Q$49,G$5,0)</f>
        <v>Mozn</v>
      </c>
      <c r="H21" s="502">
        <f>VLOOKUP($C21,'9. All deals (a)'!$C$6:$Q$49,H$5,0)</f>
        <v>2020</v>
      </c>
      <c r="I21" s="502" t="str">
        <f>VLOOKUP($C21,'9. All deals (a)'!$C$6:$Q$49,I$5,0)</f>
        <v>Convertible Note</v>
      </c>
      <c r="J21" s="503" t="str">
        <f>VLOOKUP($C21,'9. All deals (a)'!$C$6:$Q$49,J$5,0)</f>
        <v>n/a</v>
      </c>
      <c r="K21" s="504">
        <f ca="1">VLOOKUP($C21,'9. All deals (a)'!$C$6:$Q$49,K$5,0)</f>
        <v>2.5</v>
      </c>
      <c r="L21" s="504">
        <f ca="1">VLOOKUP($C21,'9. All deals (a)'!$C$6:$Q$49,L$5,0)</f>
        <v>2.5</v>
      </c>
      <c r="M21" s="504">
        <f>VLOOKUP($C21,'9. All deals (a)'!$C$6:$Q$49,M$5,0)</f>
        <v>0</v>
      </c>
      <c r="N21" s="504">
        <f ca="1">VLOOKUP($C21,'9. All deals (a)'!$C$6:$Q$49,N$5,0)</f>
        <v>5</v>
      </c>
      <c r="O21" s="504">
        <f>VLOOKUP($C21,'9. All deals (a)'!$C$6:$Q$49,O$5,0)</f>
        <v>0</v>
      </c>
      <c r="P21" s="504">
        <f ca="1">VLOOKUP($C21,'9. All deals (a)'!$C$6:$Q$49,P$5,0)</f>
        <v>2.5</v>
      </c>
      <c r="Q21" s="504">
        <v>2.5</v>
      </c>
      <c r="R21" s="505">
        <f ca="1">VLOOKUP($C21,'9. All deals (a)'!$C$6:$Q$49,R$5,0)</f>
        <v>2</v>
      </c>
      <c r="S21" s="501" t="s">
        <v>607</v>
      </c>
      <c r="T21" s="82"/>
    </row>
    <row r="22" spans="2:20" x14ac:dyDescent="0.25">
      <c r="B22" s="81"/>
      <c r="C22" s="4" t="s">
        <v>9</v>
      </c>
      <c r="D22" s="44" t="s">
        <v>292</v>
      </c>
      <c r="E22" s="2" t="str">
        <f>VLOOKUP($C22,'9. All deals (a)'!$C$6:$Q$49,E$5,0)</f>
        <v>Unrealized</v>
      </c>
      <c r="F22" s="2" t="str">
        <f>VLOOKUP($C22,'9. All deals (a)'!$C$6:$Q$49,F$5,0)</f>
        <v>Elaine</v>
      </c>
      <c r="G22" s="2" t="str">
        <f>VLOOKUP($C22,'9. All deals (a)'!$C$6:$Q$49,G$5,0)</f>
        <v>Mozn</v>
      </c>
      <c r="H22" s="6">
        <f>VLOOKUP($C22,'9. All deals (a)'!$C$6:$Q$49,H$5,0)</f>
        <v>2020</v>
      </c>
      <c r="I22" s="6" t="str">
        <f>VLOOKUP($C22,'9. All deals (a)'!$C$6:$Q$49,I$5,0)</f>
        <v>Registered Capital</v>
      </c>
      <c r="J22" s="105">
        <f>VLOOKUP($C22,'9. All deals (a)'!$C$6:$Q$49,J$5,0)</f>
        <v>0.14380000000000001</v>
      </c>
      <c r="K22" s="17">
        <f ca="1">VLOOKUP($C22,'9. All deals (a)'!$C$6:$Q$49,K$5,0)</f>
        <v>60</v>
      </c>
      <c r="L22" s="17">
        <f ca="1">VLOOKUP($C22,'9. All deals (a)'!$C$6:$Q$49,L$5,0)</f>
        <v>60</v>
      </c>
      <c r="M22" s="17">
        <f>VLOOKUP($C22,'9. All deals (a)'!$C$6:$Q$49,M$5,0)</f>
        <v>0</v>
      </c>
      <c r="N22" s="17">
        <f ca="1">VLOOKUP($C22,'9. All deals (a)'!$C$6:$Q$49,N$5,0)</f>
        <v>0</v>
      </c>
      <c r="O22" s="17">
        <f>VLOOKUP($C22,'9. All deals (a)'!$C$6:$Q$49,O$5,0)</f>
        <v>153.73258334414044</v>
      </c>
      <c r="P22" s="17">
        <f ca="1">VLOOKUP($C22,'9. All deals (a)'!$C$6:$Q$49,P$5,0)</f>
        <v>93.732583344140437</v>
      </c>
      <c r="Q22" s="17">
        <v>96.4</v>
      </c>
      <c r="R22" s="10">
        <f ca="1">VLOOKUP($C22,'9. All deals (a)'!$C$6:$Q$49,R$5,0)</f>
        <v>2.5622097224023408</v>
      </c>
      <c r="S22" s="2"/>
      <c r="T22" s="82"/>
    </row>
    <row r="23" spans="2:20" x14ac:dyDescent="0.25">
      <c r="B23" s="81"/>
      <c r="C23" s="4" t="s">
        <v>37</v>
      </c>
      <c r="D23" s="44" t="s">
        <v>292</v>
      </c>
      <c r="E23" s="2" t="str">
        <f>VLOOKUP($C23,'9. All deals (a)'!$C$6:$Q$49,E$5,0)</f>
        <v>Unrealized</v>
      </c>
      <c r="F23" s="2" t="str">
        <f>VLOOKUP($C23,'9. All deals (a)'!$C$6:$Q$49,F$5,0)</f>
        <v>Divyesh</v>
      </c>
      <c r="G23" s="2" t="str">
        <f>VLOOKUP($C23,'9. All deals (a)'!$C$6:$Q$49,G$5,0)</f>
        <v>Mozn</v>
      </c>
      <c r="H23" s="6">
        <f>VLOOKUP($C23,'9. All deals (a)'!$C$6:$Q$49,H$5,0)</f>
        <v>2020</v>
      </c>
      <c r="I23" s="6" t="str">
        <f>VLOOKUP($C23,'9. All deals (a)'!$C$6:$Q$49,I$5,0)</f>
        <v>C Prefs</v>
      </c>
      <c r="J23" s="105">
        <f>VLOOKUP($C23,'9. All deals (a)'!$C$6:$Q$49,J$5,0)</f>
        <v>9.4347728005070269E-2</v>
      </c>
      <c r="K23" s="17">
        <f ca="1">VLOOKUP($C23,'9. All deals (a)'!$C$6:$Q$49,K$5,0)</f>
        <v>90</v>
      </c>
      <c r="L23" s="17">
        <f ca="1">VLOOKUP($C23,'9. All deals (a)'!$C$6:$Q$49,L$5,0)</f>
        <v>90</v>
      </c>
      <c r="M23" s="17">
        <f>VLOOKUP($C23,'9. All deals (a)'!$C$6:$Q$49,M$5,0)</f>
        <v>0</v>
      </c>
      <c r="N23" s="17">
        <f ca="1">VLOOKUP($C23,'9. All deals (a)'!$C$6:$Q$49,N$5,0)</f>
        <v>0</v>
      </c>
      <c r="O23" s="17">
        <f>VLOOKUP($C23,'9. All deals (a)'!$C$6:$Q$49,O$5,0)</f>
        <v>45.500770150000008</v>
      </c>
      <c r="P23" s="17">
        <f ca="1">VLOOKUP($C23,'9. All deals (a)'!$C$6:$Q$49,P$5,0)</f>
        <v>-44.499229849999992</v>
      </c>
      <c r="Q23" s="17">
        <v>1.042</v>
      </c>
      <c r="R23" s="10">
        <f ca="1">VLOOKUP($C23,'9. All deals (a)'!$C$6:$Q$49,R$5,0)</f>
        <v>0.50556411277777791</v>
      </c>
      <c r="S23" s="2"/>
      <c r="T23" s="82"/>
    </row>
    <row r="24" spans="2:20" x14ac:dyDescent="0.25">
      <c r="B24" s="81"/>
      <c r="C24" s="4" t="s">
        <v>87</v>
      </c>
      <c r="D24" s="44" t="s">
        <v>292</v>
      </c>
      <c r="E24" s="2" t="str">
        <f>VLOOKUP($C24,'9. All deals (a)'!$C$6:$Q$49,E$5,0)</f>
        <v>Unrealized</v>
      </c>
      <c r="F24" s="2" t="str">
        <f>VLOOKUP($C24,'9. All deals (a)'!$C$6:$Q$49,F$5,0)</f>
        <v>Divyesh</v>
      </c>
      <c r="G24" s="2" t="str">
        <f>VLOOKUP($C24,'9. All deals (a)'!$C$6:$Q$49,G$5,0)</f>
        <v>Mozn</v>
      </c>
      <c r="H24" s="6">
        <f>VLOOKUP($C24,'9. All deals (a)'!$C$6:$Q$49,H$5,0)</f>
        <v>2020</v>
      </c>
      <c r="I24" s="6" t="str">
        <f>VLOOKUP($C24,'9. All deals (a)'!$C$6:$Q$49,I$5,0)</f>
        <v>Ordinary Shares</v>
      </c>
      <c r="J24" s="105">
        <f>VLOOKUP($C24,'9. All deals (a)'!$C$6:$Q$49,J$5,0)</f>
        <v>4.7112658862960358E-2</v>
      </c>
      <c r="K24" s="17">
        <f ca="1">VLOOKUP($C24,'9. All deals (a)'!$C$6:$Q$49,K$5,0)</f>
        <v>141.4702596743665</v>
      </c>
      <c r="L24" s="17">
        <f ca="1">VLOOKUP($C24,'9. All deals (a)'!$C$6:$Q$49,L$5,0)</f>
        <v>141.4702596743665</v>
      </c>
      <c r="M24" s="17">
        <f>VLOOKUP($C24,'9. All deals (a)'!$C$6:$Q$49,M$5,0)</f>
        <v>0</v>
      </c>
      <c r="N24" s="17">
        <f ca="1">VLOOKUP($C24,'9. All deals (a)'!$C$6:$Q$49,N$5,0)</f>
        <v>0</v>
      </c>
      <c r="O24" s="17">
        <f>VLOOKUP($C24,'9. All deals (a)'!$C$6:$Q$49,O$5,0)</f>
        <v>94.332808617835184</v>
      </c>
      <c r="P24" s="17">
        <f ca="1">VLOOKUP($C24,'9. All deals (a)'!$C$6:$Q$49,P$5,0)</f>
        <v>-47.137451056531319</v>
      </c>
      <c r="Q24" s="17">
        <v>-9.8450000000000006</v>
      </c>
      <c r="R24" s="10">
        <f ca="1">VLOOKUP($C24,'9. All deals (a)'!$C$6:$Q$49,R$5,0)</f>
        <v>0.66680310642652818</v>
      </c>
      <c r="S24" s="2"/>
      <c r="T24" s="82"/>
    </row>
    <row r="25" spans="2:20" ht="17.25" x14ac:dyDescent="0.25">
      <c r="B25" s="81"/>
      <c r="C25" s="4" t="s">
        <v>38</v>
      </c>
      <c r="D25" s="44" t="s">
        <v>292</v>
      </c>
      <c r="E25" s="2" t="str">
        <f>VLOOKUP($C25,'9. All deals (a)'!$C$6:$Q$49,E$5,0)</f>
        <v>Unrealized</v>
      </c>
      <c r="F25" s="2" t="str">
        <f>VLOOKUP($C25,'9. All deals (a)'!$C$6:$Q$49,F$5,0)</f>
        <v>Sushil</v>
      </c>
      <c r="G25" s="2" t="str">
        <f>VLOOKUP($C25,'9. All deals (a)'!$C$6:$Q$49,G$5,0)</f>
        <v>Mozn</v>
      </c>
      <c r="H25" s="6">
        <f>VLOOKUP($C25,'9. All deals (a)'!$C$6:$Q$49,H$5,0)</f>
        <v>2019</v>
      </c>
      <c r="I25" s="6" t="str">
        <f>VLOOKUP($C25,'9. All deals (a)'!$C$6:$Q$49,I$5,0)</f>
        <v>B-1,2 Prefs</v>
      </c>
      <c r="J25" s="105">
        <f>VLOOKUP($C25,'9. All deals (a)'!$C$6:$Q$49,J$5,0)</f>
        <v>4.1582449367391403E-2</v>
      </c>
      <c r="K25" s="17">
        <f ca="1">VLOOKUP($C25,'9. All deals (a)'!$C$6:$Q$49,K$5,0)</f>
        <v>10</v>
      </c>
      <c r="L25" s="17">
        <f ca="1">VLOOKUP($C25,'9. All deals (a)'!$C$6:$Q$49,L$5,0)</f>
        <v>10</v>
      </c>
      <c r="M25" s="17">
        <f>VLOOKUP($C25,'9. All deals (a)'!$C$6:$Q$49,M$5,0)</f>
        <v>0</v>
      </c>
      <c r="N25" s="17">
        <f ca="1">VLOOKUP($C25,'9. All deals (a)'!$C$6:$Q$49,N$5,0)</f>
        <v>0</v>
      </c>
      <c r="O25" s="17">
        <f>VLOOKUP($C25,'9. All deals (a)'!$C$6:$Q$49,O$5,0)</f>
        <v>37.118730497400001</v>
      </c>
      <c r="P25" s="17">
        <f ca="1">VLOOKUP($C25,'9. All deals (a)'!$C$6:$Q$49,P$5,0)</f>
        <v>27.118730497400001</v>
      </c>
      <c r="Q25" s="17">
        <v>68.099999999999994</v>
      </c>
      <c r="R25" s="10">
        <f ca="1">VLOOKUP($C25,'9. All deals (a)'!$C$6:$Q$49,R$5,0)</f>
        <v>3.7118730497400003</v>
      </c>
      <c r="S25" s="2" t="s">
        <v>144</v>
      </c>
      <c r="T25" s="82"/>
    </row>
    <row r="26" spans="2:20" x14ac:dyDescent="0.25">
      <c r="B26" s="81"/>
      <c r="C26" s="499" t="s">
        <v>0</v>
      </c>
      <c r="D26" s="500" t="s">
        <v>292</v>
      </c>
      <c r="E26" s="501" t="str">
        <f>VLOOKUP($C26,'9. All deals (a)'!$C$6:$Q$49,E$5,0)</f>
        <v>Written-off</v>
      </c>
      <c r="F26" s="501" t="str">
        <f>VLOOKUP($C26,'9. All deals (a)'!$C$6:$Q$49,F$5,0)</f>
        <v>Elaine</v>
      </c>
      <c r="G26" s="501" t="str">
        <f>VLOOKUP($C26,'9. All deals (a)'!$C$6:$Q$49,G$5,0)</f>
        <v>Mozn</v>
      </c>
      <c r="H26" s="502">
        <f>VLOOKUP($C26,'9. All deals (a)'!$C$6:$Q$49,H$5,0)</f>
        <v>2019</v>
      </c>
      <c r="I26" s="502" t="str">
        <f>VLOOKUP($C26,'9. All deals (a)'!$C$6:$Q$49,I$5,0)</f>
        <v>B Prefs</v>
      </c>
      <c r="J26" s="503">
        <f>VLOOKUP($C26,'9. All deals (a)'!$C$6:$Q$49,J$5,0)</f>
        <v>0.14000000235296001</v>
      </c>
      <c r="K26" s="504">
        <f ca="1">VLOOKUP($C26,'9. All deals (a)'!$C$6:$Q$49,K$5,0)</f>
        <v>8</v>
      </c>
      <c r="L26" s="504">
        <f ca="1">VLOOKUP($C26,'9. All deals (a)'!$C$6:$Q$49,L$5,0)</f>
        <v>8</v>
      </c>
      <c r="M26" s="504">
        <f>VLOOKUP($C26,'9. All deals (a)'!$C$6:$Q$49,M$5,0)</f>
        <v>0</v>
      </c>
      <c r="N26" s="504">
        <f ca="1">VLOOKUP($C26,'9. All deals (a)'!$C$6:$Q$49,N$5,0)</f>
        <v>0</v>
      </c>
      <c r="O26" s="504">
        <f>VLOOKUP($C26,'9. All deals (a)'!$C$6:$Q$49,O$5,0)</f>
        <v>0</v>
      </c>
      <c r="P26" s="504">
        <f ca="1">VLOOKUP($C26,'9. All deals (a)'!$C$6:$Q$49,P$5,0)</f>
        <v>-8</v>
      </c>
      <c r="Q26" s="504">
        <v>-8</v>
      </c>
      <c r="R26" s="505">
        <f ca="1">VLOOKUP($C26,'9. All deals (a)'!$C$6:$Q$49,R$5,0)</f>
        <v>0</v>
      </c>
      <c r="S26" s="501" t="s">
        <v>443</v>
      </c>
      <c r="T26" s="82"/>
    </row>
    <row r="27" spans="2:20" x14ac:dyDescent="0.25">
      <c r="B27" s="81"/>
      <c r="C27" s="499" t="s">
        <v>48</v>
      </c>
      <c r="D27" s="500" t="s">
        <v>293</v>
      </c>
      <c r="E27" s="501" t="str">
        <f>VLOOKUP($C27,'9. All deals (a)'!$C$6:$Q$49,E$5,0)</f>
        <v>Written-off</v>
      </c>
      <c r="F27" s="501" t="str">
        <f>VLOOKUP($C27,'9. All deals (a)'!$C$6:$Q$49,F$5,0)</f>
        <v xml:space="preserve">Marty </v>
      </c>
      <c r="G27" s="501" t="str">
        <f>VLOOKUP($C27,'9. All deals (a)'!$C$6:$Q$49,G$5,0)</f>
        <v>Mozn</v>
      </c>
      <c r="H27" s="502">
        <f>VLOOKUP($C27,'9. All deals (a)'!$C$6:$Q$49,H$5,0)</f>
        <v>2019</v>
      </c>
      <c r="I27" s="502" t="str">
        <f>VLOOKUP($C27,'9. All deals (a)'!$C$6:$Q$49,I$5,0)</f>
        <v>Promissory Note</v>
      </c>
      <c r="J27" s="503" t="str">
        <f>VLOOKUP($C27,'9. All deals (a)'!$C$6:$Q$49,J$5,0)</f>
        <v>n/a</v>
      </c>
      <c r="K27" s="504">
        <f>VLOOKUP($C27,'9. All deals (a)'!$C$6:$Q$49,K$5,0)</f>
        <v>8</v>
      </c>
      <c r="L27" s="504">
        <f>VLOOKUP($C27,'9. All deals (a)'!$C$6:$Q$49,L$5,0)</f>
        <v>8</v>
      </c>
      <c r="M27" s="504">
        <f>VLOOKUP($C27,'9. All deals (a)'!$C$6:$Q$49,M$5,0)</f>
        <v>0</v>
      </c>
      <c r="N27" s="504">
        <f>VLOOKUP($C27,'9. All deals (a)'!$C$6:$Q$49,N$5,0)</f>
        <v>0</v>
      </c>
      <c r="O27" s="504">
        <f>VLOOKUP($C27,'9. All deals (a)'!$C$6:$Q$49,O$5,0)</f>
        <v>0</v>
      </c>
      <c r="P27" s="504">
        <f>VLOOKUP($C27,'9. All deals (a)'!$C$6:$Q$49,P$5,0)</f>
        <v>-8</v>
      </c>
      <c r="Q27" s="504">
        <v>-8</v>
      </c>
      <c r="R27" s="505">
        <f>VLOOKUP($C27,'9. All deals (a)'!$C$6:$Q$49,R$5,0)</f>
        <v>0</v>
      </c>
      <c r="S27" s="501" t="str">
        <f>VLOOKUP($C27,'9. All deals (a)'!$C$6:$Q$49,S$5,0)</f>
        <v>In Default</v>
      </c>
      <c r="T27" s="82"/>
    </row>
    <row r="28" spans="2:20" x14ac:dyDescent="0.25">
      <c r="B28" s="81"/>
      <c r="C28" s="499" t="s">
        <v>47</v>
      </c>
      <c r="D28" s="500" t="s">
        <v>292</v>
      </c>
      <c r="E28" s="501" t="str">
        <f>VLOOKUP($C28,'9. All deals (a)'!$C$6:$Q$49,E$5,0)</f>
        <v>Written-off</v>
      </c>
      <c r="F28" s="501" t="str">
        <f>VLOOKUP($C28,'9. All deals (a)'!$C$6:$Q$49,F$5,0)</f>
        <v>Elaine</v>
      </c>
      <c r="G28" s="501" t="str">
        <f>VLOOKUP($C28,'9. All deals (a)'!$C$6:$Q$49,G$5,0)</f>
        <v>Mozn</v>
      </c>
      <c r="H28" s="502">
        <f>VLOOKUP($C28,'9. All deals (a)'!$C$6:$Q$49,H$5,0)</f>
        <v>2019</v>
      </c>
      <c r="I28" s="502" t="str">
        <f>VLOOKUP($C28,'9. All deals (a)'!$C$6:$Q$49,I$5,0)</f>
        <v>C+ Prefs</v>
      </c>
      <c r="J28" s="503">
        <f>VLOOKUP($C28,'9. All deals (a)'!$C$6:$Q$49,J$5,0)</f>
        <v>5.6999998161926343E-2</v>
      </c>
      <c r="K28" s="504">
        <f ca="1">VLOOKUP($C28,'9. All deals (a)'!$C$6:$Q$49,K$5,0)</f>
        <v>65</v>
      </c>
      <c r="L28" s="504">
        <f ca="1">VLOOKUP($C28,'9. All deals (a)'!$C$6:$Q$49,L$5,0)</f>
        <v>65</v>
      </c>
      <c r="M28" s="504">
        <f>VLOOKUP($C28,'9. All deals (a)'!$C$6:$Q$49,M$5,0)</f>
        <v>0</v>
      </c>
      <c r="N28" s="504">
        <f ca="1">VLOOKUP($C28,'9. All deals (a)'!$C$6:$Q$49,N$5,0)</f>
        <v>0</v>
      </c>
      <c r="O28" s="504">
        <f>VLOOKUP($C28,'9. All deals (a)'!$C$6:$Q$49,O$5,0)</f>
        <v>0</v>
      </c>
      <c r="P28" s="504">
        <f ca="1">VLOOKUP($C28,'9. All deals (a)'!$C$6:$Q$49,P$5,0)</f>
        <v>-65</v>
      </c>
      <c r="Q28" s="504">
        <v>-65</v>
      </c>
      <c r="R28" s="505">
        <f ca="1">VLOOKUP($C28,'9. All deals (a)'!$C$6:$Q$49,R$5,0)</f>
        <v>0</v>
      </c>
      <c r="S28" s="501" t="str">
        <f>VLOOKUP($C28,'9. All deals (a)'!$C$6:$Q$49,S$5,0)</f>
        <v>In Liquidation</v>
      </c>
      <c r="T28" s="82"/>
    </row>
    <row r="29" spans="2:20" x14ac:dyDescent="0.25">
      <c r="B29" s="81"/>
      <c r="C29" s="5"/>
      <c r="D29" s="13"/>
      <c r="E29" s="7"/>
      <c r="F29" s="7"/>
      <c r="G29" s="7"/>
      <c r="H29" s="7"/>
      <c r="I29" s="14"/>
      <c r="J29" s="206"/>
      <c r="K29" s="24"/>
      <c r="L29" s="24"/>
      <c r="M29" s="24"/>
      <c r="N29" s="24"/>
      <c r="O29" s="24"/>
      <c r="P29" s="24"/>
      <c r="Q29" s="24"/>
      <c r="R29" s="15"/>
      <c r="S29" s="219"/>
      <c r="T29" s="82"/>
    </row>
    <row r="30" spans="2:20" x14ac:dyDescent="0.25">
      <c r="B30" s="81"/>
      <c r="C30" s="9"/>
      <c r="D30" s="9"/>
      <c r="E30" s="9"/>
      <c r="F30" s="9"/>
      <c r="G30" s="9"/>
      <c r="H30" s="9"/>
      <c r="I30" s="9"/>
      <c r="J30" s="108"/>
      <c r="K30" s="18">
        <f ca="1">SUM(K9:K28)</f>
        <v>1005.2675403728439</v>
      </c>
      <c r="L30" s="18">
        <f ca="1">SUM(L9:L28)</f>
        <v>1001.7675403728439</v>
      </c>
      <c r="M30" s="18">
        <f ca="1">SUM(M9:M28)</f>
        <v>3.5</v>
      </c>
      <c r="N30" s="18">
        <f ca="1">SUM(N9:N28)</f>
        <v>440.91297717999998</v>
      </c>
      <c r="O30" s="18">
        <f ca="1">SUM(O9:O28)</f>
        <v>531.42099634937551</v>
      </c>
      <c r="P30" s="18">
        <f ca="1">O30+N30-L30</f>
        <v>-29.433566843468384</v>
      </c>
      <c r="Q30" s="18">
        <f>SUM(Q9:Q28)</f>
        <v>14.537198455442166</v>
      </c>
      <c r="R30" s="11">
        <f ca="1">(N30+O30)/L30</f>
        <v>0.97061836638017474</v>
      </c>
      <c r="S30" s="9"/>
      <c r="T30" s="82"/>
    </row>
    <row r="31" spans="2:20" x14ac:dyDescent="0.25">
      <c r="B31" s="81"/>
      <c r="C31" s="181"/>
      <c r="D31" s="181"/>
      <c r="E31" s="181"/>
      <c r="F31" s="181"/>
      <c r="G31" s="181"/>
      <c r="H31" s="181"/>
      <c r="I31" s="181"/>
      <c r="J31" s="107"/>
      <c r="K31" s="182"/>
      <c r="L31" s="182"/>
      <c r="M31" s="182"/>
      <c r="N31" s="182"/>
      <c r="O31" s="182"/>
      <c r="P31" s="182"/>
      <c r="Q31" s="182"/>
      <c r="R31" s="183"/>
      <c r="S31" s="181"/>
      <c r="T31" s="82"/>
    </row>
    <row r="32" spans="2:20" x14ac:dyDescent="0.25">
      <c r="B32" s="81"/>
      <c r="C32" s="514" t="s">
        <v>605</v>
      </c>
      <c r="D32" s="424"/>
      <c r="E32" s="425"/>
      <c r="F32" s="425"/>
      <c r="G32" s="425"/>
      <c r="H32" s="425"/>
      <c r="I32" s="426"/>
      <c r="J32" s="427"/>
      <c r="K32" s="428"/>
      <c r="L32" s="428"/>
      <c r="M32" s="428"/>
      <c r="N32" s="428"/>
      <c r="O32" s="428"/>
      <c r="P32" s="428"/>
      <c r="Q32" s="428"/>
      <c r="R32" s="429"/>
      <c r="S32" s="425"/>
      <c r="T32" s="82"/>
    </row>
    <row r="33" spans="2:23" ht="15.75" thickBot="1" x14ac:dyDescent="0.3">
      <c r="B33" s="81"/>
      <c r="C33" s="499" t="s">
        <v>35</v>
      </c>
      <c r="D33" s="500" t="s">
        <v>292</v>
      </c>
      <c r="E33" s="501" t="str">
        <f>VLOOKUP($C33,'9. All deals (a)'!$C$6:$Q$49,E$5,0)</f>
        <v>Realized</v>
      </c>
      <c r="F33" s="501" t="str">
        <f>VLOOKUP($C33,'9. All deals (a)'!$C$6:$Q$49,F$5,0)</f>
        <v>Elaine</v>
      </c>
      <c r="G33" s="501" t="str">
        <f>VLOOKUP($C33,'9. All deals (a)'!$C$6:$Q$49,G$5,0)</f>
        <v>G42 3</v>
      </c>
      <c r="H33" s="502">
        <f>VLOOKUP($C33,'9. All deals (a)'!$C$6:$Q$49,H$5,0)</f>
        <v>2022</v>
      </c>
      <c r="I33" s="502" t="str">
        <f>VLOOKUP($C33,'9. All deals (a)'!$C$6:$Q$49,I$5,0)</f>
        <v>Equity-TBC</v>
      </c>
      <c r="J33" s="503">
        <f>VLOOKUP($C33,'9. All deals (a)'!$C$6:$Q$49,J$5,0)</f>
        <v>1.8823528000000003E-2</v>
      </c>
      <c r="K33" s="504">
        <f ca="1">VLOOKUP($C33,'9. All deals (a)'!$C$6:$Q$49,K$5,0)</f>
        <v>800</v>
      </c>
      <c r="L33" s="504">
        <f ca="1">VLOOKUP($C33,'9. All deals (a)'!$C$6:$Q$49,L$5,0)</f>
        <v>800</v>
      </c>
      <c r="M33" s="504">
        <f ca="1">VLOOKUP($C33,'9. All deals (a)'!$C$6:$Q$49,M$5,0)</f>
        <v>0</v>
      </c>
      <c r="N33" s="504">
        <f ca="1">VLOOKUP($C33,'9. All deals (a)'!$C$6:$Q$49,N$5,0)</f>
        <v>802.8</v>
      </c>
      <c r="O33" s="504">
        <f>VLOOKUP($C33,'9. All deals (a)'!$C$6:$Q$49,O$5,0)</f>
        <v>0</v>
      </c>
      <c r="P33" s="504">
        <f ca="1">VLOOKUP($C33,'9. All deals (a)'!$C$6:$Q$49,P$5,0)</f>
        <v>2.7999999999999545</v>
      </c>
      <c r="Q33" s="504">
        <v>54.67</v>
      </c>
      <c r="R33" s="505">
        <f ca="1">VLOOKUP($C33,'9. All deals (a)'!$C$6:$Q$49,R$5,0)</f>
        <v>1.0034999999999998</v>
      </c>
      <c r="S33" s="506"/>
      <c r="T33" s="82"/>
      <c r="V33" s="276"/>
      <c r="W33" s="276"/>
    </row>
    <row r="34" spans="2:23" ht="17.25" x14ac:dyDescent="0.25">
      <c r="B34" s="81"/>
      <c r="C34" s="4" t="s">
        <v>19</v>
      </c>
      <c r="D34" s="44" t="s">
        <v>292</v>
      </c>
      <c r="E34" s="2" t="str">
        <f>VLOOKUP($C34,'9. All deals (a)'!$C$6:$Q$49,E$5,0)</f>
        <v>Unrealized</v>
      </c>
      <c r="F34" s="2" t="str">
        <f>VLOOKUP($C34,'9. All deals (a)'!$C$6:$Q$49,F$5,0)</f>
        <v>Anton</v>
      </c>
      <c r="G34" s="2" t="str">
        <f>VLOOKUP($C34,'9. All deals (a)'!$C$6:$Q$49,G$5,0)</f>
        <v>G42</v>
      </c>
      <c r="H34" s="6">
        <f>VLOOKUP($C34,'9. All deals (a)'!$C$6:$Q$49,H$5,0)</f>
        <v>2022</v>
      </c>
      <c r="I34" s="6" t="str">
        <f>VLOOKUP($C34,'9. All deals (a)'!$C$6:$Q$49,I$5,0)</f>
        <v>Equity-TBC</v>
      </c>
      <c r="J34" s="105">
        <f>VLOOKUP($C34,'9. All deals (a)'!$C$6:$Q$49,J$5,0)</f>
        <v>0.11141913554582343</v>
      </c>
      <c r="K34" s="17">
        <f ca="1">VLOOKUP($C34,'9. All deals (a)'!$C$6:$Q$49,K$5,0)</f>
        <v>300</v>
      </c>
      <c r="L34" s="17">
        <f ca="1">VLOOKUP($C34,'9. All deals (a)'!$C$6:$Q$49,L$5,0)</f>
        <v>300</v>
      </c>
      <c r="M34" s="17">
        <f>VLOOKUP($C34,'9. All deals (a)'!$C$6:$Q$49,M$5,0)</f>
        <v>0</v>
      </c>
      <c r="N34" s="17">
        <f ca="1">VLOOKUP($C34,'9. All deals (a)'!$C$6:$Q$49,N$5,0)</f>
        <v>0</v>
      </c>
      <c r="O34" s="17">
        <f>VLOOKUP($C34,'9. All deals (a)'!$C$6:$Q$49,O$5,0)</f>
        <v>204.6</v>
      </c>
      <c r="P34" s="17">
        <f ca="1">VLOOKUP($C34,'9. All deals (a)'!$C$6:$Q$49,P$5,0)</f>
        <v>-95.4</v>
      </c>
      <c r="Q34" s="17">
        <v>0</v>
      </c>
      <c r="R34" s="10">
        <f ca="1">VLOOKUP($C34,'9. All deals (a)'!$C$6:$Q$49,R$5,0)</f>
        <v>0.68199999999999994</v>
      </c>
      <c r="S34" s="102" t="s">
        <v>145</v>
      </c>
      <c r="T34" s="82"/>
    </row>
    <row r="35" spans="2:23" ht="17.25" x14ac:dyDescent="0.25">
      <c r="B35" s="81"/>
      <c r="C35" s="4" t="s">
        <v>88</v>
      </c>
      <c r="D35" s="44" t="s">
        <v>292</v>
      </c>
      <c r="E35" s="2" t="str">
        <f>VLOOKUP($C35,'9. All deals (a)'!$C$6:$Q$49,E$5,0)</f>
        <v>Unrealized</v>
      </c>
      <c r="F35" s="2" t="str">
        <f>VLOOKUP($C35,'9. All deals (a)'!$C$6:$Q$49,F$5,0)</f>
        <v>Divyesh</v>
      </c>
      <c r="G35" s="2" t="str">
        <f>VLOOKUP($C35,'9. All deals (a)'!$C$6:$Q$49,G$5,0)</f>
        <v>G42</v>
      </c>
      <c r="H35" s="6">
        <f>VLOOKUP($C35,'9. All deals (a)'!$C$6:$Q$49,H$5,0)</f>
        <v>2022</v>
      </c>
      <c r="I35" s="6" t="str">
        <f>VLOOKUP($C35,'9. All deals (a)'!$C$6:$Q$49,I$5,0)</f>
        <v>Ordinary Shares</v>
      </c>
      <c r="J35" s="105">
        <f>VLOOKUP($C35,'9. All deals (a)'!$C$6:$Q$49,J$5,0)</f>
        <v>2.134358174658308E-3</v>
      </c>
      <c r="K35" s="17">
        <f ca="1">VLOOKUP($C35,'9. All deals (a)'!$C$6:$Q$49,K$5,0)</f>
        <v>24.53125</v>
      </c>
      <c r="L35" s="17">
        <f ca="1">VLOOKUP($C35,'9. All deals (a)'!$C$6:$Q$49,L$5,0)</f>
        <v>24.53125</v>
      </c>
      <c r="M35" s="17">
        <f ca="1">VLOOKUP($C35,'9. All deals (a)'!$C$6:$Q$49,M$5,0)</f>
        <v>0</v>
      </c>
      <c r="N35" s="17">
        <f ca="1">VLOOKUP($C35,'9. All deals (a)'!$C$6:$Q$49,N$5,0)</f>
        <v>0</v>
      </c>
      <c r="O35" s="17">
        <f>VLOOKUP($C35,'9. All deals (a)'!$C$6:$Q$49,O$5,0)</f>
        <v>3.5222472049999998</v>
      </c>
      <c r="P35" s="17">
        <f ca="1">VLOOKUP($C35,'9. All deals (a)'!$C$6:$Q$49,P$5,0)</f>
        <v>-21.009002795000001</v>
      </c>
      <c r="Q35" s="17">
        <v>-1.3480000000000001</v>
      </c>
      <c r="R35" s="10">
        <f ca="1">VLOOKUP($C35,'9. All deals (a)'!$C$6:$Q$49,R$5,0)</f>
        <v>0.14358205166878979</v>
      </c>
      <c r="S35" s="102" t="s">
        <v>161</v>
      </c>
      <c r="T35" s="82"/>
      <c r="W35" s="365"/>
    </row>
    <row r="36" spans="2:23" x14ac:dyDescent="0.25">
      <c r="B36" s="81"/>
      <c r="C36" s="4" t="s">
        <v>1</v>
      </c>
      <c r="D36" s="44" t="s">
        <v>294</v>
      </c>
      <c r="E36" s="2" t="str">
        <f>VLOOKUP($C36,'9. All deals (a)'!$C$6:$Q$49,E$5,0)</f>
        <v>Unrealized</v>
      </c>
      <c r="F36" s="2" t="str">
        <f>VLOOKUP($C36,'9. All deals (a)'!$C$6:$Q$49,F$5,0)</f>
        <v>Elaine</v>
      </c>
      <c r="G36" s="2" t="str">
        <f>VLOOKUP($C36,'9. All deals (a)'!$C$6:$Q$49,G$5,0)</f>
        <v>G42 Investments</v>
      </c>
      <c r="H36" s="6">
        <f>VLOOKUP($C36,'9. All deals (a)'!$C$6:$Q$49,H$5,0)</f>
        <v>2020</v>
      </c>
      <c r="I36" s="6" t="str">
        <f>VLOOKUP($C36,'9. All deals (a)'!$C$6:$Q$49,I$5,0)</f>
        <v xml:space="preserve">LP </v>
      </c>
      <c r="J36" s="105" t="str">
        <f>VLOOKUP($C36,'9. All deals (a)'!$C$6:$Q$49,J$5,0)</f>
        <v>n/a</v>
      </c>
      <c r="K36" s="17">
        <f ca="1">VLOOKUP($C36,'9. All deals (a)'!$C$6:$Q$49,K$5,0)</f>
        <v>83.630349999999979</v>
      </c>
      <c r="L36" s="17">
        <f ca="1">VLOOKUP($C36,'9. All deals (a)'!$C$6:$Q$49,L$5,0)</f>
        <v>83.270349999999979</v>
      </c>
      <c r="M36" s="17">
        <f>VLOOKUP($C36,'9. All deals (a)'!$C$6:$Q$49,M$5,0)</f>
        <v>0.36</v>
      </c>
      <c r="N36" s="17">
        <f>VLOOKUP($C36,'9. All deals (a)'!$C$6:$Q$49,N$5,0)</f>
        <v>7.8158709999999996</v>
      </c>
      <c r="O36" s="17">
        <f>VLOOKUP($C36,'9. All deals (a)'!$C$6:$Q$49,O$5,0)</f>
        <v>91.324445999999995</v>
      </c>
      <c r="P36" s="17">
        <f ca="1">VLOOKUP($C36,'9. All deals (a)'!$C$6:$Q$49,P$5,0)</f>
        <v>15.869967000000017</v>
      </c>
      <c r="Q36" s="17">
        <v>-0.30599999999999999</v>
      </c>
      <c r="R36" s="10">
        <f ca="1">VLOOKUP($C36,'9. All deals (a)'!$C$6:$Q$49,R$5,0)</f>
        <v>1.190583647120494</v>
      </c>
      <c r="S36" s="2"/>
      <c r="T36" s="82"/>
      <c r="W36" s="365"/>
    </row>
    <row r="37" spans="2:23" x14ac:dyDescent="0.25">
      <c r="B37" s="81"/>
      <c r="C37" s="4" t="s">
        <v>118</v>
      </c>
      <c r="D37" s="44" t="s">
        <v>294</v>
      </c>
      <c r="E37" s="2" t="str">
        <f>VLOOKUP($C37,'9. All deals (a)'!$C$6:$Q$49,E$5,0)</f>
        <v>Unrealized</v>
      </c>
      <c r="F37" s="2" t="str">
        <f>VLOOKUP($C37,'9. All deals (a)'!$C$6:$Q$49,F$5,0)</f>
        <v>Sushil</v>
      </c>
      <c r="G37" s="2" t="str">
        <f>VLOOKUP($C37,'9. All deals (a)'!$C$6:$Q$49,G$5,0)</f>
        <v>G42 Investments</v>
      </c>
      <c r="H37" s="6">
        <f>VLOOKUP($C37,'9. All deals (a)'!$C$6:$Q$49,H$5,0)</f>
        <v>2020</v>
      </c>
      <c r="I37" s="6" t="str">
        <f>VLOOKUP($C37,'9. All deals (a)'!$C$6:$Q$49,I$5,0)</f>
        <v xml:space="preserve">LP </v>
      </c>
      <c r="J37" s="105" t="str">
        <f>VLOOKUP($C37,'9. All deals (a)'!$C$6:$Q$49,J$5,0)</f>
        <v>n/a</v>
      </c>
      <c r="K37" s="17">
        <f>VLOOKUP($C37,'9. All deals (a)'!$C$6:$Q$49,K$5,0)</f>
        <v>25.877846596949897</v>
      </c>
      <c r="L37" s="17">
        <f ca="1">VLOOKUP($C37,'9. All deals (a)'!$C$6:$Q$49,L$5,0)</f>
        <v>15.922439021640404</v>
      </c>
      <c r="M37" s="17">
        <f>VLOOKUP($C37,'9. All deals (a)'!$C$6:$Q$49,M$5,0)</f>
        <v>12.368992537830598</v>
      </c>
      <c r="N37" s="17">
        <f>VLOOKUP($C37,'9. All deals (a)'!$C$6:$Q$49,N$5,0)</f>
        <v>3.4194690781652</v>
      </c>
      <c r="O37" s="17">
        <f>VLOOKUP($C37,'9. All deals (a)'!$C$6:$Q$49,O$5,0)</f>
        <v>21.613971432657998</v>
      </c>
      <c r="P37" s="17">
        <f ca="1">VLOOKUP($C37,'9. All deals (a)'!$C$6:$Q$49,P$5,0)</f>
        <v>9.1110014891827937</v>
      </c>
      <c r="Q37" s="17">
        <v>5.4450000000000003</v>
      </c>
      <c r="R37" s="10">
        <f ca="1">VLOOKUP($C37,'9. All deals (a)'!$C$6:$Q$49,R$5,0)</f>
        <v>1.5722114229358899</v>
      </c>
      <c r="S37" s="2"/>
      <c r="T37" s="82"/>
      <c r="W37" s="365"/>
    </row>
    <row r="38" spans="2:23" x14ac:dyDescent="0.25">
      <c r="B38" s="81"/>
      <c r="C38" s="4" t="s">
        <v>343</v>
      </c>
      <c r="D38" s="44" t="s">
        <v>294</v>
      </c>
      <c r="E38" s="2" t="str">
        <f>VLOOKUP($C38,'9. All deals (a)'!$C$6:$Q$49,E$5,0)</f>
        <v>Unrealized</v>
      </c>
      <c r="F38" s="2" t="str">
        <f>VLOOKUP($C38,'9. All deals (a)'!$C$6:$Q$49,F$5,0)</f>
        <v>Sushil</v>
      </c>
      <c r="G38" s="2" t="str">
        <f>VLOOKUP($C38,'9. All deals (a)'!$C$6:$Q$49,G$5,0)</f>
        <v>G42 Investments</v>
      </c>
      <c r="H38" s="6">
        <f>VLOOKUP($C38,'9. All deals (a)'!$C$6:$Q$49,H$5,0)</f>
        <v>2023</v>
      </c>
      <c r="I38" s="6" t="str">
        <f>VLOOKUP($C38,'9. All deals (a)'!$C$6:$Q$49,I$5,0)</f>
        <v xml:space="preserve">LP </v>
      </c>
      <c r="J38" s="105" t="str">
        <f>VLOOKUP($C38,'9. All deals (a)'!$C$6:$Q$49,J$5,0)</f>
        <v>n/a</v>
      </c>
      <c r="K38" s="17">
        <f>VLOOKUP($C38,'9. All deals (a)'!$C$6:$Q$49,K$5,0)</f>
        <v>2.7058823529411762</v>
      </c>
      <c r="L38" s="17">
        <f>VLOOKUP($C38,'9. All deals (a)'!$C$6:$Q$49,L$5,0)</f>
        <v>2.7058823529411762</v>
      </c>
      <c r="M38" s="17">
        <f>VLOOKUP($C38,'9. All deals (a)'!$C$6:$Q$49,M$5,0)</f>
        <v>0</v>
      </c>
      <c r="N38" s="17">
        <f>VLOOKUP($C38,'9. All deals (a)'!$C$6:$Q$49,N$5,0)</f>
        <v>0</v>
      </c>
      <c r="O38" s="17">
        <f ca="1">VLOOKUP($C38,'9. All deals (a)'!$C$6:$Q$49,O$5,0)</f>
        <v>3.673109615751482</v>
      </c>
      <c r="P38" s="17">
        <f ca="1">VLOOKUP($C38,'9. All deals (a)'!$C$6:$Q$49,P$5,0)</f>
        <v>0.9672272628103058</v>
      </c>
      <c r="Q38" s="17">
        <v>0</v>
      </c>
      <c r="R38" s="10">
        <f ca="1">VLOOKUP($C38,'9. All deals (a)'!$C$6:$Q$49,R$5,0)</f>
        <v>1.3574535536472869</v>
      </c>
      <c r="S38" s="94"/>
      <c r="T38" s="82"/>
      <c r="W38" s="366"/>
    </row>
    <row r="39" spans="2:23" x14ac:dyDescent="0.25">
      <c r="B39" s="81"/>
      <c r="C39" s="499" t="s">
        <v>12</v>
      </c>
      <c r="D39" s="500" t="s">
        <v>294</v>
      </c>
      <c r="E39" s="501" t="str">
        <f>VLOOKUP($C39,'9. All deals (a)'!$C$6:$Q$49,E$5,0)</f>
        <v>Realized</v>
      </c>
      <c r="F39" s="501" t="str">
        <f>VLOOKUP($C39,'9. All deals (a)'!$C$6:$Q$49,F$5,0)</f>
        <v>Elaine</v>
      </c>
      <c r="G39" s="501" t="str">
        <f>VLOOKUP($C39,'9. All deals (a)'!$C$6:$Q$49,G$5,0)</f>
        <v>G42 Investments</v>
      </c>
      <c r="H39" s="502">
        <f>VLOOKUP($C39,'9. All deals (a)'!$C$6:$Q$49,H$5,0)</f>
        <v>2020</v>
      </c>
      <c r="I39" s="502" t="str">
        <f>VLOOKUP($C39,'9. All deals (a)'!$C$6:$Q$49,I$5,0)</f>
        <v xml:space="preserve">LP </v>
      </c>
      <c r="J39" s="503" t="str">
        <f>VLOOKUP($C39,'9. All deals (a)'!$C$6:$Q$49,J$5,0)</f>
        <v>n/a</v>
      </c>
      <c r="K39" s="504">
        <f>VLOOKUP($C39,'9. All deals (a)'!$C$6:$Q$49,K$5,0)</f>
        <v>50</v>
      </c>
      <c r="L39" s="504">
        <f ca="1">VLOOKUP($C39,'9. All deals (a)'!$C$6:$Q$49,L$5,0)</f>
        <v>24.959693000000001</v>
      </c>
      <c r="M39" s="504">
        <f>VLOOKUP($C39,'9. All deals (a)'!$C$6:$Q$49,M$5,0)</f>
        <v>0</v>
      </c>
      <c r="N39" s="504">
        <f>VLOOKUP($C39,'9. All deals (a)'!$C$6:$Q$49,N$5,0)</f>
        <v>25.403521350000002</v>
      </c>
      <c r="O39" s="504">
        <f>VLOOKUP($C39,'9. All deals (a)'!$C$6:$Q$49,O$5,0)</f>
        <v>0</v>
      </c>
      <c r="P39" s="504">
        <f ca="1">VLOOKUP($C39,'9. All deals (a)'!$C$6:$Q$49,P$5,0)</f>
        <v>0.44382835000000043</v>
      </c>
      <c r="Q39" s="504">
        <v>-1.2649999999999999</v>
      </c>
      <c r="R39" s="505">
        <f ca="1">VLOOKUP($C39,'9. All deals (a)'!$C$6:$Q$49,R$5,0)</f>
        <v>1.0177818032457371</v>
      </c>
      <c r="S39" s="507"/>
      <c r="T39" s="82"/>
      <c r="W39" s="154"/>
    </row>
    <row r="40" spans="2:23" ht="17.25" x14ac:dyDescent="0.25">
      <c r="B40" s="81"/>
      <c r="C40" s="4" t="s">
        <v>164</v>
      </c>
      <c r="D40" s="44" t="s">
        <v>294</v>
      </c>
      <c r="E40" s="2" t="str">
        <f>VLOOKUP($C40,'9. All deals (a)'!$C$6:$Q$49,E$5,0)</f>
        <v>Unrealized</v>
      </c>
      <c r="F40" s="2" t="str">
        <f>VLOOKUP($C40,'9. All deals (a)'!$C$6:$Q$49,F$5,0)</f>
        <v>Divyesh</v>
      </c>
      <c r="G40" s="2" t="str">
        <f>VLOOKUP($C40,'9. All deals (a)'!$C$6:$Q$49,G$5,0)</f>
        <v>G42 Investments</v>
      </c>
      <c r="H40" s="6">
        <f>VLOOKUP($C40,'9. All deals (a)'!$C$6:$Q$49,H$5,0)</f>
        <v>2021</v>
      </c>
      <c r="I40" s="6" t="str">
        <f>VLOOKUP($C40,'9. All deals (a)'!$C$6:$Q$49,I$5,0)</f>
        <v xml:space="preserve">LP </v>
      </c>
      <c r="J40" s="105">
        <f>VLOOKUP($C40,'9. All deals (a)'!$C$6:$Q$49,J$5,0)</f>
        <v>0.33</v>
      </c>
      <c r="K40" s="17">
        <f>VLOOKUP($C40,'9. All deals (a)'!$C$6:$Q$49,K$5,0)</f>
        <v>17.112500000000001</v>
      </c>
      <c r="L40" s="17">
        <f ca="1">VLOOKUP($C40,'9. All deals (a)'!$C$6:$Q$49,L$5,0)</f>
        <v>14.0151375</v>
      </c>
      <c r="M40" s="17">
        <f ca="1">VLOOKUP($C40,'9. All deals (a)'!$C$6:$Q$49,M$5,0)</f>
        <v>3.0973625000000009</v>
      </c>
      <c r="N40" s="17">
        <f>VLOOKUP($C40,'9. All deals (a)'!$C$6:$Q$49,N$5,0)</f>
        <v>0</v>
      </c>
      <c r="O40" s="17">
        <f>VLOOKUP($C40,'9. All deals (a)'!$C$6:$Q$49,O$5,0)</f>
        <v>10.875211999999999</v>
      </c>
      <c r="P40" s="17">
        <f ca="1">VLOOKUP($C40,'9. All deals (a)'!$C$6:$Q$49,P$5,0)</f>
        <v>-3.1399255000000004</v>
      </c>
      <c r="Q40" s="17">
        <v>-0.30599999999999999</v>
      </c>
      <c r="R40" s="10">
        <f ca="1">VLOOKUP($C40,'9. All deals (a)'!$C$6:$Q$49,R$5,0)</f>
        <v>0.77596184839428084</v>
      </c>
      <c r="S40" s="2" t="s">
        <v>435</v>
      </c>
      <c r="T40" s="82"/>
    </row>
    <row r="41" spans="2:23" x14ac:dyDescent="0.25">
      <c r="B41" s="81"/>
      <c r="C41" s="4"/>
      <c r="D41" s="44"/>
      <c r="E41" s="2"/>
      <c r="F41" s="2"/>
      <c r="G41" s="2"/>
      <c r="H41" s="2"/>
      <c r="I41" s="6"/>
      <c r="J41" s="105"/>
      <c r="K41" s="17"/>
      <c r="L41" s="17"/>
      <c r="M41" s="17"/>
      <c r="N41" s="17"/>
      <c r="O41" s="17"/>
      <c r="P41" s="17"/>
      <c r="Q41" s="17"/>
      <c r="R41" s="10"/>
      <c r="S41" s="102"/>
      <c r="T41" s="82"/>
      <c r="V41" s="232"/>
    </row>
    <row r="42" spans="2:23" s="85" customFormat="1" x14ac:dyDescent="0.25">
      <c r="B42" s="83"/>
      <c r="C42" s="9"/>
      <c r="D42" s="9"/>
      <c r="E42" s="9"/>
      <c r="F42" s="9"/>
      <c r="G42" s="9"/>
      <c r="H42" s="9"/>
      <c r="I42" s="9"/>
      <c r="J42" s="108"/>
      <c r="K42" s="18">
        <f ca="1">SUM(K33:K40)</f>
        <v>1303.857828949891</v>
      </c>
      <c r="L42" s="18">
        <f ca="1">SUM(L33:L40)</f>
        <v>1265.4047518745817</v>
      </c>
      <c r="M42" s="18">
        <f ca="1">SUM(M33:M40)</f>
        <v>15.826355037830599</v>
      </c>
      <c r="N42" s="18">
        <f ca="1">SUM(N33:N40)</f>
        <v>839.43886142816518</v>
      </c>
      <c r="O42" s="18">
        <f ca="1">SUM(O33:O40)</f>
        <v>335.6089862534094</v>
      </c>
      <c r="P42" s="18">
        <f ca="1">O42+N42-L42</f>
        <v>-90.35690419300704</v>
      </c>
      <c r="Q42" s="18">
        <f>SUM(Q33:Q40)</f>
        <v>56.890000000000008</v>
      </c>
      <c r="R42" s="11">
        <f ca="1">(N42+O42)/L42</f>
        <v>0.92859446429361714</v>
      </c>
      <c r="S42" s="9">
        <f ca="1">O42+N42-L42</f>
        <v>-90.35690419300704</v>
      </c>
      <c r="T42" s="84"/>
      <c r="V42" s="232"/>
    </row>
    <row r="43" spans="2:23" s="85" customFormat="1" x14ac:dyDescent="0.25">
      <c r="B43" s="83"/>
      <c r="C43" s="181"/>
      <c r="D43" s="181"/>
      <c r="E43" s="181"/>
      <c r="F43" s="181"/>
      <c r="G43" s="181"/>
      <c r="H43" s="181"/>
      <c r="I43" s="181"/>
      <c r="J43" s="107"/>
      <c r="K43" s="182"/>
      <c r="L43" s="182"/>
      <c r="M43" s="182"/>
      <c r="N43" s="182"/>
      <c r="O43" s="182"/>
      <c r="P43" s="182"/>
      <c r="Q43" s="182"/>
      <c r="R43" s="183"/>
      <c r="S43" s="181"/>
      <c r="T43" s="84"/>
      <c r="V43" s="232"/>
    </row>
    <row r="44" spans="2:23" s="85" customFormat="1" x14ac:dyDescent="0.25">
      <c r="B44" s="83"/>
      <c r="C44" s="514" t="s">
        <v>608</v>
      </c>
      <c r="D44" s="424"/>
      <c r="E44" s="425"/>
      <c r="F44" s="425"/>
      <c r="G44" s="425"/>
      <c r="H44" s="425"/>
      <c r="I44" s="426"/>
      <c r="J44" s="427"/>
      <c r="K44" s="428"/>
      <c r="L44" s="428"/>
      <c r="M44" s="428"/>
      <c r="N44" s="428"/>
      <c r="O44" s="428"/>
      <c r="P44" s="428"/>
      <c r="Q44" s="428"/>
      <c r="R44" s="429"/>
      <c r="S44" s="425"/>
      <c r="T44" s="84"/>
      <c r="V44" s="232"/>
    </row>
    <row r="45" spans="2:23" s="85" customFormat="1" x14ac:dyDescent="0.25">
      <c r="B45" s="83"/>
      <c r="C45" s="4" t="s">
        <v>602</v>
      </c>
      <c r="D45" s="44" t="s">
        <v>292</v>
      </c>
      <c r="E45" s="2" t="str">
        <f>VLOOKUP($C45,'9. All deals (a)'!$C$6:$Q$49,E$5,0)</f>
        <v>Unrealized</v>
      </c>
      <c r="F45" s="2" t="str">
        <f>VLOOKUP($C45,'9. All deals (a)'!$C$6:$Q$49,F$5,0)</f>
        <v>Divyesh</v>
      </c>
      <c r="G45" s="2" t="str">
        <f>VLOOKUP($C45,'9. All deals (a)'!$C$6:$Q$49,G$5,0)</f>
        <v>G42 Capital</v>
      </c>
      <c r="H45" s="6">
        <f>VLOOKUP($C45,'9. All deals (a)'!$C$6:$Q$49,H$5,0)</f>
        <v>2024</v>
      </c>
      <c r="I45" s="6" t="str">
        <f>VLOOKUP($C45,'9. All deals (a)'!$C$6:$Q$49,I$5,0)</f>
        <v>Convertible Note</v>
      </c>
      <c r="J45" s="105" t="str">
        <f>VLOOKUP($C45,'9. All deals (a)'!$C$6:$Q$49,J$5,0)</f>
        <v>n/a</v>
      </c>
      <c r="K45" s="17">
        <f ca="1">VLOOKUP($C45,'9. All deals (a)'!$C$6:$Q$49,K$5,0)</f>
        <v>20</v>
      </c>
      <c r="L45" s="17">
        <f ca="1">VLOOKUP($C45,'9. All deals (a)'!$C$6:$Q$49,L$5,0)</f>
        <v>20</v>
      </c>
      <c r="M45" s="17">
        <f ca="1">VLOOKUP($C45,'9. All deals (a)'!$C$6:$Q$49,M$5,0)</f>
        <v>0</v>
      </c>
      <c r="N45" s="17">
        <f>VLOOKUP($C45,'9. All deals (a)'!$C$6:$Q$49,N$5,0)</f>
        <v>0</v>
      </c>
      <c r="O45" s="17">
        <f>VLOOKUP($C45,'9. All deals (a)'!$C$6:$Q$49,O$5,0)</f>
        <v>20</v>
      </c>
      <c r="P45" s="17">
        <f ca="1">VLOOKUP($C45,'9. All deals (a)'!$C$6:$Q$49,P$5,0)</f>
        <v>0</v>
      </c>
      <c r="Q45" s="17">
        <v>0</v>
      </c>
      <c r="R45" s="10">
        <f ca="1">VLOOKUP($C45,'9. All deals (a)'!$C$6:$Q$49,R$5,0)</f>
        <v>1</v>
      </c>
      <c r="S45" s="102"/>
      <c r="T45" s="84"/>
      <c r="V45" s="232"/>
    </row>
    <row r="46" spans="2:23" s="85" customFormat="1" x14ac:dyDescent="0.25">
      <c r="B46" s="83"/>
      <c r="C46" s="4" t="s">
        <v>676</v>
      </c>
      <c r="D46" s="44" t="s">
        <v>292</v>
      </c>
      <c r="E46" s="2" t="str">
        <f>VLOOKUP($C46,'9. All deals (a)'!$C$6:$Q$49,E$5,0)</f>
        <v>Unrealized</v>
      </c>
      <c r="F46" s="2" t="str">
        <f>VLOOKUP($C46,'9. All deals (a)'!$C$6:$Q$49,F$5,0)</f>
        <v>Divyesh</v>
      </c>
      <c r="G46" s="2" t="str">
        <f>VLOOKUP($C46,'9. All deals (a)'!$C$6:$Q$49,G$5,0)</f>
        <v>G42 Capital</v>
      </c>
      <c r="H46" s="6">
        <f>VLOOKUP($C46,'9. All deals (a)'!$C$6:$Q$49,H$5,0)</f>
        <v>2024</v>
      </c>
      <c r="I46" s="6" t="str">
        <f>VLOOKUP($C46,'9. All deals (a)'!$C$6:$Q$49,I$5,0)</f>
        <v>Convertible Debenture</v>
      </c>
      <c r="J46" s="105" t="str">
        <f>VLOOKUP($C46,'9. All deals (a)'!$C$6:$Q$49,J$5,0)</f>
        <v>n/a</v>
      </c>
      <c r="K46" s="17">
        <f>VLOOKUP($C46,'9. All deals (a)'!$C$6:$Q$49,K$5,0)</f>
        <v>10</v>
      </c>
      <c r="L46" s="17">
        <f ca="1">VLOOKUP($C46,'9. All deals (a)'!$C$6:$Q$49,L$5,0)</f>
        <v>10</v>
      </c>
      <c r="M46" s="17">
        <f ca="1">VLOOKUP($C46,'9. All deals (a)'!$C$6:$Q$49,M$5,0)</f>
        <v>0</v>
      </c>
      <c r="N46" s="17">
        <f>VLOOKUP($C46,'9. All deals (a)'!$C$6:$Q$49,N$5,0)</f>
        <v>0</v>
      </c>
      <c r="O46" s="17">
        <f>VLOOKUP($C46,'9. All deals (a)'!$C$6:$Q$49,O$5,0)</f>
        <v>10</v>
      </c>
      <c r="P46" s="17">
        <f ca="1">VLOOKUP($C46,'9. All deals (a)'!$C$6:$Q$49,P$5,0)</f>
        <v>0</v>
      </c>
      <c r="Q46" s="17">
        <v>0</v>
      </c>
      <c r="R46" s="10">
        <f ca="1">VLOOKUP($C46,'9. All deals (a)'!$C$6:$Q$49,R$5,0)</f>
        <v>1</v>
      </c>
      <c r="S46" s="102" t="str">
        <f>VLOOKUP($C46,'9. All deals (a)'!$C$6:$Q$49,S$5,0)</f>
        <v>Revenue linked RSUs</v>
      </c>
      <c r="T46" s="84"/>
      <c r="V46" s="232"/>
    </row>
    <row r="47" spans="2:23" x14ac:dyDescent="0.25">
      <c r="B47" s="81"/>
      <c r="C47" s="5"/>
      <c r="D47" s="13"/>
      <c r="E47" s="7"/>
      <c r="F47" s="7"/>
      <c r="G47" s="7"/>
      <c r="H47" s="7"/>
      <c r="I47" s="14"/>
      <c r="J47" s="206"/>
      <c r="K47" s="24"/>
      <c r="L47" s="24"/>
      <c r="M47" s="24"/>
      <c r="N47" s="24"/>
      <c r="O47" s="24"/>
      <c r="P47" s="24"/>
      <c r="Q47" s="24"/>
      <c r="R47" s="15"/>
      <c r="S47" s="219"/>
      <c r="T47" s="82"/>
    </row>
    <row r="48" spans="2:23" s="85" customFormat="1" x14ac:dyDescent="0.25">
      <c r="B48" s="83"/>
      <c r="C48" s="9"/>
      <c r="D48" s="9"/>
      <c r="E48" s="9"/>
      <c r="F48" s="9"/>
      <c r="G48" s="9"/>
      <c r="H48" s="9"/>
      <c r="I48" s="9"/>
      <c r="J48" s="108"/>
      <c r="K48" s="18">
        <f ca="1">SUM(K45:K46)</f>
        <v>30</v>
      </c>
      <c r="L48" s="18">
        <f t="shared" ref="L48:Q48" ca="1" si="0">SUM(L45:L46)</f>
        <v>30</v>
      </c>
      <c r="M48" s="18">
        <f ca="1">SUM(M45:M46)</f>
        <v>0</v>
      </c>
      <c r="N48" s="18">
        <f t="shared" si="0"/>
        <v>0</v>
      </c>
      <c r="O48" s="18">
        <f t="shared" si="0"/>
        <v>30</v>
      </c>
      <c r="P48" s="18">
        <f t="shared" ca="1" si="0"/>
        <v>0</v>
      </c>
      <c r="Q48" s="18">
        <f t="shared" si="0"/>
        <v>0</v>
      </c>
      <c r="R48" s="11">
        <f ca="1">(N48+O48)/L48</f>
        <v>1</v>
      </c>
      <c r="S48" s="9"/>
      <c r="T48" s="84"/>
      <c r="V48" s="232"/>
    </row>
    <row r="49" spans="2:22" s="85" customFormat="1" x14ac:dyDescent="0.25">
      <c r="B49" s="83"/>
      <c r="C49" s="181"/>
      <c r="D49" s="181"/>
      <c r="E49" s="181"/>
      <c r="F49" s="181"/>
      <c r="G49" s="181"/>
      <c r="H49" s="181"/>
      <c r="I49" s="181"/>
      <c r="J49" s="107"/>
      <c r="K49" s="182"/>
      <c r="L49" s="182"/>
      <c r="M49" s="182"/>
      <c r="N49" s="182"/>
      <c r="O49" s="182"/>
      <c r="P49" s="182"/>
      <c r="Q49" s="182"/>
      <c r="R49" s="183"/>
      <c r="S49" s="181"/>
      <c r="T49" s="84"/>
      <c r="V49" s="232"/>
    </row>
    <row r="50" spans="2:22" s="85" customFormat="1" x14ac:dyDescent="0.25">
      <c r="B50" s="83"/>
      <c r="C50" s="514" t="s">
        <v>609</v>
      </c>
      <c r="D50" s="424"/>
      <c r="E50" s="425"/>
      <c r="F50" s="425"/>
      <c r="G50" s="425"/>
      <c r="H50" s="425"/>
      <c r="I50" s="426"/>
      <c r="J50" s="427"/>
      <c r="K50" s="428"/>
      <c r="L50" s="428"/>
      <c r="M50" s="428"/>
      <c r="N50" s="428"/>
      <c r="O50" s="428"/>
      <c r="P50" s="428"/>
      <c r="Q50" s="428"/>
      <c r="R50" s="429"/>
      <c r="S50" s="425"/>
      <c r="T50" s="84"/>
      <c r="V50" s="232"/>
    </row>
    <row r="51" spans="2:22" ht="17.25" x14ac:dyDescent="0.25">
      <c r="B51" s="81"/>
      <c r="C51" s="4" t="s">
        <v>462</v>
      </c>
      <c r="D51" s="44" t="s">
        <v>292</v>
      </c>
      <c r="E51" s="2" t="str">
        <f>VLOOKUP($C51,'9. All deals (a)'!$C$6:$Q$49,E$5,0)</f>
        <v>Unrealized</v>
      </c>
      <c r="F51" s="2" t="str">
        <f>VLOOKUP($C51,'9. All deals (a)'!$C$6:$Q$49,F$5,0)</f>
        <v>Camillo</v>
      </c>
      <c r="G51" s="2" t="str">
        <f>VLOOKUP($C51,'9. All deals (a)'!$C$6:$Q$49,G$5,0)</f>
        <v>Core42 5</v>
      </c>
      <c r="H51" s="6">
        <f>VLOOKUP($C51,'9. All deals (a)'!$C$6:$Q$49,H$5,0)</f>
        <v>2024</v>
      </c>
      <c r="I51" s="6" t="str">
        <f>VLOOKUP($C51,'9. All deals (a)'!$C$6:$Q$49,I$5,0)</f>
        <v>Preferred Shares</v>
      </c>
      <c r="J51" s="105">
        <f>VLOOKUP($C51,'9. All deals (a)'!$C$6:$Q$49,J$5,0)</f>
        <v>0.25</v>
      </c>
      <c r="K51" s="17">
        <f ca="1">VLOOKUP($C51,'9. All deals (a)'!$C$6:$Q$49,K$5,0)</f>
        <v>2.75</v>
      </c>
      <c r="L51" s="17">
        <f ca="1">VLOOKUP($C51,'9. All deals (a)'!$C$6:$Q$49,L$5,0)</f>
        <v>2.5</v>
      </c>
      <c r="M51" s="17">
        <f ca="1">VLOOKUP($C51,'9. All deals (a)'!$C$6:$Q$49,M$5,0)</f>
        <v>0.25</v>
      </c>
      <c r="N51" s="17">
        <f>VLOOKUP($C51,'9. All deals (a)'!$C$6:$Q$49,N$5,0)</f>
        <v>0</v>
      </c>
      <c r="O51" s="17">
        <f ca="1">VLOOKUP($C51,'9. All deals (a)'!$C$6:$Q$49,O$5,0)</f>
        <v>2.5</v>
      </c>
      <c r="P51" s="17">
        <f ca="1">VLOOKUP($C51,'9. All deals (a)'!$C$6:$Q$49,P$5,0)</f>
        <v>0</v>
      </c>
      <c r="Q51" s="17">
        <v>0</v>
      </c>
      <c r="R51" s="10">
        <f ca="1">VLOOKUP($C51,'9. All deals (a)'!$C$6:$Q$49,R$5,0)</f>
        <v>1</v>
      </c>
      <c r="S51" s="2" t="s">
        <v>536</v>
      </c>
      <c r="T51" s="82"/>
    </row>
    <row r="52" spans="2:22" x14ac:dyDescent="0.25">
      <c r="B52" s="81"/>
      <c r="C52" s="5"/>
      <c r="D52" s="13"/>
      <c r="E52" s="7"/>
      <c r="F52" s="7"/>
      <c r="G52" s="7"/>
      <c r="H52" s="14"/>
      <c r="I52" s="14"/>
      <c r="J52" s="206"/>
      <c r="K52" s="24"/>
      <c r="L52" s="24"/>
      <c r="M52" s="24"/>
      <c r="N52" s="24"/>
      <c r="O52" s="24"/>
      <c r="P52" s="24"/>
      <c r="Q52" s="24"/>
      <c r="R52" s="15"/>
      <c r="S52" s="7"/>
      <c r="T52" s="82"/>
    </row>
    <row r="53" spans="2:22" s="85" customFormat="1" x14ac:dyDescent="0.25">
      <c r="B53" s="83"/>
      <c r="C53" s="9"/>
      <c r="D53" s="9"/>
      <c r="E53" s="9"/>
      <c r="F53" s="9"/>
      <c r="G53" s="9"/>
      <c r="H53" s="9"/>
      <c r="I53" s="9"/>
      <c r="J53" s="108"/>
      <c r="K53" s="18">
        <f t="shared" ref="K53:Q53" ca="1" si="1">SUM(K51)</f>
        <v>2.75</v>
      </c>
      <c r="L53" s="18">
        <f t="shared" ca="1" si="1"/>
        <v>2.5</v>
      </c>
      <c r="M53" s="18">
        <f ca="1">SUM(M51)</f>
        <v>0.25</v>
      </c>
      <c r="N53" s="18">
        <f t="shared" si="1"/>
        <v>0</v>
      </c>
      <c r="O53" s="18">
        <f t="shared" ca="1" si="1"/>
        <v>2.5</v>
      </c>
      <c r="P53" s="18">
        <f t="shared" ca="1" si="1"/>
        <v>0</v>
      </c>
      <c r="Q53" s="18">
        <f t="shared" si="1"/>
        <v>0</v>
      </c>
      <c r="R53" s="11">
        <f ca="1">(N53+O53)/L53</f>
        <v>1</v>
      </c>
      <c r="S53" s="9"/>
      <c r="T53" s="84"/>
      <c r="V53" s="232"/>
    </row>
    <row r="54" spans="2:22" s="85" customFormat="1" x14ac:dyDescent="0.25">
      <c r="B54" s="83"/>
      <c r="C54" s="181"/>
      <c r="D54" s="181"/>
      <c r="E54" s="181"/>
      <c r="F54" s="181"/>
      <c r="G54" s="181"/>
      <c r="H54" s="181"/>
      <c r="I54" s="181"/>
      <c r="J54" s="107"/>
      <c r="K54" s="182"/>
      <c r="L54" s="182"/>
      <c r="M54" s="182"/>
      <c r="N54" s="182"/>
      <c r="O54" s="182"/>
      <c r="P54" s="182"/>
      <c r="Q54" s="182"/>
      <c r="R54" s="183"/>
      <c r="S54" s="181"/>
      <c r="T54" s="84"/>
      <c r="V54" s="232"/>
    </row>
    <row r="55" spans="2:22" s="85" customFormat="1" x14ac:dyDescent="0.25">
      <c r="B55" s="83"/>
      <c r="C55" s="446"/>
      <c r="D55" s="446"/>
      <c r="E55" s="447"/>
      <c r="F55" s="447"/>
      <c r="G55" s="447"/>
      <c r="H55" s="447"/>
      <c r="I55" s="447"/>
      <c r="J55" s="508"/>
      <c r="K55" s="509">
        <f t="shared" ref="K55:Q55" ca="1" si="2">K30+K42+K48+K53</f>
        <v>2341.875369322735</v>
      </c>
      <c r="L55" s="509">
        <f t="shared" ca="1" si="2"/>
        <v>2299.6722922474255</v>
      </c>
      <c r="M55" s="509">
        <f t="shared" ca="1" si="2"/>
        <v>19.576355037830599</v>
      </c>
      <c r="N55" s="509">
        <f t="shared" ca="1" si="2"/>
        <v>1280.3518386081651</v>
      </c>
      <c r="O55" s="509">
        <f t="shared" ca="1" si="2"/>
        <v>899.52998260278491</v>
      </c>
      <c r="P55" s="509">
        <f t="shared" ca="1" si="2"/>
        <v>-119.79047103647542</v>
      </c>
      <c r="Q55" s="509">
        <f t="shared" si="2"/>
        <v>71.427198455442181</v>
      </c>
      <c r="R55" s="510">
        <f ca="1">(N55+O55)/L55</f>
        <v>0.94790976460415299</v>
      </c>
      <c r="S55" s="447"/>
      <c r="T55" s="84"/>
      <c r="V55" s="277"/>
    </row>
    <row r="56" spans="2:22" s="217" customFormat="1" ht="15.75" thickBot="1" x14ac:dyDescent="0.3">
      <c r="B56" s="210"/>
      <c r="C56" s="211"/>
      <c r="D56" s="211"/>
      <c r="E56" s="212"/>
      <c r="F56" s="212"/>
      <c r="G56" s="212"/>
      <c r="H56" s="212"/>
      <c r="I56" s="212"/>
      <c r="J56" s="213"/>
      <c r="K56" s="214"/>
      <c r="L56" s="214"/>
      <c r="M56" s="214"/>
      <c r="N56" s="214"/>
      <c r="O56" s="214"/>
      <c r="P56" s="214"/>
      <c r="Q56" s="214"/>
      <c r="R56" s="215"/>
      <c r="S56" s="212"/>
      <c r="T56" s="216"/>
      <c r="V56" s="277"/>
    </row>
    <row r="57" spans="2:22" x14ac:dyDescent="0.25">
      <c r="J57" s="91"/>
      <c r="V57" s="278"/>
    </row>
    <row r="58" spans="2:22" x14ac:dyDescent="0.25">
      <c r="I58" s="240" t="s">
        <v>303</v>
      </c>
      <c r="J58" s="235"/>
      <c r="K58" s="235" t="b">
        <f ca="1">K55='9. All deals (a)'!J49</f>
        <v>1</v>
      </c>
      <c r="L58" s="235" t="b">
        <f ca="1">ROUND(L55,3)=ROUND('9. All deals (a)'!K49,3)</f>
        <v>1</v>
      </c>
      <c r="M58" s="304" t="b">
        <f ca="1">M30+M53='9. All deals (a)'!L33</f>
        <v>1</v>
      </c>
      <c r="N58" s="235" t="b">
        <f ca="1">N55='9. All deals (a)'!M49</f>
        <v>1</v>
      </c>
      <c r="O58" s="235" t="b">
        <f ca="1">O55='9. All deals (a)'!N49</f>
        <v>1</v>
      </c>
      <c r="P58" s="235" t="b">
        <f ca="1">ROUND(P55,3)=ROUND('9. All deals (a)'!O49,3)</f>
        <v>1</v>
      </c>
      <c r="Q58" s="235"/>
    </row>
    <row r="59" spans="2:22" x14ac:dyDescent="0.25">
      <c r="B59" s="153"/>
      <c r="C59" s="153" t="s">
        <v>304</v>
      </c>
      <c r="D59" s="5"/>
      <c r="E59" s="7"/>
      <c r="F59" s="7"/>
      <c r="G59" s="7"/>
      <c r="H59" s="7"/>
      <c r="I59" s="241"/>
      <c r="J59" s="125"/>
      <c r="K59" s="242"/>
      <c r="L59" s="26"/>
      <c r="M59" s="26"/>
      <c r="N59" s="242"/>
      <c r="O59" s="242"/>
      <c r="P59" s="242"/>
      <c r="Q59" s="242"/>
      <c r="R59" s="15"/>
      <c r="S59" s="7"/>
    </row>
    <row r="60" spans="2:22" x14ac:dyDescent="0.25">
      <c r="B60" s="153"/>
      <c r="C60" s="511" t="s">
        <v>625</v>
      </c>
      <c r="D60" s="512"/>
      <c r="E60" s="513"/>
      <c r="F60" s="232"/>
      <c r="G60" s="232"/>
      <c r="H60" s="232"/>
      <c r="I60" s="232"/>
      <c r="J60" s="232"/>
      <c r="K60" s="232"/>
      <c r="L60" s="289"/>
      <c r="M60" s="232"/>
      <c r="N60" s="232"/>
      <c r="O60" s="232"/>
      <c r="P60" s="289"/>
      <c r="Q60" s="232"/>
      <c r="R60" s="232"/>
    </row>
    <row r="61" spans="2:22" s="27" customFormat="1" x14ac:dyDescent="0.25">
      <c r="B61" s="26"/>
      <c r="C61" s="13"/>
      <c r="D61" s="13"/>
      <c r="L61" s="289"/>
      <c r="T61" s="26"/>
    </row>
    <row r="62" spans="2:22" s="27" customFormat="1" x14ac:dyDescent="0.25">
      <c r="B62" s="26"/>
      <c r="C62" s="72"/>
      <c r="D62" s="72"/>
      <c r="E62" s="232"/>
      <c r="F62" s="232"/>
      <c r="G62" s="232"/>
      <c r="H62" s="233"/>
      <c r="I62" s="232"/>
      <c r="J62" s="232"/>
      <c r="K62" s="232"/>
      <c r="L62" s="232"/>
      <c r="M62" s="232"/>
      <c r="N62" s="232"/>
      <c r="O62" s="232"/>
      <c r="Q62" s="232"/>
      <c r="R62" s="232"/>
      <c r="T62" s="26"/>
    </row>
    <row r="63" spans="2:22" s="27" customFormat="1" x14ac:dyDescent="0.25">
      <c r="B63" s="26"/>
      <c r="C63" s="13"/>
      <c r="D63" s="13"/>
      <c r="E63" s="232"/>
      <c r="F63" s="232"/>
      <c r="G63" s="232"/>
      <c r="H63" s="234"/>
      <c r="L63" s="289"/>
      <c r="R63" s="232"/>
      <c r="T63" s="26"/>
    </row>
    <row r="64" spans="2:22" s="27" customFormat="1" x14ac:dyDescent="0.25">
      <c r="B64" s="26"/>
      <c r="C64" s="13"/>
      <c r="D64" s="13"/>
      <c r="E64" s="232"/>
      <c r="F64" s="232"/>
      <c r="G64" s="232"/>
      <c r="H64" s="232"/>
      <c r="I64" s="232"/>
      <c r="J64" s="232"/>
      <c r="K64" s="232"/>
      <c r="L64" s="232"/>
      <c r="M64" s="232"/>
      <c r="N64" s="232"/>
      <c r="O64" s="232"/>
      <c r="Q64" s="232"/>
      <c r="R64" s="232"/>
      <c r="T64" s="26"/>
    </row>
    <row r="65" spans="2:20" s="27" customFormat="1" x14ac:dyDescent="0.25">
      <c r="B65" s="26"/>
      <c r="C65" s="13"/>
      <c r="D65" s="13"/>
      <c r="E65" s="232"/>
      <c r="F65" s="232"/>
      <c r="G65" s="232"/>
      <c r="H65" s="232"/>
      <c r="I65" s="232"/>
      <c r="J65" s="232"/>
      <c r="K65" s="232"/>
      <c r="L65" s="232"/>
      <c r="M65" s="232"/>
      <c r="N65" s="232"/>
      <c r="O65" s="232"/>
      <c r="Q65" s="232"/>
      <c r="R65" s="232"/>
      <c r="T65" s="26"/>
    </row>
    <row r="66" spans="2:20" s="27" customFormat="1" x14ac:dyDescent="0.25">
      <c r="B66" s="26"/>
      <c r="C66" s="13"/>
      <c r="D66" s="13"/>
      <c r="E66" s="232"/>
      <c r="F66" s="232"/>
      <c r="G66" s="232"/>
      <c r="H66" s="232"/>
      <c r="I66" s="232"/>
      <c r="J66" s="232"/>
      <c r="K66" s="232"/>
      <c r="L66" s="232"/>
      <c r="M66" s="232"/>
      <c r="N66" s="232"/>
      <c r="O66" s="232"/>
      <c r="P66" s="232"/>
      <c r="Q66" s="232"/>
      <c r="R66" s="232"/>
      <c r="T66" s="26"/>
    </row>
    <row r="67" spans="2:20" s="27" customFormat="1" x14ac:dyDescent="0.25">
      <c r="B67" s="26"/>
      <c r="C67" s="13"/>
      <c r="D67" s="13"/>
      <c r="E67" s="232"/>
      <c r="F67" s="232"/>
      <c r="G67" s="232"/>
      <c r="H67" s="232"/>
      <c r="I67" s="232"/>
      <c r="J67" s="232"/>
      <c r="K67" s="232"/>
      <c r="L67" s="232"/>
      <c r="M67" s="232"/>
      <c r="N67" s="232"/>
      <c r="O67" s="232"/>
      <c r="P67" s="232"/>
      <c r="Q67" s="232"/>
      <c r="R67" s="232"/>
      <c r="T67" s="26"/>
    </row>
    <row r="68" spans="2:20" s="27" customFormat="1" x14ac:dyDescent="0.25">
      <c r="B68" s="26"/>
      <c r="C68" s="71"/>
      <c r="D68" s="71"/>
      <c r="O68" s="95"/>
      <c r="P68" s="95"/>
      <c r="Q68" s="95"/>
      <c r="T68" s="26"/>
    </row>
    <row r="69" spans="2:20" s="27" customFormat="1" x14ac:dyDescent="0.25">
      <c r="B69" s="26"/>
      <c r="C69" s="72"/>
      <c r="D69" s="72"/>
      <c r="O69" s="95"/>
      <c r="P69" s="95"/>
      <c r="Q69" s="95"/>
      <c r="T69" s="26"/>
    </row>
    <row r="70" spans="2:20" s="27" customFormat="1" x14ac:dyDescent="0.25">
      <c r="B70" s="26"/>
      <c r="C70" s="218"/>
      <c r="D70" s="218"/>
      <c r="O70" s="95"/>
      <c r="P70" s="95"/>
      <c r="Q70" s="95"/>
      <c r="T70" s="26"/>
    </row>
    <row r="71" spans="2:20" s="27" customFormat="1" x14ac:dyDescent="0.25">
      <c r="B71" s="26"/>
      <c r="C71" s="72"/>
      <c r="D71" s="72"/>
      <c r="O71" s="95"/>
      <c r="P71" s="95"/>
      <c r="Q71" s="95"/>
      <c r="T71" s="26"/>
    </row>
    <row r="72" spans="2:20" s="27" customFormat="1" x14ac:dyDescent="0.25">
      <c r="B72" s="26"/>
      <c r="C72" s="71"/>
      <c r="D72" s="71"/>
      <c r="O72" s="95"/>
      <c r="P72" s="95"/>
      <c r="Q72" s="95"/>
      <c r="T72" s="26"/>
    </row>
    <row r="73" spans="2:20" s="27" customFormat="1" x14ac:dyDescent="0.25">
      <c r="B73" s="26"/>
      <c r="C73" s="71"/>
      <c r="D73" s="71"/>
      <c r="O73" s="95"/>
      <c r="P73" s="95"/>
      <c r="Q73" s="95"/>
      <c r="T73" s="26"/>
    </row>
    <row r="74" spans="2:20" s="27" customFormat="1" x14ac:dyDescent="0.25">
      <c r="B74" s="26"/>
      <c r="C74" s="71"/>
      <c r="D74" s="71"/>
      <c r="T74" s="26"/>
    </row>
    <row r="75" spans="2:20" s="27" customFormat="1" x14ac:dyDescent="0.25">
      <c r="B75" s="26"/>
      <c r="C75" s="72"/>
      <c r="D75" s="72"/>
      <c r="T75" s="26"/>
    </row>
    <row r="76" spans="2:20" s="27" customFormat="1" x14ac:dyDescent="0.25">
      <c r="B76" s="26"/>
      <c r="C76" s="72"/>
      <c r="D76" s="72"/>
      <c r="T76" s="26"/>
    </row>
    <row r="77" spans="2:20" s="27" customFormat="1" x14ac:dyDescent="0.25">
      <c r="B77" s="26"/>
      <c r="C77" s="72"/>
      <c r="D77" s="72"/>
      <c r="T77" s="26"/>
    </row>
    <row r="78" spans="2:20" s="27" customFormat="1" x14ac:dyDescent="0.25">
      <c r="B78" s="26"/>
      <c r="C78" s="71"/>
      <c r="D78" s="71"/>
      <c r="T78" s="26"/>
    </row>
    <row r="79" spans="2:20" s="27" customFormat="1" x14ac:dyDescent="0.25">
      <c r="B79" s="26"/>
      <c r="C79" s="71"/>
      <c r="D79" s="71"/>
      <c r="H79" s="163"/>
      <c r="J79" s="72"/>
      <c r="R79" s="95"/>
      <c r="T79" s="26"/>
    </row>
    <row r="80" spans="2:20" s="27" customFormat="1" x14ac:dyDescent="0.25">
      <c r="B80" s="26"/>
      <c r="C80" s="71"/>
      <c r="D80" s="71"/>
      <c r="H80" s="163"/>
      <c r="J80" s="72"/>
      <c r="R80" s="95"/>
      <c r="T80" s="26"/>
    </row>
    <row r="81" spans="2:20" s="27" customFormat="1" x14ac:dyDescent="0.25">
      <c r="B81" s="26"/>
      <c r="C81" s="71"/>
      <c r="D81" s="71"/>
      <c r="H81" s="72"/>
      <c r="J81" s="72"/>
      <c r="R81" s="95"/>
      <c r="T81" s="26"/>
    </row>
    <row r="82" spans="2:20" s="27" customFormat="1" x14ac:dyDescent="0.25">
      <c r="B82" s="26"/>
      <c r="C82" s="72"/>
      <c r="D82" s="72"/>
      <c r="F82" s="72"/>
      <c r="H82" s="72"/>
      <c r="J82" s="72"/>
      <c r="R82" s="95"/>
      <c r="T82" s="26"/>
    </row>
    <row r="83" spans="2:20" s="27" customFormat="1" x14ac:dyDescent="0.25">
      <c r="B83" s="26"/>
      <c r="H83" s="72"/>
      <c r="J83" s="72"/>
      <c r="R83" s="95"/>
      <c r="T83" s="26"/>
    </row>
    <row r="84" spans="2:20" s="27" customFormat="1" x14ac:dyDescent="0.25">
      <c r="B84" s="26"/>
      <c r="R84" s="95"/>
      <c r="T84" s="26"/>
    </row>
    <row r="85" spans="2:20" s="27" customFormat="1" x14ac:dyDescent="0.25">
      <c r="B85" s="26"/>
      <c r="C85" s="71"/>
      <c r="D85" s="71"/>
      <c r="G85" s="72"/>
      <c r="R85" s="95"/>
      <c r="T85" s="26"/>
    </row>
  </sheetData>
  <dataConsolidate/>
  <pageMargins left="0.7" right="0.7" top="0.75" bottom="0.75" header="0.3" footer="0.3"/>
  <pageSetup paperSize="9" scale="24" orientation="portrait" verticalDpi="0" r:id="rId1"/>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0"/>
  <sheetViews>
    <sheetView showGridLines="0" view="pageBreakPreview" zoomScale="70" zoomScaleNormal="70" zoomScaleSheetLayoutView="70" workbookViewId="0">
      <selection activeCell="G13" sqref="G13"/>
    </sheetView>
  </sheetViews>
  <sheetFormatPr defaultColWidth="9.140625" defaultRowHeight="15" x14ac:dyDescent="0.25"/>
  <cols>
    <col min="1" max="1" width="5.42578125" style="26" customWidth="1"/>
    <col min="2" max="2" width="8.28515625" style="26" customWidth="1"/>
    <col min="3" max="3" width="54.140625" style="71"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9"/>
    </row>
    <row r="2" spans="2:20" ht="15.75" thickBot="1" x14ac:dyDescent="0.3">
      <c r="C2" s="185" t="s">
        <v>170</v>
      </c>
      <c r="D2" s="186">
        <f>'9. All deals (a)'!D2</f>
        <v>45565</v>
      </c>
      <c r="E2" s="26"/>
      <c r="F2" s="26"/>
      <c r="G2" s="26"/>
      <c r="H2" s="26"/>
      <c r="I2" s="26"/>
      <c r="J2" s="26"/>
      <c r="K2" s="26"/>
      <c r="L2" s="26"/>
      <c r="M2" s="26"/>
      <c r="N2" s="26"/>
      <c r="O2" s="26"/>
      <c r="P2" s="26"/>
      <c r="Q2" s="26"/>
    </row>
    <row r="3" spans="2:20" ht="15.75" thickBot="1" x14ac:dyDescent="0.3">
      <c r="C3" s="159"/>
      <c r="P3" s="153" t="s">
        <v>365</v>
      </c>
    </row>
    <row r="4" spans="2:20" x14ac:dyDescent="0.25">
      <c r="B4" s="73"/>
      <c r="C4" s="74"/>
      <c r="D4" s="75"/>
      <c r="E4" s="75"/>
      <c r="F4" s="75"/>
      <c r="G4" s="75"/>
      <c r="H4" s="75"/>
      <c r="I4" s="75"/>
      <c r="J4" s="75"/>
      <c r="K4" s="199"/>
      <c r="L4" s="199"/>
      <c r="M4" s="199"/>
      <c r="N4" s="199"/>
      <c r="O4" s="199"/>
      <c r="P4" s="199"/>
      <c r="Q4" s="199"/>
      <c r="R4" s="77"/>
    </row>
    <row r="5" spans="2:20" x14ac:dyDescent="0.25">
      <c r="B5" s="81"/>
      <c r="R5" s="82"/>
    </row>
    <row r="6" spans="2:20" s="80" customFormat="1" ht="30" x14ac:dyDescent="0.25">
      <c r="B6" s="78"/>
      <c r="C6" s="3" t="s">
        <v>51</v>
      </c>
      <c r="D6" s="1" t="s">
        <v>25</v>
      </c>
      <c r="E6" s="1" t="s">
        <v>61</v>
      </c>
      <c r="F6" s="1" t="s">
        <v>31</v>
      </c>
      <c r="G6" s="1" t="s">
        <v>453</v>
      </c>
      <c r="H6" s="1" t="s">
        <v>461</v>
      </c>
      <c r="I6" s="1" t="s">
        <v>532</v>
      </c>
      <c r="J6" s="1" t="s">
        <v>36</v>
      </c>
      <c r="K6" s="1" t="s">
        <v>217</v>
      </c>
      <c r="L6" s="1" t="s">
        <v>358</v>
      </c>
      <c r="M6" s="1" t="s">
        <v>359</v>
      </c>
      <c r="N6" s="1" t="s">
        <v>349</v>
      </c>
      <c r="O6" s="1" t="s">
        <v>53</v>
      </c>
      <c r="P6" s="1" t="s">
        <v>366</v>
      </c>
      <c r="Q6" s="324" t="s">
        <v>229</v>
      </c>
      <c r="R6" s="79"/>
    </row>
    <row r="7" spans="2:20" x14ac:dyDescent="0.25">
      <c r="B7" s="81"/>
      <c r="C7" s="5"/>
      <c r="D7" s="8"/>
      <c r="E7" s="8"/>
      <c r="F7" s="8"/>
      <c r="G7" s="8"/>
      <c r="H7" s="8"/>
      <c r="I7" s="8"/>
      <c r="J7" s="8"/>
      <c r="K7" s="8"/>
      <c r="L7" s="8"/>
      <c r="M7" s="8"/>
      <c r="N7" s="8"/>
      <c r="O7" s="8"/>
      <c r="P7" s="8"/>
      <c r="Q7" s="196"/>
      <c r="R7" s="82"/>
    </row>
    <row r="8" spans="2:20" x14ac:dyDescent="0.25">
      <c r="B8" s="81"/>
      <c r="C8" s="514" t="s">
        <v>28</v>
      </c>
      <c r="D8" s="424"/>
      <c r="E8" s="425"/>
      <c r="F8" s="425"/>
      <c r="G8" s="425"/>
      <c r="H8" s="425"/>
      <c r="I8" s="426"/>
      <c r="J8" s="427"/>
      <c r="K8" s="428"/>
      <c r="L8" s="428"/>
      <c r="M8" s="428"/>
      <c r="N8" s="428"/>
      <c r="O8" s="428"/>
      <c r="P8" s="428"/>
      <c r="Q8" s="427"/>
      <c r="R8" s="82"/>
      <c r="T8" s="425"/>
    </row>
    <row r="9" spans="2:20" ht="17.25" x14ac:dyDescent="0.25">
      <c r="B9" s="81"/>
      <c r="C9" s="4" t="s">
        <v>47</v>
      </c>
      <c r="D9" s="2" t="s">
        <v>444</v>
      </c>
      <c r="E9" s="2" t="s">
        <v>63</v>
      </c>
      <c r="F9" s="2" t="s">
        <v>8</v>
      </c>
      <c r="G9" s="396" t="s">
        <v>454</v>
      </c>
      <c r="H9" s="2" t="s">
        <v>486</v>
      </c>
      <c r="I9" s="396" t="s">
        <v>487</v>
      </c>
      <c r="J9" s="2" t="s">
        <v>73</v>
      </c>
      <c r="K9" s="2"/>
      <c r="L9" s="326" t="s">
        <v>302</v>
      </c>
      <c r="M9" s="326" t="s">
        <v>302</v>
      </c>
      <c r="N9" s="325" t="s">
        <v>378</v>
      </c>
      <c r="O9" s="328">
        <v>5.6999998161926343E-2</v>
      </c>
      <c r="P9" s="2"/>
      <c r="Q9" s="197">
        <v>1</v>
      </c>
      <c r="R9" s="82"/>
    </row>
    <row r="10" spans="2:20" ht="17.25" x14ac:dyDescent="0.25">
      <c r="B10" s="81"/>
      <c r="C10" s="4" t="s">
        <v>0</v>
      </c>
      <c r="D10" s="2" t="s">
        <v>78</v>
      </c>
      <c r="E10" s="2" t="s">
        <v>63</v>
      </c>
      <c r="F10" s="2" t="s">
        <v>8</v>
      </c>
      <c r="G10" s="396" t="s">
        <v>454</v>
      </c>
      <c r="H10" s="2" t="s">
        <v>486</v>
      </c>
      <c r="I10" s="396" t="s">
        <v>487</v>
      </c>
      <c r="J10" s="2" t="s">
        <v>68</v>
      </c>
      <c r="K10" s="2"/>
      <c r="L10" s="326" t="s">
        <v>302</v>
      </c>
      <c r="M10" s="326" t="s">
        <v>302</v>
      </c>
      <c r="N10" s="325" t="s">
        <v>378</v>
      </c>
      <c r="O10" s="328">
        <v>0.14000000235296001</v>
      </c>
      <c r="P10" s="2"/>
      <c r="Q10" s="197">
        <v>2</v>
      </c>
      <c r="R10" s="82"/>
    </row>
    <row r="11" spans="2:20" ht="17.25" x14ac:dyDescent="0.25">
      <c r="B11" s="81"/>
      <c r="C11" s="4" t="s">
        <v>38</v>
      </c>
      <c r="D11" s="2" t="s">
        <v>78</v>
      </c>
      <c r="E11" s="2" t="s">
        <v>62</v>
      </c>
      <c r="F11" s="2" t="s">
        <v>8</v>
      </c>
      <c r="G11" s="396" t="s">
        <v>454</v>
      </c>
      <c r="H11" s="2" t="s">
        <v>486</v>
      </c>
      <c r="I11" s="396" t="s">
        <v>487</v>
      </c>
      <c r="J11" s="2" t="s">
        <v>75</v>
      </c>
      <c r="K11" s="2"/>
      <c r="L11" s="326" t="s">
        <v>302</v>
      </c>
      <c r="M11" s="326" t="s">
        <v>302</v>
      </c>
      <c r="N11" s="325" t="s">
        <v>379</v>
      </c>
      <c r="O11" s="328">
        <v>8.5025484621212399E-2</v>
      </c>
      <c r="P11" s="2" t="s">
        <v>367</v>
      </c>
      <c r="Q11" s="197">
        <v>3</v>
      </c>
      <c r="R11" s="82"/>
    </row>
    <row r="12" spans="2:20" ht="17.25" x14ac:dyDescent="0.25">
      <c r="B12" s="81"/>
      <c r="C12" s="4" t="s">
        <v>39</v>
      </c>
      <c r="D12" s="2" t="s">
        <v>79</v>
      </c>
      <c r="E12" s="2" t="s">
        <v>62</v>
      </c>
      <c r="F12" s="2" t="s">
        <v>8</v>
      </c>
      <c r="G12" s="396" t="s">
        <v>454</v>
      </c>
      <c r="H12" s="2" t="s">
        <v>486</v>
      </c>
      <c r="I12" s="396" t="s">
        <v>487</v>
      </c>
      <c r="J12" s="2" t="s">
        <v>44</v>
      </c>
      <c r="K12" s="2"/>
      <c r="L12" s="326" t="s">
        <v>302</v>
      </c>
      <c r="M12" s="2" t="s">
        <v>124</v>
      </c>
      <c r="N12" s="325" t="s">
        <v>381</v>
      </c>
      <c r="O12" s="328" t="s">
        <v>124</v>
      </c>
      <c r="P12" s="2"/>
      <c r="Q12" s="197">
        <v>4</v>
      </c>
      <c r="R12" s="82"/>
    </row>
    <row r="13" spans="2:20" ht="17.25" x14ac:dyDescent="0.25">
      <c r="B13" s="81"/>
      <c r="C13" s="4" t="s">
        <v>37</v>
      </c>
      <c r="D13" s="2" t="s">
        <v>78</v>
      </c>
      <c r="E13" s="2" t="s">
        <v>64</v>
      </c>
      <c r="F13" s="2" t="s">
        <v>8</v>
      </c>
      <c r="G13" s="396" t="s">
        <v>454</v>
      </c>
      <c r="H13" s="2" t="s">
        <v>486</v>
      </c>
      <c r="I13" s="396" t="s">
        <v>487</v>
      </c>
      <c r="J13" s="2" t="s">
        <v>67</v>
      </c>
      <c r="K13" s="2"/>
      <c r="L13" s="326" t="s">
        <v>302</v>
      </c>
      <c r="M13" s="326" t="s">
        <v>302</v>
      </c>
      <c r="N13" s="325" t="s">
        <v>379</v>
      </c>
      <c r="O13" s="328">
        <v>9.7965107245756355E-2</v>
      </c>
      <c r="P13" s="2"/>
      <c r="Q13" s="197">
        <v>5</v>
      </c>
      <c r="R13" s="82"/>
    </row>
    <row r="14" spans="2:20" ht="17.25" x14ac:dyDescent="0.25">
      <c r="B14" s="81"/>
      <c r="C14" s="4" t="s">
        <v>87</v>
      </c>
      <c r="D14" s="2" t="s">
        <v>78</v>
      </c>
      <c r="E14" s="2" t="s">
        <v>64</v>
      </c>
      <c r="F14" s="2" t="s">
        <v>8</v>
      </c>
      <c r="G14" s="94" t="s">
        <v>454</v>
      </c>
      <c r="H14" s="402" t="s">
        <v>531</v>
      </c>
      <c r="I14" s="402" t="s">
        <v>487</v>
      </c>
      <c r="J14" s="2" t="s">
        <v>45</v>
      </c>
      <c r="K14" s="2" t="s">
        <v>216</v>
      </c>
      <c r="L14" s="326" t="s">
        <v>302</v>
      </c>
      <c r="M14" s="326" t="s">
        <v>302</v>
      </c>
      <c r="N14" s="325" t="s">
        <v>351</v>
      </c>
      <c r="O14" s="328">
        <v>5.1651565402323088E-2</v>
      </c>
      <c r="P14" s="2"/>
      <c r="Q14" s="197">
        <v>6</v>
      </c>
      <c r="R14" s="82"/>
    </row>
    <row r="15" spans="2:20" ht="17.25" x14ac:dyDescent="0.25">
      <c r="B15" s="81"/>
      <c r="C15" s="4" t="s">
        <v>9</v>
      </c>
      <c r="D15" s="2" t="s">
        <v>78</v>
      </c>
      <c r="E15" s="2" t="s">
        <v>63</v>
      </c>
      <c r="F15" s="2" t="s">
        <v>8</v>
      </c>
      <c r="G15" s="396" t="s">
        <v>454</v>
      </c>
      <c r="H15" s="2" t="s">
        <v>486</v>
      </c>
      <c r="I15" s="396" t="s">
        <v>487</v>
      </c>
      <c r="J15" s="2" t="s">
        <v>72</v>
      </c>
      <c r="K15" s="2"/>
      <c r="L15" s="326" t="s">
        <v>302</v>
      </c>
      <c r="M15" s="326" t="s">
        <v>302</v>
      </c>
      <c r="N15" s="325" t="s">
        <v>350</v>
      </c>
      <c r="O15" s="328">
        <v>0.14380000000000001</v>
      </c>
      <c r="P15" s="2"/>
      <c r="Q15" s="197">
        <v>7</v>
      </c>
      <c r="R15" s="82"/>
    </row>
    <row r="16" spans="2:20" ht="17.25" x14ac:dyDescent="0.25">
      <c r="B16" s="81"/>
      <c r="C16" s="4" t="s">
        <v>18</v>
      </c>
      <c r="D16" s="2" t="s">
        <v>79</v>
      </c>
      <c r="E16" s="2" t="s">
        <v>62</v>
      </c>
      <c r="F16" s="2" t="s">
        <v>374</v>
      </c>
      <c r="G16" s="396" t="s">
        <v>455</v>
      </c>
      <c r="H16" s="2" t="s">
        <v>79</v>
      </c>
      <c r="I16" s="2" t="s">
        <v>79</v>
      </c>
      <c r="J16" s="2" t="s">
        <v>49</v>
      </c>
      <c r="K16" s="2"/>
      <c r="L16" s="326" t="s">
        <v>302</v>
      </c>
      <c r="M16" s="2" t="s">
        <v>124</v>
      </c>
      <c r="N16" s="325" t="s">
        <v>351</v>
      </c>
      <c r="O16" s="328">
        <v>0.03</v>
      </c>
      <c r="P16" s="2"/>
      <c r="Q16" s="197">
        <v>8</v>
      </c>
      <c r="R16" s="82"/>
    </row>
    <row r="17" spans="2:20" ht="17.25" x14ac:dyDescent="0.25">
      <c r="B17" s="81"/>
      <c r="C17" s="4" t="s">
        <v>40</v>
      </c>
      <c r="D17" s="2" t="s">
        <v>78</v>
      </c>
      <c r="E17" s="2" t="s">
        <v>66</v>
      </c>
      <c r="F17" s="2" t="s">
        <v>8</v>
      </c>
      <c r="G17" s="396" t="s">
        <v>454</v>
      </c>
      <c r="H17" s="2" t="s">
        <v>486</v>
      </c>
      <c r="I17" s="396" t="s">
        <v>487</v>
      </c>
      <c r="J17" s="2" t="s">
        <v>69</v>
      </c>
      <c r="K17" s="2"/>
      <c r="L17" s="326" t="s">
        <v>302</v>
      </c>
      <c r="M17" s="326" t="s">
        <v>302</v>
      </c>
      <c r="N17" s="325" t="s">
        <v>379</v>
      </c>
      <c r="O17" s="328">
        <v>9.117206771726628E-3</v>
      </c>
      <c r="P17" s="2"/>
      <c r="Q17" s="197">
        <v>9</v>
      </c>
      <c r="R17" s="82"/>
    </row>
    <row r="18" spans="2:20" ht="17.25" x14ac:dyDescent="0.25">
      <c r="B18" s="81"/>
      <c r="C18" s="4" t="s">
        <v>41</v>
      </c>
      <c r="D18" s="2" t="s">
        <v>78</v>
      </c>
      <c r="E18" s="2" t="s">
        <v>62</v>
      </c>
      <c r="F18" s="2" t="s">
        <v>8</v>
      </c>
      <c r="G18" s="396" t="s">
        <v>454</v>
      </c>
      <c r="H18" s="2" t="s">
        <v>486</v>
      </c>
      <c r="I18" s="398" t="s">
        <v>623</v>
      </c>
      <c r="J18" s="2" t="s">
        <v>74</v>
      </c>
      <c r="K18" s="2"/>
      <c r="L18" s="326" t="s">
        <v>302</v>
      </c>
      <c r="M18" s="326" t="s">
        <v>302</v>
      </c>
      <c r="N18" s="325" t="s">
        <v>379</v>
      </c>
      <c r="O18" s="328">
        <v>0.16080402010050251</v>
      </c>
      <c r="P18" s="2"/>
      <c r="Q18" s="197">
        <v>10</v>
      </c>
      <c r="R18" s="82"/>
    </row>
    <row r="19" spans="2:20" ht="17.25" x14ac:dyDescent="0.25">
      <c r="B19" s="81"/>
      <c r="C19" s="4" t="s">
        <v>42</v>
      </c>
      <c r="D19" s="2" t="s">
        <v>79</v>
      </c>
      <c r="E19" s="2" t="s">
        <v>66</v>
      </c>
      <c r="F19" s="2" t="s">
        <v>8</v>
      </c>
      <c r="G19" s="396" t="s">
        <v>454</v>
      </c>
      <c r="H19" s="2" t="s">
        <v>486</v>
      </c>
      <c r="I19" s="396" t="s">
        <v>487</v>
      </c>
      <c r="J19" s="2" t="s">
        <v>76</v>
      </c>
      <c r="K19" s="2"/>
      <c r="L19" s="326" t="s">
        <v>302</v>
      </c>
      <c r="M19" s="326" t="s">
        <v>302</v>
      </c>
      <c r="N19" s="325" t="s">
        <v>351</v>
      </c>
      <c r="O19" s="328">
        <v>1.1489405791845828E-2</v>
      </c>
      <c r="P19" s="2"/>
      <c r="Q19" s="197">
        <v>11</v>
      </c>
      <c r="R19" s="82"/>
    </row>
    <row r="20" spans="2:20" ht="17.25" x14ac:dyDescent="0.25">
      <c r="B20" s="81"/>
      <c r="C20" s="4" t="s">
        <v>70</v>
      </c>
      <c r="D20" s="2" t="s">
        <v>79</v>
      </c>
      <c r="E20" s="2" t="s">
        <v>63</v>
      </c>
      <c r="F20" s="2" t="s">
        <v>375</v>
      </c>
      <c r="G20" s="2" t="s">
        <v>456</v>
      </c>
      <c r="H20" s="2" t="s">
        <v>488</v>
      </c>
      <c r="I20" s="2" t="s">
        <v>489</v>
      </c>
      <c r="J20" s="2" t="s">
        <v>77</v>
      </c>
      <c r="K20" s="2"/>
      <c r="L20" s="326" t="s">
        <v>302</v>
      </c>
      <c r="M20" s="326" t="s">
        <v>302</v>
      </c>
      <c r="N20" s="325" t="s">
        <v>350</v>
      </c>
      <c r="O20" s="328">
        <v>5.1000000000000004E-2</v>
      </c>
      <c r="P20" s="2"/>
      <c r="Q20" s="197">
        <v>12</v>
      </c>
      <c r="R20" s="82"/>
    </row>
    <row r="21" spans="2:20" ht="17.25" x14ac:dyDescent="0.25">
      <c r="B21" s="81"/>
      <c r="C21" s="4" t="s">
        <v>19</v>
      </c>
      <c r="D21" s="2" t="s">
        <v>78</v>
      </c>
      <c r="E21" s="2" t="s">
        <v>65</v>
      </c>
      <c r="F21" s="2" t="s">
        <v>11</v>
      </c>
      <c r="G21" s="396" t="s">
        <v>460</v>
      </c>
      <c r="H21" s="2" t="s">
        <v>488</v>
      </c>
      <c r="I21" s="396" t="s">
        <v>490</v>
      </c>
      <c r="J21" s="2" t="s">
        <v>77</v>
      </c>
      <c r="K21" s="2"/>
      <c r="L21" s="326" t="s">
        <v>302</v>
      </c>
      <c r="M21" s="326" t="s">
        <v>302</v>
      </c>
      <c r="N21" s="325" t="s">
        <v>385</v>
      </c>
      <c r="O21" s="328">
        <v>0.11141913554582343</v>
      </c>
      <c r="P21" s="2" t="s">
        <v>368</v>
      </c>
      <c r="Q21" s="197">
        <v>13</v>
      </c>
      <c r="R21" s="82"/>
    </row>
    <row r="22" spans="2:20" ht="17.25" x14ac:dyDescent="0.25">
      <c r="B22" s="81"/>
      <c r="C22" s="4" t="s">
        <v>88</v>
      </c>
      <c r="D22" s="2" t="s">
        <v>78</v>
      </c>
      <c r="E22" s="2" t="s">
        <v>64</v>
      </c>
      <c r="F22" s="2" t="s">
        <v>11</v>
      </c>
      <c r="G22" s="396" t="s">
        <v>458</v>
      </c>
      <c r="H22" s="2" t="s">
        <v>486</v>
      </c>
      <c r="I22" s="398" t="s">
        <v>623</v>
      </c>
      <c r="J22" s="2" t="s">
        <v>45</v>
      </c>
      <c r="K22" s="2" t="s">
        <v>216</v>
      </c>
      <c r="L22" s="326" t="s">
        <v>302</v>
      </c>
      <c r="M22" s="326" t="s">
        <v>302</v>
      </c>
      <c r="N22" s="325" t="s">
        <v>379</v>
      </c>
      <c r="O22" s="328">
        <v>2.2129090603182095E-3</v>
      </c>
      <c r="P22" s="2" t="s">
        <v>369</v>
      </c>
      <c r="Q22" s="197">
        <v>14</v>
      </c>
      <c r="R22" s="82"/>
    </row>
    <row r="23" spans="2:20" ht="17.25" x14ac:dyDescent="0.25">
      <c r="B23" s="81"/>
      <c r="C23" s="4" t="s">
        <v>35</v>
      </c>
      <c r="D23" s="2" t="s">
        <v>79</v>
      </c>
      <c r="E23" s="2" t="s">
        <v>63</v>
      </c>
      <c r="F23" s="2" t="s">
        <v>376</v>
      </c>
      <c r="G23" s="2" t="s">
        <v>457</v>
      </c>
      <c r="H23" s="2" t="s">
        <v>489</v>
      </c>
      <c r="I23" s="2" t="s">
        <v>489</v>
      </c>
      <c r="J23" s="2" t="s">
        <v>77</v>
      </c>
      <c r="K23" s="2"/>
      <c r="L23" s="326" t="s">
        <v>302</v>
      </c>
      <c r="M23" s="326" t="s">
        <v>302</v>
      </c>
      <c r="N23" s="325" t="s">
        <v>350</v>
      </c>
      <c r="O23" s="328">
        <v>1.8823528000000003E-2</v>
      </c>
      <c r="P23" s="2"/>
      <c r="Q23" s="197">
        <v>15</v>
      </c>
      <c r="R23" s="82"/>
    </row>
    <row r="24" spans="2:20" ht="17.25" x14ac:dyDescent="0.25">
      <c r="B24" s="81"/>
      <c r="C24" s="4" t="s">
        <v>246</v>
      </c>
      <c r="D24" s="2" t="s">
        <v>78</v>
      </c>
      <c r="E24" s="2" t="s">
        <v>64</v>
      </c>
      <c r="F24" s="2" t="s">
        <v>8</v>
      </c>
      <c r="G24" s="396" t="s">
        <v>454</v>
      </c>
      <c r="H24" s="2" t="s">
        <v>486</v>
      </c>
      <c r="I24" s="398" t="s">
        <v>623</v>
      </c>
      <c r="J24" s="2" t="s">
        <v>44</v>
      </c>
      <c r="K24" s="2"/>
      <c r="L24" s="326" t="s">
        <v>302</v>
      </c>
      <c r="M24" s="326" t="s">
        <v>302</v>
      </c>
      <c r="N24" s="325" t="s">
        <v>386</v>
      </c>
      <c r="O24" s="328" t="s">
        <v>124</v>
      </c>
      <c r="P24" s="2"/>
      <c r="Q24" s="197">
        <v>16</v>
      </c>
      <c r="R24" s="82"/>
    </row>
    <row r="25" spans="2:20" ht="17.25" x14ac:dyDescent="0.25">
      <c r="B25" s="81"/>
      <c r="C25" s="4" t="s">
        <v>275</v>
      </c>
      <c r="D25" s="2" t="s">
        <v>78</v>
      </c>
      <c r="E25" s="2" t="s">
        <v>65</v>
      </c>
      <c r="F25" s="2" t="s">
        <v>377</v>
      </c>
      <c r="G25" s="2" t="s">
        <v>491</v>
      </c>
      <c r="H25" s="2" t="s">
        <v>488</v>
      </c>
      <c r="I25" s="396" t="s">
        <v>492</v>
      </c>
      <c r="J25" s="2" t="s">
        <v>68</v>
      </c>
      <c r="K25" s="2"/>
      <c r="L25" s="326" t="s">
        <v>302</v>
      </c>
      <c r="M25" s="326" t="s">
        <v>302</v>
      </c>
      <c r="N25" s="325" t="s">
        <v>379</v>
      </c>
      <c r="O25" s="328">
        <v>2.7864956399278339E-2</v>
      </c>
      <c r="P25" s="2"/>
      <c r="Q25" s="197">
        <v>17</v>
      </c>
      <c r="R25" s="82"/>
    </row>
    <row r="26" spans="2:20" ht="17.25" x14ac:dyDescent="0.25">
      <c r="B26" s="81"/>
      <c r="C26" s="4" t="s">
        <v>344</v>
      </c>
      <c r="D26" s="2" t="s">
        <v>78</v>
      </c>
      <c r="E26" s="2" t="s">
        <v>64</v>
      </c>
      <c r="F26" s="2" t="s">
        <v>8</v>
      </c>
      <c r="G26" s="396" t="s">
        <v>454</v>
      </c>
      <c r="H26" s="2" t="s">
        <v>486</v>
      </c>
      <c r="I26" s="398" t="s">
        <v>623</v>
      </c>
      <c r="J26" s="2" t="s">
        <v>67</v>
      </c>
      <c r="K26" s="2"/>
      <c r="L26" s="326" t="s">
        <v>302</v>
      </c>
      <c r="M26" s="326" t="s">
        <v>302</v>
      </c>
      <c r="N26" s="325" t="s">
        <v>379</v>
      </c>
      <c r="O26" s="328">
        <v>6.2621982517370271E-3</v>
      </c>
      <c r="P26" s="2"/>
      <c r="Q26" s="197">
        <v>24</v>
      </c>
      <c r="R26" s="82"/>
    </row>
    <row r="27" spans="2:20" ht="17.25" x14ac:dyDescent="0.25">
      <c r="B27" s="81"/>
      <c r="C27" s="4" t="s">
        <v>409</v>
      </c>
      <c r="D27" s="2" t="s">
        <v>78</v>
      </c>
      <c r="E27" s="2" t="s">
        <v>64</v>
      </c>
      <c r="F27" s="2" t="s">
        <v>8</v>
      </c>
      <c r="G27" s="396" t="s">
        <v>454</v>
      </c>
      <c r="H27" s="2" t="s">
        <v>486</v>
      </c>
      <c r="I27" s="398" t="s">
        <v>623</v>
      </c>
      <c r="J27" s="2" t="s">
        <v>412</v>
      </c>
      <c r="K27" s="2"/>
      <c r="L27" s="326" t="s">
        <v>302</v>
      </c>
      <c r="M27" s="326" t="s">
        <v>415</v>
      </c>
      <c r="N27" s="325" t="s">
        <v>414</v>
      </c>
      <c r="O27" s="328">
        <v>6.2500000000000003E-3</v>
      </c>
      <c r="P27" s="2"/>
      <c r="Q27" s="197">
        <v>25</v>
      </c>
      <c r="R27" s="82"/>
      <c r="T27" s="26" t="s">
        <v>465</v>
      </c>
    </row>
    <row r="28" spans="2:20" ht="17.25" x14ac:dyDescent="0.25">
      <c r="B28" s="81"/>
      <c r="C28" s="4" t="s">
        <v>420</v>
      </c>
      <c r="D28" s="2" t="s">
        <v>78</v>
      </c>
      <c r="E28" s="2" t="s">
        <v>62</v>
      </c>
      <c r="F28" s="2" t="s">
        <v>8</v>
      </c>
      <c r="G28" s="396" t="s">
        <v>454</v>
      </c>
      <c r="H28" s="2" t="s">
        <v>486</v>
      </c>
      <c r="I28" s="398" t="s">
        <v>623</v>
      </c>
      <c r="J28" s="2" t="s">
        <v>68</v>
      </c>
      <c r="K28" s="2"/>
      <c r="L28" s="326" t="s">
        <v>302</v>
      </c>
      <c r="M28" s="326" t="s">
        <v>302</v>
      </c>
      <c r="N28" s="325" t="s">
        <v>541</v>
      </c>
      <c r="O28" s="328">
        <f>'6. %'!F28</f>
        <v>0.11483735948644427</v>
      </c>
      <c r="P28" s="2"/>
      <c r="Q28" s="197">
        <v>26</v>
      </c>
      <c r="R28" s="82"/>
      <c r="T28" s="26" t="s">
        <v>68</v>
      </c>
    </row>
    <row r="29" spans="2:20" ht="17.25" x14ac:dyDescent="0.25">
      <c r="B29" s="81"/>
      <c r="C29" s="4" t="s">
        <v>462</v>
      </c>
      <c r="D29" s="2" t="s">
        <v>78</v>
      </c>
      <c r="E29" s="2" t="s">
        <v>463</v>
      </c>
      <c r="F29" s="2" t="s">
        <v>464</v>
      </c>
      <c r="G29" s="396" t="s">
        <v>539</v>
      </c>
      <c r="H29" s="2" t="s">
        <v>486</v>
      </c>
      <c r="I29" s="398" t="s">
        <v>623</v>
      </c>
      <c r="J29" s="2" t="s">
        <v>465</v>
      </c>
      <c r="K29" s="2"/>
      <c r="L29" s="326" t="s">
        <v>302</v>
      </c>
      <c r="M29" s="326" t="s">
        <v>540</v>
      </c>
      <c r="N29" s="325" t="s">
        <v>386</v>
      </c>
      <c r="O29" s="328">
        <v>0.25</v>
      </c>
      <c r="P29" s="2"/>
      <c r="Q29" s="197">
        <v>27</v>
      </c>
      <c r="R29" s="82"/>
    </row>
    <row r="30" spans="2:20" ht="17.25" x14ac:dyDescent="0.25">
      <c r="B30" s="81"/>
      <c r="C30" s="4" t="s">
        <v>602</v>
      </c>
      <c r="D30" s="2" t="s">
        <v>78</v>
      </c>
      <c r="E30" s="2" t="s">
        <v>64</v>
      </c>
      <c r="F30" s="2" t="str">
        <f>'9. All deals (a)'!F30</f>
        <v>G42 Capital</v>
      </c>
      <c r="G30" s="396" t="s">
        <v>624</v>
      </c>
      <c r="H30" s="2" t="s">
        <v>486</v>
      </c>
      <c r="I30" s="398" t="s">
        <v>623</v>
      </c>
      <c r="J30" s="2" t="s">
        <v>44</v>
      </c>
      <c r="K30" s="2"/>
      <c r="L30" s="326" t="s">
        <v>302</v>
      </c>
      <c r="M30" s="326" t="s">
        <v>302</v>
      </c>
      <c r="N30" s="325" t="s">
        <v>379</v>
      </c>
      <c r="O30" s="328" t="s">
        <v>124</v>
      </c>
      <c r="P30" s="2"/>
      <c r="Q30" s="197">
        <v>28</v>
      </c>
      <c r="R30" s="82"/>
    </row>
    <row r="31" spans="2:20" ht="17.25" x14ac:dyDescent="0.25">
      <c r="B31" s="81"/>
      <c r="C31" s="4" t="s">
        <v>676</v>
      </c>
      <c r="D31" s="2" t="s">
        <v>78</v>
      </c>
      <c r="E31" s="2" t="s">
        <v>64</v>
      </c>
      <c r="F31" s="2" t="str">
        <f>'9. All deals (a)'!F31</f>
        <v>G42 Capital</v>
      </c>
      <c r="G31" s="396" t="s">
        <v>714</v>
      </c>
      <c r="H31" s="2" t="s">
        <v>486</v>
      </c>
      <c r="I31" s="398" t="s">
        <v>623</v>
      </c>
      <c r="J31" s="2" t="s">
        <v>677</v>
      </c>
      <c r="K31" s="2"/>
      <c r="L31" s="465" t="s">
        <v>302</v>
      </c>
      <c r="M31" s="326" t="s">
        <v>302</v>
      </c>
      <c r="N31" s="325" t="s">
        <v>680</v>
      </c>
      <c r="O31" s="328" t="s">
        <v>124</v>
      </c>
      <c r="P31" s="2"/>
      <c r="Q31" s="197"/>
      <c r="R31" s="82"/>
    </row>
    <row r="32" spans="2:20" x14ac:dyDescent="0.25">
      <c r="B32" s="81"/>
      <c r="C32" s="5"/>
      <c r="D32" s="7"/>
      <c r="E32" s="7"/>
      <c r="F32" s="7"/>
      <c r="G32" s="533"/>
      <c r="H32" s="7"/>
      <c r="I32" s="534"/>
      <c r="J32" s="7"/>
      <c r="K32" s="7"/>
      <c r="L32" s="535"/>
      <c r="M32" s="535"/>
      <c r="N32" s="531"/>
      <c r="O32" s="532"/>
      <c r="P32" s="7"/>
      <c r="Q32" s="196"/>
      <c r="R32" s="82"/>
    </row>
    <row r="33" spans="2:20" s="85" customFormat="1" x14ac:dyDescent="0.25">
      <c r="B33" s="83"/>
      <c r="C33" s="98"/>
      <c r="D33" s="98"/>
      <c r="E33" s="98"/>
      <c r="F33" s="98"/>
      <c r="G33" s="98"/>
      <c r="H33" s="98"/>
      <c r="I33" s="98"/>
      <c r="J33" s="98"/>
      <c r="K33" s="98"/>
      <c r="L33" s="327"/>
      <c r="M33" s="327"/>
      <c r="N33" s="327"/>
      <c r="O33" s="329"/>
      <c r="P33" s="98"/>
      <c r="Q33" s="198"/>
      <c r="R33" s="84"/>
    </row>
    <row r="34" spans="2:20" x14ac:dyDescent="0.25">
      <c r="B34" s="81"/>
      <c r="C34" s="5"/>
      <c r="D34" s="8"/>
      <c r="E34" s="8"/>
      <c r="F34" s="8"/>
      <c r="G34" s="8"/>
      <c r="H34" s="8"/>
      <c r="I34" s="8"/>
      <c r="J34" s="8"/>
      <c r="K34" s="8"/>
      <c r="L34" s="8"/>
      <c r="M34" s="8"/>
      <c r="N34" s="8"/>
      <c r="O34" s="330"/>
      <c r="P34" s="8"/>
      <c r="Q34" s="196"/>
      <c r="R34" s="82"/>
    </row>
    <row r="35" spans="2:20" x14ac:dyDescent="0.25">
      <c r="B35" s="81"/>
      <c r="C35" s="514" t="s">
        <v>29</v>
      </c>
      <c r="D35" s="424"/>
      <c r="E35" s="425"/>
      <c r="F35" s="425"/>
      <c r="G35" s="425"/>
      <c r="H35" s="425"/>
      <c r="I35" s="426"/>
      <c r="J35" s="427"/>
      <c r="K35" s="428"/>
      <c r="L35" s="428"/>
      <c r="M35" s="428"/>
      <c r="N35" s="428"/>
      <c r="O35" s="428"/>
      <c r="P35" s="428"/>
      <c r="Q35" s="427"/>
      <c r="R35" s="82"/>
      <c r="T35" s="425"/>
    </row>
    <row r="36" spans="2:20" ht="17.25" x14ac:dyDescent="0.25">
      <c r="B36" s="81"/>
      <c r="C36" s="4" t="s">
        <v>48</v>
      </c>
      <c r="D36" s="2" t="s">
        <v>130</v>
      </c>
      <c r="E36" s="2"/>
      <c r="F36" s="2" t="s">
        <v>8</v>
      </c>
      <c r="G36" s="396" t="s">
        <v>458</v>
      </c>
      <c r="H36" s="2" t="s">
        <v>486</v>
      </c>
      <c r="I36" s="396" t="s">
        <v>530</v>
      </c>
      <c r="J36" s="2" t="s">
        <v>126</v>
      </c>
      <c r="K36" s="2"/>
      <c r="L36" s="2" t="s">
        <v>124</v>
      </c>
      <c r="M36" s="2" t="s">
        <v>124</v>
      </c>
      <c r="N36" s="2" t="s">
        <v>124</v>
      </c>
      <c r="O36" s="328"/>
      <c r="P36" s="2"/>
      <c r="Q36" s="197">
        <v>16</v>
      </c>
      <c r="R36" s="82"/>
    </row>
    <row r="37" spans="2:20" ht="17.25" x14ac:dyDescent="0.25">
      <c r="B37" s="81"/>
      <c r="C37" s="4" t="s">
        <v>248</v>
      </c>
      <c r="D37" s="2" t="s">
        <v>130</v>
      </c>
      <c r="E37" s="2" t="s">
        <v>63</v>
      </c>
      <c r="F37" s="2" t="s">
        <v>8</v>
      </c>
      <c r="G37" s="396" t="s">
        <v>454</v>
      </c>
      <c r="H37" s="2" t="s">
        <v>486</v>
      </c>
      <c r="I37" s="396" t="s">
        <v>530</v>
      </c>
      <c r="J37" s="2" t="s">
        <v>128</v>
      </c>
      <c r="K37" s="2"/>
      <c r="L37" s="326" t="s">
        <v>302</v>
      </c>
      <c r="M37" s="326" t="s">
        <v>302</v>
      </c>
      <c r="N37" s="2" t="str">
        <f>N10</f>
        <v>Cayman Islands</v>
      </c>
      <c r="O37" s="328"/>
      <c r="P37" s="2"/>
      <c r="Q37" s="197">
        <v>17</v>
      </c>
      <c r="R37" s="82"/>
    </row>
    <row r="38" spans="2:20" ht="17.25" x14ac:dyDescent="0.25">
      <c r="B38" s="81"/>
      <c r="C38" s="4" t="s">
        <v>240</v>
      </c>
      <c r="D38" s="2" t="s">
        <v>78</v>
      </c>
      <c r="E38" s="2" t="s">
        <v>62</v>
      </c>
      <c r="F38" s="2" t="s">
        <v>8</v>
      </c>
      <c r="G38" s="396" t="s">
        <v>454</v>
      </c>
      <c r="H38" s="2" t="s">
        <v>486</v>
      </c>
      <c r="I38" s="396" t="s">
        <v>530</v>
      </c>
      <c r="J38" s="2" t="s">
        <v>128</v>
      </c>
      <c r="K38" s="2"/>
      <c r="L38" s="326" t="s">
        <v>302</v>
      </c>
      <c r="M38" s="2" t="s">
        <v>124</v>
      </c>
      <c r="N38" s="2" t="str">
        <f>N12</f>
        <v xml:space="preserve">DIFC </v>
      </c>
      <c r="O38" s="328"/>
      <c r="P38" s="2"/>
      <c r="Q38" s="197">
        <v>18</v>
      </c>
      <c r="R38" s="82"/>
    </row>
    <row r="39" spans="2:20" s="85" customFormat="1" x14ac:dyDescent="0.25">
      <c r="B39" s="83"/>
      <c r="C39" s="98"/>
      <c r="D39" s="98"/>
      <c r="E39" s="98"/>
      <c r="F39" s="98"/>
      <c r="G39" s="98"/>
      <c r="H39" s="98"/>
      <c r="I39" s="98"/>
      <c r="J39" s="98"/>
      <c r="K39" s="98"/>
      <c r="L39" s="98"/>
      <c r="M39" s="98"/>
      <c r="N39" s="98"/>
      <c r="O39" s="329"/>
      <c r="P39" s="98"/>
      <c r="Q39" s="198"/>
      <c r="R39" s="84"/>
    </row>
    <row r="40" spans="2:20" x14ac:dyDescent="0.25">
      <c r="B40" s="81"/>
      <c r="C40" s="5"/>
      <c r="D40" s="8"/>
      <c r="E40" s="8"/>
      <c r="F40" s="8"/>
      <c r="G40" s="8"/>
      <c r="H40" s="8"/>
      <c r="I40" s="8"/>
      <c r="J40" s="8"/>
      <c r="K40" s="8"/>
      <c r="L40" s="8"/>
      <c r="M40" s="8"/>
      <c r="N40" s="8"/>
      <c r="O40" s="330"/>
      <c r="P40" s="8"/>
      <c r="Q40" s="196"/>
      <c r="R40" s="82"/>
    </row>
    <row r="41" spans="2:20" x14ac:dyDescent="0.25">
      <c r="B41" s="81"/>
      <c r="C41" s="514" t="s">
        <v>30</v>
      </c>
      <c r="D41" s="424"/>
      <c r="E41" s="425"/>
      <c r="F41" s="425"/>
      <c r="G41" s="425"/>
      <c r="H41" s="425"/>
      <c r="I41" s="426"/>
      <c r="J41" s="427"/>
      <c r="K41" s="428"/>
      <c r="L41" s="428"/>
      <c r="M41" s="428"/>
      <c r="N41" s="428"/>
      <c r="O41" s="428"/>
      <c r="P41" s="428"/>
      <c r="Q41" s="427"/>
      <c r="R41" s="82"/>
      <c r="T41" s="425"/>
    </row>
    <row r="42" spans="2:20" ht="17.25" x14ac:dyDescent="0.25">
      <c r="B42" s="81"/>
      <c r="C42" s="4" t="s">
        <v>118</v>
      </c>
      <c r="D42" s="2" t="s">
        <v>78</v>
      </c>
      <c r="E42" s="2" t="s">
        <v>62</v>
      </c>
      <c r="F42" s="2" t="s">
        <v>11</v>
      </c>
      <c r="G42" s="396" t="s">
        <v>458</v>
      </c>
      <c r="H42" s="2" t="s">
        <v>486</v>
      </c>
      <c r="I42" s="396" t="s">
        <v>487</v>
      </c>
      <c r="J42" s="2" t="s">
        <v>54</v>
      </c>
      <c r="K42" s="2"/>
      <c r="L42" s="326" t="s">
        <v>302</v>
      </c>
      <c r="M42" s="326" t="s">
        <v>302</v>
      </c>
      <c r="N42" s="328" t="s">
        <v>395</v>
      </c>
      <c r="O42" s="332">
        <v>0.22044081593927894</v>
      </c>
      <c r="P42" s="2"/>
      <c r="Q42" s="197">
        <v>19</v>
      </c>
      <c r="R42" s="82"/>
    </row>
    <row r="43" spans="2:20" ht="17.25" x14ac:dyDescent="0.25">
      <c r="B43" s="81"/>
      <c r="C43" s="4" t="s">
        <v>343</v>
      </c>
      <c r="D43" s="2" t="s">
        <v>78</v>
      </c>
      <c r="E43" s="2" t="s">
        <v>62</v>
      </c>
      <c r="F43" s="2" t="s">
        <v>11</v>
      </c>
      <c r="G43" s="396" t="s">
        <v>458</v>
      </c>
      <c r="H43" s="2" t="s">
        <v>486</v>
      </c>
      <c r="I43" s="396" t="s">
        <v>487</v>
      </c>
      <c r="J43" s="2" t="s">
        <v>60</v>
      </c>
      <c r="K43" s="2"/>
      <c r="L43" s="326" t="s">
        <v>302</v>
      </c>
      <c r="M43" s="326" t="s">
        <v>302</v>
      </c>
      <c r="N43" s="328" t="s">
        <v>395</v>
      </c>
      <c r="O43" s="332">
        <v>2.0161290322580645E-2</v>
      </c>
      <c r="P43" s="2"/>
      <c r="Q43" s="197">
        <v>20</v>
      </c>
      <c r="R43" s="82"/>
    </row>
    <row r="44" spans="2:20" x14ac:dyDescent="0.25">
      <c r="B44" s="81"/>
      <c r="C44" s="4" t="s">
        <v>1</v>
      </c>
      <c r="D44" s="2" t="s">
        <v>78</v>
      </c>
      <c r="E44" s="2" t="s">
        <v>63</v>
      </c>
      <c r="F44" s="2" t="s">
        <v>11</v>
      </c>
      <c r="G44" s="396" t="s">
        <v>459</v>
      </c>
      <c r="H44" s="2" t="s">
        <v>488</v>
      </c>
      <c r="I44" s="396" t="s">
        <v>489</v>
      </c>
      <c r="J44" s="2" t="s">
        <v>54</v>
      </c>
      <c r="K44" s="2"/>
      <c r="L44" s="2" t="s">
        <v>124</v>
      </c>
      <c r="M44" s="326" t="s">
        <v>302</v>
      </c>
      <c r="N44" s="328" t="s">
        <v>378</v>
      </c>
      <c r="O44" s="328">
        <v>0.99499999897183333</v>
      </c>
      <c r="P44" s="2"/>
      <c r="Q44" s="197">
        <v>21</v>
      </c>
      <c r="R44" s="82"/>
    </row>
    <row r="45" spans="2:20" ht="17.25" x14ac:dyDescent="0.25">
      <c r="B45" s="81"/>
      <c r="C45" s="4" t="s">
        <v>12</v>
      </c>
      <c r="D45" s="2" t="s">
        <v>78</v>
      </c>
      <c r="E45" s="2" t="s">
        <v>63</v>
      </c>
      <c r="F45" s="2" t="s">
        <v>11</v>
      </c>
      <c r="G45" s="396" t="s">
        <v>458</v>
      </c>
      <c r="H45" s="2" t="s">
        <v>486</v>
      </c>
      <c r="I45" s="396" t="s">
        <v>487</v>
      </c>
      <c r="J45" s="2" t="s">
        <v>54</v>
      </c>
      <c r="K45" s="2"/>
      <c r="L45" s="326" t="s">
        <v>302</v>
      </c>
      <c r="M45" s="326" t="s">
        <v>302</v>
      </c>
      <c r="N45" s="328" t="s">
        <v>378</v>
      </c>
      <c r="O45" s="328">
        <v>0.10066090487405174</v>
      </c>
      <c r="P45" s="2"/>
      <c r="Q45" s="197">
        <v>22</v>
      </c>
      <c r="R45" s="82"/>
    </row>
    <row r="46" spans="2:20" ht="17.25" x14ac:dyDescent="0.25">
      <c r="B46" s="81"/>
      <c r="C46" s="4" t="s">
        <v>164</v>
      </c>
      <c r="D46" s="2" t="s">
        <v>78</v>
      </c>
      <c r="E46" s="2" t="s">
        <v>64</v>
      </c>
      <c r="F46" s="2" t="s">
        <v>11</v>
      </c>
      <c r="G46" s="396" t="s">
        <v>458</v>
      </c>
      <c r="H46" s="2" t="s">
        <v>486</v>
      </c>
      <c r="I46" s="396" t="s">
        <v>487</v>
      </c>
      <c r="J46" s="2" t="s">
        <v>54</v>
      </c>
      <c r="K46" s="2"/>
      <c r="L46" s="326" t="s">
        <v>302</v>
      </c>
      <c r="M46" s="326" t="s">
        <v>302</v>
      </c>
      <c r="N46" s="328" t="s">
        <v>393</v>
      </c>
      <c r="O46" s="328">
        <v>0.33333333333333331</v>
      </c>
      <c r="P46" s="2" t="s">
        <v>345</v>
      </c>
      <c r="Q46" s="197">
        <v>23</v>
      </c>
      <c r="R46" s="82"/>
    </row>
    <row r="47" spans="2:20" s="85" customFormat="1" x14ac:dyDescent="0.25">
      <c r="B47" s="83"/>
      <c r="C47" s="98"/>
      <c r="D47" s="98"/>
      <c r="E47" s="98"/>
      <c r="F47" s="98"/>
      <c r="G47" s="98"/>
      <c r="H47" s="98"/>
      <c r="I47" s="98"/>
      <c r="J47" s="98"/>
      <c r="K47" s="98"/>
      <c r="L47" s="98"/>
      <c r="M47" s="98"/>
      <c r="N47" s="98"/>
      <c r="O47" s="329"/>
      <c r="P47" s="98"/>
      <c r="Q47" s="198"/>
      <c r="R47" s="84"/>
    </row>
    <row r="48" spans="2:20" ht="15.75" thickBot="1" x14ac:dyDescent="0.3">
      <c r="B48" s="86"/>
      <c r="C48" s="87"/>
      <c r="D48" s="121"/>
      <c r="E48" s="121"/>
      <c r="F48" s="121"/>
      <c r="G48" s="121"/>
      <c r="H48" s="121"/>
      <c r="I48" s="121"/>
      <c r="J48" s="121"/>
      <c r="K48" s="121"/>
      <c r="L48" s="121"/>
      <c r="M48" s="121"/>
      <c r="N48" s="121"/>
      <c r="O48" s="121"/>
      <c r="P48" s="121"/>
      <c r="Q48" s="121"/>
      <c r="R48" s="90"/>
    </row>
    <row r="50" spans="2:18" x14ac:dyDescent="0.25">
      <c r="B50" s="205" t="s">
        <v>147</v>
      </c>
      <c r="C50" s="26"/>
      <c r="D50" s="7"/>
      <c r="E50" s="7"/>
      <c r="F50" s="7"/>
      <c r="G50" s="7"/>
      <c r="H50" s="7"/>
      <c r="I50" s="7"/>
      <c r="J50" s="7"/>
      <c r="K50" s="7"/>
      <c r="L50" s="7"/>
      <c r="M50" s="7"/>
      <c r="N50" s="7"/>
      <c r="O50" s="7"/>
      <c r="P50" s="7"/>
      <c r="Q50" s="7"/>
    </row>
    <row r="51" spans="2:18" x14ac:dyDescent="0.25">
      <c r="B51" s="204">
        <v>0</v>
      </c>
      <c r="C51" s="203" t="s">
        <v>620</v>
      </c>
      <c r="D51" s="663" t="s">
        <v>493</v>
      </c>
      <c r="E51" s="663"/>
      <c r="F51" s="663"/>
      <c r="G51" s="663"/>
      <c r="H51" s="663"/>
      <c r="I51" s="663"/>
      <c r="J51" s="663"/>
      <c r="K51" s="663"/>
      <c r="L51" s="663"/>
      <c r="M51" s="663"/>
      <c r="N51" s="663"/>
      <c r="O51" s="663"/>
      <c r="P51" s="663"/>
      <c r="Q51" s="663"/>
      <c r="R51" s="663"/>
    </row>
    <row r="52" spans="2:18" x14ac:dyDescent="0.25">
      <c r="B52" s="200">
        <v>1</v>
      </c>
      <c r="C52" s="201" t="s">
        <v>226</v>
      </c>
      <c r="D52" s="662" t="s">
        <v>234</v>
      </c>
      <c r="E52" s="662"/>
      <c r="F52" s="662"/>
      <c r="G52" s="662"/>
      <c r="H52" s="662"/>
      <c r="I52" s="662"/>
      <c r="J52" s="662"/>
      <c r="K52" s="662"/>
      <c r="L52" s="662"/>
      <c r="M52" s="662"/>
      <c r="N52" s="662"/>
      <c r="O52" s="662"/>
      <c r="P52" s="662"/>
      <c r="Q52" s="662"/>
      <c r="R52" s="662"/>
    </row>
    <row r="53" spans="2:18" x14ac:dyDescent="0.25">
      <c r="B53" s="204">
        <v>2</v>
      </c>
      <c r="C53" s="203" t="s">
        <v>59</v>
      </c>
      <c r="D53" s="663" t="s">
        <v>397</v>
      </c>
      <c r="E53" s="663"/>
      <c r="F53" s="663"/>
      <c r="G53" s="663"/>
      <c r="H53" s="663"/>
      <c r="I53" s="663"/>
      <c r="J53" s="663"/>
      <c r="K53" s="663"/>
      <c r="L53" s="663"/>
      <c r="M53" s="663"/>
      <c r="N53" s="663"/>
      <c r="O53" s="663"/>
      <c r="P53" s="663"/>
      <c r="Q53" s="663"/>
      <c r="R53" s="663"/>
    </row>
    <row r="54" spans="2:18" s="27" customFormat="1" x14ac:dyDescent="0.25">
      <c r="B54" s="200">
        <v>3</v>
      </c>
      <c r="C54" s="159" t="s">
        <v>228</v>
      </c>
      <c r="D54" s="662" t="s">
        <v>233</v>
      </c>
      <c r="E54" s="662"/>
      <c r="F54" s="662"/>
      <c r="G54" s="662"/>
      <c r="H54" s="662"/>
      <c r="I54" s="662"/>
      <c r="J54" s="662"/>
      <c r="K54" s="662"/>
      <c r="L54" s="662"/>
      <c r="M54" s="662"/>
      <c r="N54" s="662"/>
      <c r="O54" s="662"/>
      <c r="P54" s="662"/>
      <c r="Q54" s="662"/>
      <c r="R54" s="662"/>
    </row>
    <row r="55" spans="2:18" x14ac:dyDescent="0.25">
      <c r="B55" s="204">
        <v>4</v>
      </c>
      <c r="C55" s="203" t="s">
        <v>227</v>
      </c>
      <c r="D55" s="663" t="s">
        <v>26</v>
      </c>
      <c r="E55" s="663"/>
      <c r="F55" s="663"/>
      <c r="G55" s="663"/>
      <c r="H55" s="663"/>
      <c r="I55" s="663"/>
      <c r="J55" s="663"/>
      <c r="K55" s="663"/>
      <c r="L55" s="663"/>
      <c r="M55" s="663"/>
      <c r="N55" s="663"/>
      <c r="O55" s="663"/>
      <c r="P55" s="663"/>
      <c r="Q55" s="663"/>
      <c r="R55" s="663"/>
    </row>
    <row r="56" spans="2:18" x14ac:dyDescent="0.25">
      <c r="B56" s="200">
        <v>5</v>
      </c>
      <c r="C56" s="159" t="s">
        <v>37</v>
      </c>
      <c r="D56" s="662" t="s">
        <v>237</v>
      </c>
      <c r="E56" s="662"/>
      <c r="F56" s="662"/>
      <c r="G56" s="662"/>
      <c r="H56" s="662"/>
      <c r="I56" s="662"/>
      <c r="J56" s="662"/>
      <c r="K56" s="662"/>
      <c r="L56" s="662"/>
      <c r="M56" s="662"/>
      <c r="N56" s="662"/>
      <c r="O56" s="662"/>
      <c r="P56" s="662"/>
      <c r="Q56" s="662"/>
      <c r="R56" s="662"/>
    </row>
    <row r="57" spans="2:18" x14ac:dyDescent="0.25">
      <c r="B57" s="204">
        <v>6</v>
      </c>
      <c r="C57" s="203" t="s">
        <v>87</v>
      </c>
      <c r="D57" s="663" t="s">
        <v>360</v>
      </c>
      <c r="E57" s="663"/>
      <c r="F57" s="663"/>
      <c r="G57" s="663"/>
      <c r="H57" s="663"/>
      <c r="I57" s="663"/>
      <c r="J57" s="663"/>
      <c r="K57" s="663"/>
      <c r="L57" s="663"/>
      <c r="M57" s="663"/>
      <c r="N57" s="663"/>
      <c r="O57" s="663"/>
      <c r="P57" s="663"/>
      <c r="Q57" s="663"/>
      <c r="R57" s="663"/>
    </row>
    <row r="58" spans="2:18" x14ac:dyDescent="0.25">
      <c r="B58" s="200">
        <v>7</v>
      </c>
      <c r="C58" s="159" t="s">
        <v>9</v>
      </c>
      <c r="D58" s="662" t="s">
        <v>235</v>
      </c>
      <c r="E58" s="662"/>
      <c r="F58" s="662"/>
      <c r="G58" s="662"/>
      <c r="H58" s="662"/>
      <c r="I58" s="662"/>
      <c r="J58" s="662"/>
      <c r="K58" s="662"/>
      <c r="L58" s="662"/>
      <c r="M58" s="662"/>
      <c r="N58" s="662"/>
      <c r="O58" s="662"/>
      <c r="P58" s="662"/>
      <c r="Q58" s="662"/>
      <c r="R58" s="662"/>
    </row>
    <row r="59" spans="2:18" x14ac:dyDescent="0.25">
      <c r="B59" s="204">
        <v>8</v>
      </c>
      <c r="C59" s="203" t="s">
        <v>18</v>
      </c>
      <c r="D59" s="663" t="s">
        <v>232</v>
      </c>
      <c r="E59" s="663"/>
      <c r="F59" s="663"/>
      <c r="G59" s="663"/>
      <c r="H59" s="663"/>
      <c r="I59" s="663"/>
      <c r="J59" s="663"/>
      <c r="K59" s="663"/>
      <c r="L59" s="663"/>
      <c r="M59" s="663"/>
      <c r="N59" s="663"/>
      <c r="O59" s="663"/>
      <c r="P59" s="663"/>
      <c r="Q59" s="663"/>
      <c r="R59" s="663"/>
    </row>
    <row r="60" spans="2:18" x14ac:dyDescent="0.25">
      <c r="B60" s="200">
        <v>9</v>
      </c>
      <c r="C60" s="159" t="s">
        <v>40</v>
      </c>
      <c r="D60" s="662" t="s">
        <v>238</v>
      </c>
      <c r="E60" s="662"/>
      <c r="F60" s="662"/>
      <c r="G60" s="662"/>
      <c r="H60" s="662"/>
      <c r="I60" s="662"/>
      <c r="J60" s="662"/>
      <c r="K60" s="662"/>
      <c r="L60" s="662"/>
      <c r="M60" s="662"/>
      <c r="N60" s="662"/>
      <c r="O60" s="662"/>
      <c r="P60" s="662"/>
      <c r="Q60" s="662"/>
      <c r="R60" s="662"/>
    </row>
    <row r="61" spans="2:18" x14ac:dyDescent="0.25">
      <c r="B61" s="204">
        <v>10</v>
      </c>
      <c r="C61" s="203" t="s">
        <v>41</v>
      </c>
      <c r="D61" s="663"/>
      <c r="E61" s="663"/>
      <c r="F61" s="663"/>
      <c r="G61" s="663"/>
      <c r="H61" s="663"/>
      <c r="I61" s="663"/>
      <c r="J61" s="663"/>
      <c r="K61" s="663"/>
      <c r="L61" s="663"/>
      <c r="M61" s="663"/>
      <c r="N61" s="663"/>
      <c r="O61" s="663"/>
      <c r="P61" s="663"/>
      <c r="Q61" s="663"/>
      <c r="R61" s="663"/>
    </row>
    <row r="62" spans="2:18" x14ac:dyDescent="0.25">
      <c r="B62" s="200">
        <v>11</v>
      </c>
      <c r="C62" s="159" t="s">
        <v>42</v>
      </c>
      <c r="D62" s="662" t="s">
        <v>416</v>
      </c>
      <c r="E62" s="662"/>
      <c r="F62" s="662"/>
      <c r="G62" s="662"/>
      <c r="H62" s="662"/>
      <c r="I62" s="662"/>
      <c r="J62" s="662"/>
      <c r="K62" s="662"/>
      <c r="L62" s="662"/>
      <c r="M62" s="662"/>
      <c r="N62" s="662"/>
      <c r="O62" s="662"/>
      <c r="P62" s="662"/>
      <c r="Q62" s="662"/>
      <c r="R62" s="662"/>
    </row>
    <row r="63" spans="2:18" x14ac:dyDescent="0.25">
      <c r="B63" s="204">
        <v>12</v>
      </c>
      <c r="C63" s="203" t="s">
        <v>70</v>
      </c>
      <c r="D63" s="663" t="s">
        <v>231</v>
      </c>
      <c r="E63" s="663"/>
      <c r="F63" s="663"/>
      <c r="G63" s="663"/>
      <c r="H63" s="663"/>
      <c r="I63" s="663"/>
      <c r="J63" s="663"/>
      <c r="K63" s="663"/>
      <c r="L63" s="663"/>
      <c r="M63" s="663"/>
      <c r="N63" s="663"/>
      <c r="O63" s="663"/>
      <c r="P63" s="663"/>
      <c r="Q63" s="663"/>
      <c r="R63" s="663"/>
    </row>
    <row r="64" spans="2:18" x14ac:dyDescent="0.25">
      <c r="B64" s="200">
        <v>13</v>
      </c>
      <c r="C64" s="159" t="s">
        <v>224</v>
      </c>
      <c r="D64" s="662" t="s">
        <v>236</v>
      </c>
      <c r="E64" s="662"/>
      <c r="F64" s="662"/>
      <c r="G64" s="662"/>
      <c r="H64" s="662"/>
      <c r="I64" s="662"/>
      <c r="J64" s="662"/>
      <c r="K64" s="662"/>
      <c r="L64" s="662"/>
      <c r="M64" s="662"/>
      <c r="N64" s="662"/>
      <c r="O64" s="662"/>
      <c r="P64" s="662"/>
      <c r="Q64" s="662"/>
      <c r="R64" s="662"/>
    </row>
    <row r="65" spans="2:18" x14ac:dyDescent="0.25">
      <c r="B65" s="204">
        <v>14</v>
      </c>
      <c r="C65" s="202" t="s">
        <v>218</v>
      </c>
      <c r="D65" s="663" t="s">
        <v>398</v>
      </c>
      <c r="E65" s="663"/>
      <c r="F65" s="663"/>
      <c r="G65" s="663"/>
      <c r="H65" s="663"/>
      <c r="I65" s="663"/>
      <c r="J65" s="663"/>
      <c r="K65" s="663"/>
      <c r="L65" s="663"/>
      <c r="M65" s="663"/>
      <c r="N65" s="663"/>
      <c r="O65" s="663"/>
      <c r="P65" s="663"/>
      <c r="Q65" s="663"/>
      <c r="R65" s="663"/>
    </row>
    <row r="66" spans="2:18" x14ac:dyDescent="0.25">
      <c r="B66" s="200">
        <v>15</v>
      </c>
      <c r="C66" s="159" t="s">
        <v>225</v>
      </c>
      <c r="D66" s="662" t="s">
        <v>311</v>
      </c>
      <c r="E66" s="662"/>
      <c r="F66" s="662"/>
      <c r="G66" s="662"/>
      <c r="H66" s="662"/>
      <c r="I66" s="662"/>
      <c r="J66" s="662"/>
      <c r="K66" s="662"/>
      <c r="L66" s="662"/>
      <c r="M66" s="662"/>
      <c r="N66" s="662"/>
      <c r="O66" s="662"/>
      <c r="P66" s="662"/>
      <c r="Q66" s="662"/>
      <c r="R66" s="662"/>
    </row>
    <row r="67" spans="2:18" x14ac:dyDescent="0.25">
      <c r="B67" s="204">
        <v>16</v>
      </c>
      <c r="C67" s="203" t="s">
        <v>230</v>
      </c>
      <c r="D67" s="663" t="s">
        <v>242</v>
      </c>
      <c r="E67" s="663"/>
      <c r="F67" s="663"/>
      <c r="G67" s="663"/>
      <c r="H67" s="663"/>
      <c r="I67" s="663"/>
      <c r="J67" s="663"/>
      <c r="K67" s="663"/>
      <c r="L67" s="663"/>
      <c r="M67" s="663"/>
      <c r="N67" s="663"/>
      <c r="O67" s="663"/>
      <c r="P67" s="663"/>
      <c r="Q67" s="663"/>
      <c r="R67" s="663"/>
    </row>
    <row r="68" spans="2:18" x14ac:dyDescent="0.25">
      <c r="B68" s="200">
        <v>17</v>
      </c>
      <c r="C68" s="159" t="s">
        <v>239</v>
      </c>
      <c r="D68" s="662" t="s">
        <v>542</v>
      </c>
      <c r="E68" s="662"/>
      <c r="F68" s="662"/>
      <c r="G68" s="662"/>
      <c r="H68" s="662"/>
      <c r="I68" s="662"/>
      <c r="J68" s="662"/>
      <c r="K68" s="662"/>
      <c r="L68" s="662"/>
      <c r="M68" s="662"/>
      <c r="N68" s="662"/>
      <c r="O68" s="662"/>
      <c r="P68" s="662"/>
      <c r="Q68" s="662"/>
      <c r="R68" s="662"/>
    </row>
    <row r="69" spans="2:18" x14ac:dyDescent="0.25">
      <c r="B69" s="204">
        <v>18</v>
      </c>
      <c r="C69" s="203" t="s">
        <v>240</v>
      </c>
      <c r="D69" s="663" t="s">
        <v>243</v>
      </c>
      <c r="E69" s="663"/>
      <c r="F69" s="663"/>
      <c r="G69" s="663"/>
      <c r="H69" s="663"/>
      <c r="I69" s="663"/>
      <c r="J69" s="663"/>
      <c r="K69" s="663"/>
      <c r="L69" s="663"/>
      <c r="M69" s="663"/>
      <c r="N69" s="663"/>
      <c r="O69" s="663"/>
      <c r="P69" s="663"/>
      <c r="Q69" s="663"/>
      <c r="R69" s="663"/>
    </row>
    <row r="70" spans="2:18" x14ac:dyDescent="0.25">
      <c r="B70" s="200">
        <v>19</v>
      </c>
      <c r="C70" s="159" t="s">
        <v>118</v>
      </c>
      <c r="D70" s="662" t="s">
        <v>401</v>
      </c>
      <c r="E70" s="662"/>
      <c r="F70" s="662"/>
      <c r="G70" s="662"/>
      <c r="H70" s="662"/>
      <c r="I70" s="662"/>
      <c r="J70" s="662"/>
      <c r="K70" s="662"/>
      <c r="L70" s="662"/>
      <c r="M70" s="662"/>
      <c r="N70" s="662"/>
      <c r="O70" s="662"/>
      <c r="P70" s="662"/>
      <c r="Q70" s="662"/>
      <c r="R70" s="662"/>
    </row>
    <row r="71" spans="2:18" x14ac:dyDescent="0.25">
      <c r="B71" s="204">
        <v>20</v>
      </c>
      <c r="C71" s="203" t="s">
        <v>101</v>
      </c>
      <c r="D71" s="663" t="s">
        <v>241</v>
      </c>
      <c r="E71" s="663"/>
      <c r="F71" s="663"/>
      <c r="G71" s="663"/>
      <c r="H71" s="663"/>
      <c r="I71" s="663"/>
      <c r="J71" s="663"/>
      <c r="K71" s="663"/>
      <c r="L71" s="663"/>
      <c r="M71" s="663"/>
      <c r="N71" s="663"/>
      <c r="O71" s="663"/>
      <c r="P71" s="663"/>
      <c r="Q71" s="663"/>
      <c r="R71" s="663"/>
    </row>
    <row r="72" spans="2:18" x14ac:dyDescent="0.25">
      <c r="B72" s="200">
        <v>21</v>
      </c>
      <c r="C72" s="159" t="s">
        <v>219</v>
      </c>
      <c r="D72" s="662" t="s">
        <v>220</v>
      </c>
      <c r="E72" s="662"/>
      <c r="F72" s="662"/>
      <c r="G72" s="662"/>
      <c r="H72" s="662"/>
      <c r="I72" s="662"/>
      <c r="J72" s="662"/>
      <c r="K72" s="662"/>
      <c r="L72" s="662"/>
      <c r="M72" s="662"/>
      <c r="N72" s="662"/>
      <c r="O72" s="662"/>
      <c r="P72" s="662"/>
      <c r="Q72" s="662"/>
      <c r="R72" s="662"/>
    </row>
    <row r="73" spans="2:18" x14ac:dyDescent="0.25">
      <c r="B73" s="204">
        <v>22</v>
      </c>
      <c r="C73" s="203" t="s">
        <v>221</v>
      </c>
      <c r="D73" s="663" t="s">
        <v>222</v>
      </c>
      <c r="E73" s="663"/>
      <c r="F73" s="663"/>
      <c r="G73" s="663"/>
      <c r="H73" s="663"/>
      <c r="I73" s="663"/>
      <c r="J73" s="663"/>
      <c r="K73" s="663"/>
      <c r="L73" s="663"/>
      <c r="M73" s="663"/>
      <c r="N73" s="663"/>
      <c r="O73" s="663"/>
      <c r="P73" s="663"/>
      <c r="Q73" s="663"/>
      <c r="R73" s="663"/>
    </row>
    <row r="74" spans="2:18" x14ac:dyDescent="0.25">
      <c r="B74" s="200">
        <v>23</v>
      </c>
      <c r="C74" s="159" t="s">
        <v>223</v>
      </c>
      <c r="D74" s="662"/>
      <c r="E74" s="662"/>
      <c r="F74" s="662"/>
      <c r="G74" s="662"/>
      <c r="H74" s="662"/>
      <c r="I74" s="662"/>
      <c r="J74" s="662"/>
      <c r="K74" s="662"/>
      <c r="L74" s="662"/>
      <c r="M74" s="662"/>
      <c r="N74" s="662"/>
      <c r="O74" s="662"/>
      <c r="P74" s="662"/>
      <c r="Q74" s="662"/>
      <c r="R74" s="662"/>
    </row>
    <row r="75" spans="2:18" x14ac:dyDescent="0.25">
      <c r="B75" s="204">
        <v>24</v>
      </c>
      <c r="C75" s="203" t="s">
        <v>344</v>
      </c>
      <c r="D75" s="663" t="s">
        <v>396</v>
      </c>
      <c r="E75" s="663"/>
      <c r="F75" s="663"/>
      <c r="G75" s="663"/>
      <c r="H75" s="663"/>
      <c r="I75" s="663"/>
      <c r="J75" s="663"/>
      <c r="K75" s="663"/>
      <c r="L75" s="663"/>
      <c r="M75" s="663"/>
      <c r="N75" s="663"/>
      <c r="O75" s="663"/>
      <c r="P75" s="663"/>
      <c r="Q75" s="663"/>
      <c r="R75" s="663"/>
    </row>
    <row r="76" spans="2:18" x14ac:dyDescent="0.25">
      <c r="B76" s="200">
        <v>25</v>
      </c>
      <c r="C76" s="159" t="s">
        <v>409</v>
      </c>
      <c r="D76" s="662" t="s">
        <v>417</v>
      </c>
      <c r="E76" s="662"/>
      <c r="F76" s="662"/>
      <c r="G76" s="662"/>
      <c r="H76" s="662"/>
      <c r="I76" s="662"/>
      <c r="J76" s="662"/>
      <c r="K76" s="662"/>
      <c r="L76" s="662"/>
      <c r="M76" s="662"/>
      <c r="N76" s="662"/>
      <c r="O76" s="662"/>
      <c r="P76" s="662"/>
      <c r="Q76" s="662"/>
      <c r="R76" s="662"/>
    </row>
    <row r="77" spans="2:18" x14ac:dyDescent="0.25">
      <c r="B77" s="204">
        <v>26</v>
      </c>
      <c r="C77" s="203" t="s">
        <v>420</v>
      </c>
      <c r="D77" s="397"/>
      <c r="E77" s="397"/>
      <c r="F77" s="397"/>
      <c r="G77" s="397"/>
      <c r="H77" s="397"/>
      <c r="I77" s="397"/>
      <c r="J77" s="397"/>
      <c r="K77" s="397"/>
      <c r="L77" s="397"/>
      <c r="M77" s="397"/>
      <c r="N77" s="397"/>
      <c r="O77" s="397"/>
      <c r="P77" s="397"/>
      <c r="Q77" s="397"/>
      <c r="R77" s="397"/>
    </row>
    <row r="78" spans="2:18" x14ac:dyDescent="0.25">
      <c r="B78" s="200">
        <v>27</v>
      </c>
      <c r="C78" s="159" t="s">
        <v>462</v>
      </c>
      <c r="D78" s="662" t="s">
        <v>622</v>
      </c>
      <c r="E78" s="662"/>
      <c r="F78" s="662"/>
      <c r="G78" s="662"/>
      <c r="H78" s="662"/>
      <c r="I78" s="662"/>
      <c r="J78" s="662"/>
      <c r="K78" s="662"/>
      <c r="L78" s="662"/>
      <c r="M78" s="662"/>
      <c r="N78" s="662"/>
      <c r="O78" s="662"/>
      <c r="P78" s="662"/>
      <c r="Q78" s="662"/>
      <c r="R78" s="662"/>
    </row>
    <row r="79" spans="2:18" x14ac:dyDescent="0.25">
      <c r="B79" s="204">
        <v>28</v>
      </c>
      <c r="C79" s="203" t="s">
        <v>602</v>
      </c>
      <c r="D79" s="663" t="s">
        <v>621</v>
      </c>
      <c r="E79" s="663"/>
      <c r="F79" s="663"/>
      <c r="G79" s="663"/>
      <c r="H79" s="663"/>
      <c r="I79" s="663"/>
      <c r="J79" s="663"/>
      <c r="K79" s="663"/>
      <c r="L79" s="663"/>
      <c r="M79" s="663"/>
      <c r="N79" s="663"/>
      <c r="O79" s="663"/>
      <c r="P79" s="663"/>
      <c r="Q79" s="663"/>
      <c r="R79" s="663"/>
    </row>
    <row r="80" spans="2:18" x14ac:dyDescent="0.25">
      <c r="B80" s="163"/>
    </row>
    <row r="81" spans="3:22" x14ac:dyDescent="0.25">
      <c r="C81" s="187" t="s">
        <v>146</v>
      </c>
      <c r="D81" s="109"/>
      <c r="E81" s="110"/>
      <c r="F81" s="111"/>
      <c r="G81" s="111"/>
      <c r="H81" s="111"/>
      <c r="I81" s="111"/>
      <c r="J81" s="111"/>
      <c r="K81" s="111"/>
      <c r="L81" s="111"/>
      <c r="M81" s="111"/>
      <c r="N81" s="111"/>
      <c r="O81" s="111"/>
      <c r="P81" s="111"/>
      <c r="Q81" s="111"/>
      <c r="R81" s="111"/>
      <c r="S81" s="15"/>
      <c r="T81" s="23"/>
      <c r="U81" s="7"/>
      <c r="V81" s="27"/>
    </row>
    <row r="82" spans="3:22" x14ac:dyDescent="0.25">
      <c r="C82" s="72" t="s">
        <v>211</v>
      </c>
      <c r="N82" s="188"/>
      <c r="Q82" s="95"/>
      <c r="R82" s="95"/>
      <c r="S82" s="27"/>
      <c r="T82" s="27"/>
      <c r="U82" s="27"/>
      <c r="V82" s="27"/>
    </row>
    <row r="83" spans="3:22" x14ac:dyDescent="0.25">
      <c r="C83" s="71" t="s">
        <v>212</v>
      </c>
      <c r="Q83" s="95"/>
      <c r="R83" s="95"/>
      <c r="S83" s="27"/>
      <c r="T83" s="27"/>
      <c r="U83" s="27"/>
      <c r="V83" s="27"/>
    </row>
    <row r="84" spans="3:22" x14ac:dyDescent="0.25">
      <c r="C84" s="71" t="s">
        <v>214</v>
      </c>
      <c r="Q84" s="95"/>
      <c r="R84" s="95"/>
      <c r="S84" s="27"/>
      <c r="T84" s="303"/>
      <c r="U84" s="303"/>
      <c r="V84" s="27"/>
    </row>
    <row r="85" spans="3:22" x14ac:dyDescent="0.25">
      <c r="C85" s="71" t="s">
        <v>348</v>
      </c>
      <c r="Q85" s="95"/>
      <c r="R85" s="95"/>
      <c r="S85" s="27"/>
      <c r="T85" s="303"/>
      <c r="U85" s="27"/>
      <c r="V85" s="27"/>
    </row>
    <row r="86" spans="3:22" x14ac:dyDescent="0.25">
      <c r="C86" s="72" t="s">
        <v>346</v>
      </c>
      <c r="Q86" s="95"/>
      <c r="R86" s="95"/>
      <c r="S86" s="27"/>
      <c r="T86" s="27"/>
      <c r="U86" s="27"/>
      <c r="V86" s="27"/>
    </row>
    <row r="88" spans="3:22" x14ac:dyDescent="0.25">
      <c r="C88" s="187" t="s">
        <v>399</v>
      </c>
      <c r="D88" s="109"/>
      <c r="E88" s="110"/>
      <c r="F88" s="111"/>
      <c r="G88" s="111"/>
      <c r="H88" s="111"/>
      <c r="I88" s="111"/>
      <c r="J88" s="111"/>
      <c r="K88" s="111"/>
      <c r="L88" s="110"/>
      <c r="M88" s="111"/>
      <c r="N88" s="111"/>
      <c r="O88" s="111"/>
      <c r="P88" s="111"/>
      <c r="Q88" s="111"/>
      <c r="R88" s="111"/>
      <c r="S88" s="27"/>
      <c r="T88" s="27"/>
      <c r="U88" s="27"/>
      <c r="V88" s="27"/>
    </row>
    <row r="89" spans="3:22" x14ac:dyDescent="0.25">
      <c r="C89" s="13" t="s">
        <v>282</v>
      </c>
      <c r="Q89" s="95"/>
      <c r="R89" s="95"/>
      <c r="S89" s="27"/>
      <c r="T89" s="27"/>
      <c r="U89" s="27"/>
      <c r="V89" s="27"/>
    </row>
    <row r="90" spans="3:22" x14ac:dyDescent="0.25">
      <c r="C90" s="13" t="s">
        <v>283</v>
      </c>
      <c r="Q90" s="95"/>
      <c r="R90" s="95"/>
      <c r="S90" s="27"/>
      <c r="T90" s="27"/>
      <c r="U90" s="27"/>
      <c r="V90" s="27"/>
    </row>
    <row r="91" spans="3:22" x14ac:dyDescent="0.25">
      <c r="C91" s="71" t="s">
        <v>400</v>
      </c>
      <c r="Q91" s="95"/>
      <c r="R91" s="95"/>
      <c r="S91" s="27"/>
      <c r="T91" s="27"/>
      <c r="U91" s="27"/>
      <c r="V91" s="27"/>
    </row>
    <row r="92" spans="3:22" x14ac:dyDescent="0.25">
      <c r="C92" s="72" t="s">
        <v>373</v>
      </c>
      <c r="Q92" s="95"/>
      <c r="R92" s="95"/>
      <c r="S92" s="27"/>
      <c r="T92" s="27"/>
      <c r="U92" s="27"/>
      <c r="V92" s="27"/>
    </row>
    <row r="93" spans="3:22" x14ac:dyDescent="0.25">
      <c r="C93" s="72" t="s">
        <v>370</v>
      </c>
      <c r="Q93" s="95"/>
      <c r="R93" s="95"/>
      <c r="S93" s="27"/>
      <c r="T93" s="27"/>
      <c r="U93" s="27"/>
      <c r="V93" s="27"/>
    </row>
    <row r="94" spans="3:22" x14ac:dyDescent="0.25">
      <c r="C94" s="72" t="s">
        <v>372</v>
      </c>
      <c r="R94" s="27"/>
      <c r="S94" s="27"/>
      <c r="T94" s="27"/>
      <c r="U94" s="27"/>
      <c r="V94" s="27"/>
    </row>
    <row r="95" spans="3:22" x14ac:dyDescent="0.25">
      <c r="C95" s="72" t="s">
        <v>371</v>
      </c>
    </row>
    <row r="98" spans="3:18" x14ac:dyDescent="0.25">
      <c r="C98" s="401" t="s">
        <v>529</v>
      </c>
      <c r="D98" s="400"/>
      <c r="E98" s="400"/>
      <c r="F98" s="400"/>
      <c r="G98" s="400"/>
      <c r="H98" s="400"/>
      <c r="I98" s="400"/>
      <c r="J98" s="400"/>
      <c r="K98" s="400"/>
      <c r="L98" s="400"/>
      <c r="M98" s="400"/>
      <c r="N98" s="400"/>
      <c r="O98" s="400"/>
      <c r="P98" s="400"/>
      <c r="Q98" s="400"/>
      <c r="R98" s="399"/>
    </row>
    <row r="99" spans="3:18" x14ac:dyDescent="0.25">
      <c r="C99" s="72" t="s">
        <v>528</v>
      </c>
    </row>
    <row r="100" spans="3:18" x14ac:dyDescent="0.25">
      <c r="C100" s="72" t="s">
        <v>527</v>
      </c>
    </row>
  </sheetData>
  <mergeCells count="28">
    <mergeCell ref="D51:R51"/>
    <mergeCell ref="D79:R79"/>
    <mergeCell ref="D67:R67"/>
    <mergeCell ref="D68:R68"/>
    <mergeCell ref="D76:R76"/>
    <mergeCell ref="D70:R70"/>
    <mergeCell ref="D71:R71"/>
    <mergeCell ref="D72:R72"/>
    <mergeCell ref="D73:R73"/>
    <mergeCell ref="D74:R74"/>
    <mergeCell ref="D75:R75"/>
    <mergeCell ref="D69:R69"/>
    <mergeCell ref="D78:R78"/>
    <mergeCell ref="D52:R52"/>
    <mergeCell ref="D53:R53"/>
    <mergeCell ref="D54:R54"/>
    <mergeCell ref="D55:R55"/>
    <mergeCell ref="D56:R56"/>
    <mergeCell ref="D63:R63"/>
    <mergeCell ref="D64:R64"/>
    <mergeCell ref="D65:R65"/>
    <mergeCell ref="D66:R66"/>
    <mergeCell ref="D57:R57"/>
    <mergeCell ref="D58:R58"/>
    <mergeCell ref="D59:R59"/>
    <mergeCell ref="D60:R60"/>
    <mergeCell ref="D61:R61"/>
    <mergeCell ref="D62:R62"/>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7" r:id="rId35" xr:uid="{D916C905-4A3B-4E63-B977-A7CE4FECEC63}"/>
    <hyperlink ref="L37" r:id="rId36" xr:uid="{D15E8B40-85D3-49BA-9FEA-55358BDDF677}"/>
    <hyperlink ref="L38" r:id="rId37" xr:uid="{C34DA1A1-90C9-425C-94BD-ACB79531B40F}"/>
    <hyperlink ref="M42" r:id="rId38" xr:uid="{CD84206B-0D8F-4453-A9C1-F6001C1FA761}"/>
    <hyperlink ref="M43" r:id="rId39" xr:uid="{10A36219-DF43-4759-AF83-4612B9CE0203}"/>
    <hyperlink ref="M44" r:id="rId40" xr:uid="{82EF5920-62E7-4A58-A1FE-33427275FC05}"/>
    <hyperlink ref="M45" r:id="rId41" xr:uid="{EFDCE1D2-9CEF-457E-B9B6-7D16B558703B}"/>
    <hyperlink ref="L45" r:id="rId42" xr:uid="{CEB30621-C55F-4407-9568-D6C0437E988B}"/>
    <hyperlink ref="L46" r:id="rId43" xr:uid="{E02FFCE7-2239-4384-9C2B-98F3A359D2C7}"/>
    <hyperlink ref="M46" r:id="rId44" xr:uid="{A9352F58-BE3B-484A-9CD2-94D18006874D}"/>
    <hyperlink ref="L42" r:id="rId45" xr:uid="{3FAFD8D2-02CF-4FEE-B995-E2C64491C9CD}"/>
    <hyperlink ref="L43"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s>
  <pageMargins left="0.7" right="0.7" top="0.75" bottom="0.75" header="0.3" footer="0.3"/>
  <pageSetup paperSize="9" scale="18" orientation="portrait" verticalDpi="0" r:id="rId55"/>
  <headerFooter>
    <oddHeader>&amp;L&amp;"Calibri"&amp;7&amp;KE30513&amp;1#</oddHeader>
    <oddFooter>&amp;L&amp;1#&amp;"Calibri"&amp;7&amp;KE30513RESTRICTED</oddFooter>
  </headerFooter>
  <colBreaks count="1" manualBreakCount="1">
    <brk id="19" max="1048575" man="1"/>
  </colBreaks>
  <legacyDrawing r:id="rId5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75" customWidth="1"/>
    <col min="2" max="2" width="15.85546875" style="575" customWidth="1"/>
    <col min="3" max="3" width="4.42578125" style="575" customWidth="1"/>
    <col min="4" max="4" width="11.85546875" style="575" customWidth="1"/>
    <col min="5" max="5" width="11.5703125" style="575" hidden="1" customWidth="1"/>
    <col min="6" max="6" width="13.42578125" style="575" customWidth="1"/>
    <col min="7" max="7" width="14.28515625" style="575" customWidth="1"/>
    <col min="8" max="8" width="13.42578125" style="575" hidden="1" customWidth="1"/>
    <col min="9" max="9" width="12.5703125" style="575"/>
    <col min="10" max="10" width="104.42578125" style="575" customWidth="1"/>
    <col min="11" max="16384" width="12.5703125" style="575"/>
  </cols>
  <sheetData>
    <row r="1" spans="1:10" ht="15.75" customHeight="1" x14ac:dyDescent="0.2">
      <c r="A1" s="664" t="s">
        <v>746</v>
      </c>
      <c r="B1" s="665"/>
      <c r="C1" s="665"/>
      <c r="D1" s="665"/>
      <c r="E1" s="665"/>
      <c r="F1" s="665"/>
      <c r="G1" s="576"/>
      <c r="H1" s="576"/>
      <c r="I1" s="576"/>
      <c r="J1" s="577"/>
    </row>
    <row r="2" spans="1:10" ht="15.75" customHeight="1" x14ac:dyDescent="0.2">
      <c r="A2" s="574"/>
      <c r="B2" s="577"/>
      <c r="C2" s="577"/>
      <c r="D2" s="577"/>
      <c r="E2" s="576"/>
      <c r="F2" s="576"/>
      <c r="G2" s="576"/>
      <c r="H2" s="576"/>
      <c r="I2" s="576"/>
      <c r="J2" s="577"/>
    </row>
    <row r="3" spans="1:10" ht="15.75" customHeight="1" x14ac:dyDescent="0.2">
      <c r="A3" s="578" t="s">
        <v>745</v>
      </c>
      <c r="B3" s="666" t="s">
        <v>604</v>
      </c>
      <c r="C3" s="667"/>
      <c r="D3" s="667"/>
      <c r="E3" s="667"/>
      <c r="F3" s="668"/>
      <c r="G3" s="576"/>
      <c r="H3" s="576"/>
      <c r="I3" s="576"/>
      <c r="J3" s="577"/>
    </row>
    <row r="4" spans="1:10" ht="15.75" customHeight="1" x14ac:dyDescent="0.2">
      <c r="A4" s="579" t="s">
        <v>744</v>
      </c>
      <c r="B4" s="669" t="s">
        <v>743</v>
      </c>
      <c r="C4" s="665"/>
      <c r="D4" s="665"/>
      <c r="E4" s="665"/>
      <c r="F4" s="670"/>
      <c r="G4" s="576"/>
      <c r="H4" s="576"/>
      <c r="I4" s="576"/>
      <c r="J4" s="577"/>
    </row>
    <row r="5" spans="1:10" ht="15.75" customHeight="1" x14ac:dyDescent="0.2">
      <c r="A5" s="580" t="s">
        <v>742</v>
      </c>
      <c r="B5" s="671" t="s">
        <v>604</v>
      </c>
      <c r="C5" s="672"/>
      <c r="D5" s="672"/>
      <c r="E5" s="672"/>
      <c r="F5" s="673"/>
      <c r="G5" s="576"/>
      <c r="H5" s="576"/>
      <c r="I5" s="576"/>
      <c r="J5" s="577"/>
    </row>
    <row r="6" spans="1:10" ht="15.75" customHeight="1" x14ac:dyDescent="0.2">
      <c r="A6" s="581"/>
      <c r="B6" s="577"/>
      <c r="C6" s="577"/>
      <c r="D6" s="577"/>
      <c r="E6" s="576"/>
      <c r="F6" s="576"/>
      <c r="G6" s="576"/>
      <c r="H6" s="576"/>
      <c r="I6" s="576"/>
      <c r="J6" s="577"/>
    </row>
    <row r="7" spans="1:10" ht="15.75" customHeight="1" x14ac:dyDescent="0.2">
      <c r="A7" s="582"/>
      <c r="B7" s="577"/>
      <c r="C7" s="577"/>
      <c r="D7" s="583" t="s">
        <v>478</v>
      </c>
      <c r="E7" s="584" t="s">
        <v>741</v>
      </c>
      <c r="F7" s="584" t="s">
        <v>740</v>
      </c>
      <c r="G7" s="584" t="s">
        <v>739</v>
      </c>
      <c r="H7" s="584" t="s">
        <v>738</v>
      </c>
      <c r="I7" s="584" t="s">
        <v>737</v>
      </c>
      <c r="J7" s="577"/>
    </row>
    <row r="8" spans="1:10" ht="15.75" customHeight="1" x14ac:dyDescent="0.2">
      <c r="A8" s="585" t="s">
        <v>736</v>
      </c>
      <c r="B8" s="586"/>
      <c r="C8" s="577"/>
      <c r="D8" s="607">
        <v>45497</v>
      </c>
      <c r="E8" s="576" t="s">
        <v>721</v>
      </c>
      <c r="F8" s="576">
        <v>46205.919999999998</v>
      </c>
      <c r="G8" s="588">
        <v>46205.919999999998</v>
      </c>
      <c r="H8" s="576">
        <v>46205.919999999998</v>
      </c>
      <c r="I8" s="589">
        <v>0</v>
      </c>
      <c r="J8" s="577"/>
    </row>
    <row r="9" spans="1:10" ht="15.75" customHeight="1" x14ac:dyDescent="0.2">
      <c r="A9" s="590" t="s">
        <v>735</v>
      </c>
      <c r="B9" s="591">
        <v>62500000</v>
      </c>
      <c r="C9" s="577"/>
      <c r="D9" s="607">
        <v>45498</v>
      </c>
      <c r="E9" s="576" t="s">
        <v>720</v>
      </c>
      <c r="F9" s="576">
        <v>92411.839999999997</v>
      </c>
      <c r="G9" s="588">
        <v>46205.919999999998</v>
      </c>
      <c r="H9" s="576">
        <v>0</v>
      </c>
      <c r="I9" s="589">
        <v>0</v>
      </c>
      <c r="J9" s="577"/>
    </row>
    <row r="10" spans="1:10" ht="15.75" customHeight="1" x14ac:dyDescent="0.2">
      <c r="A10" s="590" t="s">
        <v>734</v>
      </c>
      <c r="B10" s="592">
        <v>45131</v>
      </c>
      <c r="C10" s="577"/>
      <c r="D10" s="607">
        <v>45499</v>
      </c>
      <c r="E10" s="576" t="s">
        <v>719</v>
      </c>
      <c r="F10" s="576">
        <v>138617.76</v>
      </c>
      <c r="G10" s="588">
        <v>46205.920000000013</v>
      </c>
      <c r="H10" s="576">
        <v>0</v>
      </c>
      <c r="I10" s="589">
        <v>0</v>
      </c>
      <c r="J10" s="577"/>
    </row>
    <row r="11" spans="1:10" ht="15.75" customHeight="1" x14ac:dyDescent="0.2">
      <c r="A11" s="590" t="s">
        <v>733</v>
      </c>
      <c r="B11" s="591">
        <v>62500000</v>
      </c>
      <c r="C11" s="577"/>
      <c r="D11" s="607">
        <v>45500</v>
      </c>
      <c r="E11" s="576" t="s">
        <v>718</v>
      </c>
      <c r="F11" s="576">
        <v>184823.67999999999</v>
      </c>
      <c r="G11" s="588">
        <v>46205.919999999984</v>
      </c>
      <c r="H11" s="576">
        <v>0</v>
      </c>
      <c r="I11" s="589">
        <v>0</v>
      </c>
      <c r="J11" s="577"/>
    </row>
    <row r="12" spans="1:10" ht="15.75" customHeight="1" x14ac:dyDescent="0.2">
      <c r="A12" s="590" t="s">
        <v>732</v>
      </c>
      <c r="B12" s="593">
        <v>1</v>
      </c>
      <c r="C12" s="577"/>
      <c r="D12" s="607">
        <v>45501</v>
      </c>
      <c r="E12" s="576" t="s">
        <v>717</v>
      </c>
      <c r="F12" s="576">
        <v>231029.6</v>
      </c>
      <c r="G12" s="588">
        <v>46205.920000000013</v>
      </c>
      <c r="H12" s="576">
        <v>0</v>
      </c>
      <c r="I12" s="589">
        <v>0</v>
      </c>
      <c r="J12" s="577"/>
    </row>
    <row r="13" spans="1:10" ht="15.75" customHeight="1" x14ac:dyDescent="0.2">
      <c r="A13" s="590" t="s">
        <v>731</v>
      </c>
      <c r="B13" s="594" t="s">
        <v>730</v>
      </c>
      <c r="C13" s="577"/>
      <c r="D13" s="607">
        <v>45502</v>
      </c>
      <c r="E13" s="576" t="s">
        <v>716</v>
      </c>
      <c r="F13" s="576">
        <v>277235.52</v>
      </c>
      <c r="G13" s="588">
        <v>46205.920000000013</v>
      </c>
      <c r="H13" s="576">
        <v>0</v>
      </c>
      <c r="I13" s="589">
        <v>0</v>
      </c>
      <c r="J13" s="577"/>
    </row>
    <row r="14" spans="1:10" ht="15.75" customHeight="1" x14ac:dyDescent="0.2">
      <c r="A14" s="595" t="s">
        <v>729</v>
      </c>
      <c r="B14" s="596" t="s">
        <v>728</v>
      </c>
      <c r="C14" s="577"/>
      <c r="D14" s="607">
        <v>45503</v>
      </c>
      <c r="E14" s="576" t="s">
        <v>715</v>
      </c>
      <c r="F14" s="576">
        <v>323441.44</v>
      </c>
      <c r="G14" s="588">
        <v>46205.919999999984</v>
      </c>
      <c r="H14" s="576">
        <v>0</v>
      </c>
      <c r="I14" s="589">
        <v>0</v>
      </c>
      <c r="J14" s="577"/>
    </row>
    <row r="15" spans="1:10" ht="15.75" customHeight="1" x14ac:dyDescent="0.2">
      <c r="A15" s="582"/>
      <c r="B15" s="577"/>
      <c r="C15" s="577"/>
      <c r="D15" s="607">
        <v>45504</v>
      </c>
      <c r="E15" s="576" t="s">
        <v>721</v>
      </c>
      <c r="F15" s="576">
        <v>369647.35999999999</v>
      </c>
      <c r="G15" s="588">
        <v>46205.919999999984</v>
      </c>
      <c r="H15" s="576">
        <v>323441.44</v>
      </c>
      <c r="I15" s="589">
        <v>369647.35999999999</v>
      </c>
      <c r="J15" s="577"/>
    </row>
    <row r="16" spans="1:10" ht="15.75" customHeight="1" x14ac:dyDescent="0.2">
      <c r="A16" s="577"/>
      <c r="B16" s="577"/>
      <c r="C16" s="577"/>
      <c r="D16" s="607">
        <v>45505</v>
      </c>
      <c r="E16" s="576" t="s">
        <v>720</v>
      </c>
      <c r="F16" s="576">
        <v>415853.28</v>
      </c>
      <c r="G16" s="588">
        <v>46205.920000000042</v>
      </c>
      <c r="H16" s="576">
        <v>0</v>
      </c>
      <c r="I16" s="589">
        <v>0</v>
      </c>
      <c r="J16" s="577"/>
    </row>
    <row r="17" spans="1:10" ht="15.75" customHeight="1" x14ac:dyDescent="0.2">
      <c r="A17" s="597" t="s">
        <v>727</v>
      </c>
      <c r="B17" s="598"/>
      <c r="C17" s="577"/>
      <c r="D17" s="607">
        <v>45506</v>
      </c>
      <c r="E17" s="576" t="s">
        <v>719</v>
      </c>
      <c r="F17" s="576">
        <v>462059.2</v>
      </c>
      <c r="G17" s="588">
        <v>46205.919999999984</v>
      </c>
      <c r="H17" s="576">
        <v>0</v>
      </c>
      <c r="I17" s="589">
        <v>0</v>
      </c>
      <c r="J17" s="577"/>
    </row>
    <row r="18" spans="1:10" ht="15.75" customHeight="1" x14ac:dyDescent="0.2">
      <c r="A18" s="599" t="s">
        <v>726</v>
      </c>
      <c r="B18" s="600">
        <v>730</v>
      </c>
      <c r="C18" s="577"/>
      <c r="D18" s="607">
        <v>45507</v>
      </c>
      <c r="E18" s="576" t="s">
        <v>718</v>
      </c>
      <c r="F18" s="576">
        <v>508265.12</v>
      </c>
      <c r="G18" s="588">
        <v>46205.919999999984</v>
      </c>
      <c r="H18" s="576">
        <v>0</v>
      </c>
      <c r="I18" s="589">
        <v>0</v>
      </c>
      <c r="J18" s="577"/>
    </row>
    <row r="19" spans="1:10" ht="15.75" customHeight="1" x14ac:dyDescent="0.2">
      <c r="A19" s="599" t="s">
        <v>725</v>
      </c>
      <c r="B19" s="600">
        <v>1461</v>
      </c>
      <c r="C19" s="577"/>
      <c r="D19" s="607">
        <v>45508</v>
      </c>
      <c r="E19" s="576" t="s">
        <v>717</v>
      </c>
      <c r="F19" s="576">
        <v>554471.04</v>
      </c>
      <c r="G19" s="588">
        <v>46205.920000000042</v>
      </c>
      <c r="H19" s="576">
        <v>0</v>
      </c>
      <c r="I19" s="589">
        <v>0</v>
      </c>
      <c r="J19" s="577"/>
    </row>
    <row r="20" spans="1:10" ht="15.75" customHeight="1" x14ac:dyDescent="0.2">
      <c r="A20" s="599" t="s">
        <v>724</v>
      </c>
      <c r="B20" s="601" t="s">
        <v>723</v>
      </c>
      <c r="C20" s="577"/>
      <c r="D20" s="607">
        <v>45509</v>
      </c>
      <c r="E20" s="576" t="s">
        <v>716</v>
      </c>
      <c r="F20" s="576">
        <v>600676.96</v>
      </c>
      <c r="G20" s="588">
        <v>46205.919999999925</v>
      </c>
      <c r="H20" s="576">
        <v>0</v>
      </c>
      <c r="I20" s="589">
        <v>0</v>
      </c>
      <c r="J20" s="577"/>
    </row>
    <row r="21" spans="1:10" ht="15.75" customHeight="1" x14ac:dyDescent="0.2">
      <c r="A21" s="599" t="s">
        <v>722</v>
      </c>
      <c r="B21" s="602" t="s">
        <v>721</v>
      </c>
      <c r="C21" s="577"/>
      <c r="D21" s="607">
        <v>45510</v>
      </c>
      <c r="E21" s="576" t="s">
        <v>715</v>
      </c>
      <c r="F21" s="576">
        <v>646882.88</v>
      </c>
      <c r="G21" s="588">
        <v>46205.920000000042</v>
      </c>
      <c r="H21" s="576">
        <v>0</v>
      </c>
      <c r="I21" s="589">
        <v>0</v>
      </c>
      <c r="J21" s="577"/>
    </row>
    <row r="22" spans="1:10" ht="15.75" customHeight="1" x14ac:dyDescent="0.2">
      <c r="A22" s="603"/>
      <c r="B22" s="604"/>
      <c r="C22" s="577"/>
      <c r="D22" s="607">
        <v>45511</v>
      </c>
      <c r="E22" s="576" t="s">
        <v>721</v>
      </c>
      <c r="F22" s="576">
        <v>693088.8</v>
      </c>
      <c r="G22" s="588">
        <v>46205.920000000042</v>
      </c>
      <c r="H22" s="576">
        <v>323441.44000000006</v>
      </c>
      <c r="I22" s="589">
        <v>0</v>
      </c>
      <c r="J22" s="577"/>
    </row>
    <row r="23" spans="1:10" ht="15.75" customHeight="1" x14ac:dyDescent="0.2">
      <c r="A23" s="577"/>
      <c r="B23" s="577"/>
      <c r="C23" s="577"/>
      <c r="D23" s="607">
        <v>45512</v>
      </c>
      <c r="E23" s="576" t="s">
        <v>720</v>
      </c>
      <c r="F23" s="576">
        <v>739294.71999999997</v>
      </c>
      <c r="G23" s="588">
        <v>46205.919999999925</v>
      </c>
      <c r="H23" s="576">
        <v>0</v>
      </c>
      <c r="I23" s="589">
        <v>0</v>
      </c>
      <c r="J23" s="577"/>
    </row>
    <row r="24" spans="1:10" ht="15.75" customHeight="1" x14ac:dyDescent="0.2">
      <c r="A24" s="587"/>
      <c r="B24" s="587"/>
      <c r="C24" s="577"/>
      <c r="D24" s="607">
        <v>45513</v>
      </c>
      <c r="E24" s="576" t="s">
        <v>719</v>
      </c>
      <c r="F24" s="576">
        <v>785500.64</v>
      </c>
      <c r="G24" s="588">
        <v>46205.920000000042</v>
      </c>
      <c r="H24" s="576">
        <v>0</v>
      </c>
      <c r="I24" s="589">
        <v>0</v>
      </c>
      <c r="J24" s="577"/>
    </row>
    <row r="25" spans="1:10" ht="15.75" customHeight="1" x14ac:dyDescent="0.2">
      <c r="A25" s="587"/>
      <c r="B25" s="587"/>
      <c r="C25" s="577"/>
      <c r="D25" s="607">
        <v>45514</v>
      </c>
      <c r="E25" s="576" t="s">
        <v>718</v>
      </c>
      <c r="F25" s="576">
        <v>831706.56</v>
      </c>
      <c r="G25" s="588">
        <v>46205.920000000042</v>
      </c>
      <c r="H25" s="576">
        <v>0</v>
      </c>
      <c r="I25" s="589">
        <v>0</v>
      </c>
      <c r="J25" s="577"/>
    </row>
    <row r="26" spans="1:10" ht="15.75" customHeight="1" x14ac:dyDescent="0.2">
      <c r="A26" s="587"/>
      <c r="B26" s="587"/>
      <c r="C26" s="577"/>
      <c r="D26" s="607">
        <v>45515</v>
      </c>
      <c r="E26" s="576" t="s">
        <v>717</v>
      </c>
      <c r="F26" s="576">
        <v>877912.48</v>
      </c>
      <c r="G26" s="588">
        <v>46205.919999999925</v>
      </c>
      <c r="H26" s="576">
        <v>0</v>
      </c>
      <c r="I26" s="589">
        <v>0</v>
      </c>
      <c r="J26" s="577"/>
    </row>
    <row r="27" spans="1:10" ht="15.75" customHeight="1" x14ac:dyDescent="0.2">
      <c r="A27" s="587"/>
      <c r="B27" s="587"/>
      <c r="C27" s="577"/>
      <c r="D27" s="607">
        <v>45516</v>
      </c>
      <c r="E27" s="576" t="s">
        <v>716</v>
      </c>
      <c r="F27" s="576">
        <v>924118.4</v>
      </c>
      <c r="G27" s="588">
        <v>46205.920000000042</v>
      </c>
      <c r="H27" s="576">
        <v>0</v>
      </c>
      <c r="I27" s="589">
        <v>0</v>
      </c>
      <c r="J27" s="577"/>
    </row>
    <row r="28" spans="1:10" ht="15.75" customHeight="1" x14ac:dyDescent="0.2">
      <c r="A28" s="587"/>
      <c r="B28" s="587"/>
      <c r="C28" s="577"/>
      <c r="D28" s="607">
        <v>45517</v>
      </c>
      <c r="E28" s="576" t="s">
        <v>715</v>
      </c>
      <c r="F28" s="576">
        <v>970324.32</v>
      </c>
      <c r="G28" s="588">
        <v>46205.919999999925</v>
      </c>
      <c r="H28" s="576">
        <v>0</v>
      </c>
      <c r="I28" s="589">
        <v>0</v>
      </c>
      <c r="J28" s="577"/>
    </row>
    <row r="29" spans="1:10" ht="15.75" customHeight="1" x14ac:dyDescent="0.2">
      <c r="A29" s="587"/>
      <c r="B29" s="587"/>
      <c r="C29" s="577"/>
      <c r="D29" s="607">
        <v>45518</v>
      </c>
      <c r="E29" s="576" t="s">
        <v>721</v>
      </c>
      <c r="F29" s="576">
        <v>1016530.24</v>
      </c>
      <c r="G29" s="588">
        <v>46205.920000000042</v>
      </c>
      <c r="H29" s="576">
        <v>323441.43999999994</v>
      </c>
      <c r="I29" s="589">
        <v>646882.88</v>
      </c>
      <c r="J29" s="577"/>
    </row>
    <row r="30" spans="1:10" ht="15.75" customHeight="1" x14ac:dyDescent="0.2">
      <c r="A30" s="587"/>
      <c r="B30" s="587"/>
      <c r="C30" s="577"/>
      <c r="D30" s="607">
        <v>45519</v>
      </c>
      <c r="E30" s="576" t="s">
        <v>720</v>
      </c>
      <c r="F30" s="576">
        <v>1062736.1599999999</v>
      </c>
      <c r="G30" s="588">
        <v>46205.919999999925</v>
      </c>
      <c r="H30" s="576">
        <v>0</v>
      </c>
      <c r="I30" s="589">
        <v>0</v>
      </c>
      <c r="J30" s="577"/>
    </row>
    <row r="31" spans="1:10" ht="15.75" customHeight="1" x14ac:dyDescent="0.2">
      <c r="A31" s="587"/>
      <c r="B31" s="587"/>
      <c r="C31" s="577"/>
      <c r="D31" s="607">
        <v>45520</v>
      </c>
      <c r="E31" s="576" t="s">
        <v>719</v>
      </c>
      <c r="F31" s="576">
        <v>1108942.08</v>
      </c>
      <c r="G31" s="588">
        <v>46205.920000000158</v>
      </c>
      <c r="H31" s="576">
        <v>0</v>
      </c>
      <c r="I31" s="589">
        <v>0</v>
      </c>
      <c r="J31" s="577"/>
    </row>
    <row r="32" spans="1:10" ht="15.75" customHeight="1" x14ac:dyDescent="0.2">
      <c r="A32" s="587"/>
      <c r="B32" s="587"/>
      <c r="C32" s="577"/>
      <c r="D32" s="607">
        <v>45521</v>
      </c>
      <c r="E32" s="576" t="s">
        <v>718</v>
      </c>
      <c r="F32" s="576">
        <v>1155148</v>
      </c>
      <c r="G32" s="588">
        <v>46205.919999999925</v>
      </c>
      <c r="H32" s="576">
        <v>0</v>
      </c>
      <c r="I32" s="589">
        <v>0</v>
      </c>
      <c r="J32" s="577"/>
    </row>
    <row r="33" spans="1:10" ht="15.75" customHeight="1" x14ac:dyDescent="0.2">
      <c r="A33" s="587"/>
      <c r="B33" s="587"/>
      <c r="C33" s="577"/>
      <c r="D33" s="607">
        <v>45522</v>
      </c>
      <c r="E33" s="576" t="s">
        <v>717</v>
      </c>
      <c r="F33" s="576">
        <v>1201353.92</v>
      </c>
      <c r="G33" s="588">
        <v>46205.919999999925</v>
      </c>
      <c r="H33" s="576">
        <v>0</v>
      </c>
      <c r="I33" s="589">
        <v>0</v>
      </c>
      <c r="J33" s="577"/>
    </row>
    <row r="34" spans="1:10" ht="15.75" customHeight="1" x14ac:dyDescent="0.2">
      <c r="A34" s="587"/>
      <c r="B34" s="587"/>
      <c r="C34" s="577"/>
      <c r="D34" s="607">
        <v>45523</v>
      </c>
      <c r="E34" s="576" t="s">
        <v>716</v>
      </c>
      <c r="F34" s="576">
        <v>1247559.8400000001</v>
      </c>
      <c r="G34" s="588">
        <v>46205.920000000158</v>
      </c>
      <c r="H34" s="576">
        <v>0</v>
      </c>
      <c r="I34" s="589">
        <v>0</v>
      </c>
      <c r="J34" s="577"/>
    </row>
    <row r="35" spans="1:10" ht="15.75" customHeight="1" x14ac:dyDescent="0.2">
      <c r="A35" s="587"/>
      <c r="B35" s="587"/>
      <c r="C35" s="577"/>
      <c r="D35" s="607">
        <v>45524</v>
      </c>
      <c r="E35" s="576" t="s">
        <v>715</v>
      </c>
      <c r="F35" s="576">
        <v>1293765.76</v>
      </c>
      <c r="G35" s="588">
        <v>46205.919999999925</v>
      </c>
      <c r="H35" s="576">
        <v>0</v>
      </c>
      <c r="I35" s="589">
        <v>0</v>
      </c>
      <c r="J35" s="577"/>
    </row>
    <row r="36" spans="1:10" ht="15.75" customHeight="1" x14ac:dyDescent="0.2">
      <c r="A36" s="587"/>
      <c r="B36" s="587"/>
      <c r="C36" s="577"/>
      <c r="D36" s="607">
        <v>45525</v>
      </c>
      <c r="E36" s="576" t="s">
        <v>721</v>
      </c>
      <c r="F36" s="576">
        <v>1339971.68</v>
      </c>
      <c r="G36" s="588">
        <v>46205.919999999925</v>
      </c>
      <c r="H36" s="576">
        <v>323441.43999999994</v>
      </c>
      <c r="I36" s="589">
        <v>0</v>
      </c>
      <c r="J36" s="577"/>
    </row>
    <row r="37" spans="1:10" ht="15.75" customHeight="1" x14ac:dyDescent="0.2">
      <c r="A37" s="587"/>
      <c r="B37" s="587"/>
      <c r="C37" s="577"/>
      <c r="D37" s="607">
        <v>45526</v>
      </c>
      <c r="E37" s="576" t="s">
        <v>720</v>
      </c>
      <c r="F37" s="576">
        <v>1386177.6</v>
      </c>
      <c r="G37" s="588">
        <v>46205.920000000158</v>
      </c>
      <c r="H37" s="576">
        <v>0</v>
      </c>
      <c r="I37" s="589">
        <v>0</v>
      </c>
      <c r="J37" s="577"/>
    </row>
    <row r="38" spans="1:10" ht="15.75" customHeight="1" x14ac:dyDescent="0.2">
      <c r="A38" s="587"/>
      <c r="B38" s="587"/>
      <c r="C38" s="577"/>
      <c r="D38" s="607">
        <v>45527</v>
      </c>
      <c r="E38" s="576" t="s">
        <v>719</v>
      </c>
      <c r="F38" s="576">
        <v>1432383.52</v>
      </c>
      <c r="G38" s="588">
        <v>46205.919999999925</v>
      </c>
      <c r="H38" s="576">
        <v>0</v>
      </c>
      <c r="I38" s="589">
        <v>0</v>
      </c>
      <c r="J38" s="577"/>
    </row>
    <row r="39" spans="1:10" ht="15.75" customHeight="1" x14ac:dyDescent="0.2">
      <c r="A39" s="587"/>
      <c r="B39" s="587"/>
      <c r="C39" s="577"/>
      <c r="D39" s="607">
        <v>45528</v>
      </c>
      <c r="E39" s="576" t="s">
        <v>718</v>
      </c>
      <c r="F39" s="576">
        <v>1478589.4399999999</v>
      </c>
      <c r="G39" s="588">
        <v>46205.919999999925</v>
      </c>
      <c r="H39" s="576">
        <v>0</v>
      </c>
      <c r="I39" s="589">
        <v>0</v>
      </c>
      <c r="J39" s="577"/>
    </row>
    <row r="40" spans="1:10" ht="15.75" customHeight="1" x14ac:dyDescent="0.2">
      <c r="A40" s="587"/>
      <c r="B40" s="587"/>
      <c r="C40" s="577"/>
      <c r="D40" s="607">
        <v>45529</v>
      </c>
      <c r="E40" s="576" t="s">
        <v>717</v>
      </c>
      <c r="F40" s="576">
        <v>1524795.36</v>
      </c>
      <c r="G40" s="588">
        <v>46205.920000000158</v>
      </c>
      <c r="H40" s="576">
        <v>0</v>
      </c>
      <c r="I40" s="589">
        <v>0</v>
      </c>
      <c r="J40" s="577"/>
    </row>
    <row r="41" spans="1:10" ht="15.75" customHeight="1" x14ac:dyDescent="0.2">
      <c r="A41" s="587"/>
      <c r="B41" s="587"/>
      <c r="C41" s="574"/>
      <c r="D41" s="607">
        <v>45530</v>
      </c>
      <c r="E41" s="576" t="s">
        <v>716</v>
      </c>
      <c r="F41" s="576">
        <v>1571001.28</v>
      </c>
      <c r="G41" s="588">
        <v>46205.919999999925</v>
      </c>
      <c r="H41" s="576">
        <v>0</v>
      </c>
      <c r="I41" s="589">
        <v>0</v>
      </c>
      <c r="J41" s="577"/>
    </row>
    <row r="42" spans="1:10" ht="15.75" customHeight="1" x14ac:dyDescent="0.2">
      <c r="A42" s="587"/>
      <c r="B42" s="587"/>
      <c r="C42" s="605"/>
      <c r="D42" s="607">
        <v>45531</v>
      </c>
      <c r="E42" s="576" t="s">
        <v>715</v>
      </c>
      <c r="F42" s="576">
        <v>1617207.2</v>
      </c>
      <c r="G42" s="588">
        <v>46205.919999999925</v>
      </c>
      <c r="H42" s="576">
        <v>0</v>
      </c>
      <c r="I42" s="589">
        <v>0</v>
      </c>
      <c r="J42" s="577"/>
    </row>
    <row r="43" spans="1:10" ht="15.75" customHeight="1" x14ac:dyDescent="0.2">
      <c r="A43" s="587"/>
      <c r="B43" s="587"/>
      <c r="C43" s="605"/>
      <c r="D43" s="607">
        <v>45532</v>
      </c>
      <c r="E43" s="576" t="s">
        <v>721</v>
      </c>
      <c r="F43" s="576">
        <v>1663413.12</v>
      </c>
      <c r="G43" s="588">
        <v>46205.920000000158</v>
      </c>
      <c r="H43" s="576">
        <v>323441.44000000018</v>
      </c>
      <c r="I43" s="589">
        <v>646882.88000000012</v>
      </c>
      <c r="J43" s="577"/>
    </row>
    <row r="44" spans="1:10" ht="15.75" customHeight="1" x14ac:dyDescent="0.2">
      <c r="A44" s="587"/>
      <c r="B44" s="587"/>
      <c r="C44" s="605"/>
      <c r="D44" s="607">
        <v>45533</v>
      </c>
      <c r="E44" s="576" t="s">
        <v>720</v>
      </c>
      <c r="F44" s="576">
        <v>1709619.04</v>
      </c>
      <c r="G44" s="588">
        <v>46205.919999999925</v>
      </c>
      <c r="H44" s="576">
        <v>0</v>
      </c>
      <c r="I44" s="589">
        <v>0</v>
      </c>
      <c r="J44" s="577"/>
    </row>
    <row r="45" spans="1:10" ht="15.75" customHeight="1" x14ac:dyDescent="0.2">
      <c r="A45" s="587"/>
      <c r="B45" s="587"/>
      <c r="C45" s="605"/>
      <c r="D45" s="607">
        <v>45534</v>
      </c>
      <c r="E45" s="576" t="s">
        <v>719</v>
      </c>
      <c r="F45" s="576">
        <v>1755824.96</v>
      </c>
      <c r="G45" s="588">
        <v>46205.919999999925</v>
      </c>
      <c r="H45" s="576">
        <v>0</v>
      </c>
      <c r="I45" s="589">
        <v>0</v>
      </c>
      <c r="J45" s="577"/>
    </row>
    <row r="46" spans="1:10" ht="15.75" customHeight="1" x14ac:dyDescent="0.2">
      <c r="A46" s="587"/>
      <c r="B46" s="587"/>
      <c r="C46" s="605"/>
      <c r="D46" s="607">
        <v>45535</v>
      </c>
      <c r="E46" s="576" t="s">
        <v>718</v>
      </c>
      <c r="F46" s="576">
        <v>1802030.88</v>
      </c>
      <c r="G46" s="588">
        <v>46205.919999999925</v>
      </c>
      <c r="H46" s="576">
        <v>0</v>
      </c>
      <c r="I46" s="589">
        <v>0</v>
      </c>
      <c r="J46" s="577"/>
    </row>
    <row r="47" spans="1:10" ht="15.75" customHeight="1" x14ac:dyDescent="0.2">
      <c r="A47" s="587"/>
      <c r="B47" s="587"/>
      <c r="C47" s="605"/>
      <c r="D47" s="607">
        <v>45536</v>
      </c>
      <c r="E47" s="576" t="s">
        <v>717</v>
      </c>
      <c r="F47" s="576">
        <v>1848236.8</v>
      </c>
      <c r="G47" s="588">
        <v>46205.920000000158</v>
      </c>
      <c r="H47" s="576">
        <v>0</v>
      </c>
      <c r="I47" s="589">
        <v>0</v>
      </c>
      <c r="J47" s="577"/>
    </row>
    <row r="48" spans="1:10" ht="15.75" customHeight="1" x14ac:dyDescent="0.2">
      <c r="A48" s="577"/>
      <c r="B48" s="577"/>
      <c r="C48" s="605"/>
      <c r="D48" s="607">
        <v>45537</v>
      </c>
      <c r="E48" s="576" t="s">
        <v>716</v>
      </c>
      <c r="F48" s="576">
        <v>1894442.72</v>
      </c>
      <c r="G48" s="588">
        <v>46205.919999999925</v>
      </c>
      <c r="H48" s="576">
        <v>0</v>
      </c>
      <c r="I48" s="589">
        <v>0</v>
      </c>
      <c r="J48" s="577"/>
    </row>
    <row r="49" spans="1:10" ht="15.75" customHeight="1" x14ac:dyDescent="0.2">
      <c r="A49" s="577"/>
      <c r="B49" s="577"/>
      <c r="C49" s="605"/>
      <c r="D49" s="607">
        <v>45538</v>
      </c>
      <c r="E49" s="576" t="s">
        <v>715</v>
      </c>
      <c r="F49" s="576">
        <v>1940648.64</v>
      </c>
      <c r="G49" s="588">
        <v>46205.919999999925</v>
      </c>
      <c r="H49" s="576">
        <v>0</v>
      </c>
      <c r="I49" s="589">
        <v>0</v>
      </c>
      <c r="J49" s="577"/>
    </row>
    <row r="50" spans="1:10" ht="15.75" customHeight="1" x14ac:dyDescent="0.2">
      <c r="A50" s="577"/>
      <c r="B50" s="577"/>
      <c r="C50" s="605"/>
      <c r="D50" s="607">
        <v>45539</v>
      </c>
      <c r="E50" s="576" t="s">
        <v>721</v>
      </c>
      <c r="F50" s="576">
        <v>1986854.56</v>
      </c>
      <c r="G50" s="588">
        <v>46205.920000000158</v>
      </c>
      <c r="H50" s="576">
        <v>323441.43999999994</v>
      </c>
      <c r="I50" s="589">
        <v>0</v>
      </c>
      <c r="J50" s="577"/>
    </row>
    <row r="51" spans="1:10" ht="15.75" customHeight="1" x14ac:dyDescent="0.2">
      <c r="A51" s="577"/>
      <c r="B51" s="577"/>
      <c r="C51" s="605"/>
      <c r="D51" s="607">
        <v>45540</v>
      </c>
      <c r="E51" s="576" t="s">
        <v>720</v>
      </c>
      <c r="F51" s="576">
        <v>2033060.48</v>
      </c>
      <c r="G51" s="588">
        <v>46205.919999999925</v>
      </c>
      <c r="H51" s="576">
        <v>0</v>
      </c>
      <c r="I51" s="589">
        <v>0</v>
      </c>
      <c r="J51" s="577"/>
    </row>
    <row r="52" spans="1:10" ht="15.75" customHeight="1" x14ac:dyDescent="0.2">
      <c r="A52" s="577"/>
      <c r="B52" s="577"/>
      <c r="C52" s="605"/>
      <c r="D52" s="607">
        <v>45541</v>
      </c>
      <c r="E52" s="576" t="s">
        <v>719</v>
      </c>
      <c r="F52" s="576">
        <v>2079266.4</v>
      </c>
      <c r="G52" s="588">
        <v>46205.919999999925</v>
      </c>
      <c r="H52" s="576">
        <v>0</v>
      </c>
      <c r="I52" s="589">
        <v>0</v>
      </c>
      <c r="J52" s="577"/>
    </row>
    <row r="53" spans="1:10" ht="15.75" customHeight="1" x14ac:dyDescent="0.2">
      <c r="A53" s="577"/>
      <c r="B53" s="577"/>
      <c r="C53" s="605"/>
      <c r="D53" s="607">
        <v>45542</v>
      </c>
      <c r="E53" s="576" t="s">
        <v>718</v>
      </c>
      <c r="F53" s="576">
        <v>2125472.3199999998</v>
      </c>
      <c r="G53" s="588">
        <v>46205.919999999925</v>
      </c>
      <c r="H53" s="576">
        <v>0</v>
      </c>
      <c r="I53" s="589">
        <v>0</v>
      </c>
      <c r="J53" s="577"/>
    </row>
    <row r="54" spans="1:10" ht="15.75" customHeight="1" x14ac:dyDescent="0.2">
      <c r="A54" s="577"/>
      <c r="B54" s="577"/>
      <c r="C54" s="605"/>
      <c r="D54" s="607">
        <v>45543</v>
      </c>
      <c r="E54" s="576" t="s">
        <v>717</v>
      </c>
      <c r="F54" s="576">
        <v>2171678.2400000002</v>
      </c>
      <c r="G54" s="588">
        <v>46205.920000000391</v>
      </c>
      <c r="H54" s="576">
        <v>0</v>
      </c>
      <c r="I54" s="589">
        <v>0</v>
      </c>
      <c r="J54" s="577"/>
    </row>
    <row r="55" spans="1:10" ht="15.75" customHeight="1" x14ac:dyDescent="0.2">
      <c r="A55" s="577"/>
      <c r="B55" s="577"/>
      <c r="C55" s="605"/>
      <c r="D55" s="607">
        <v>45544</v>
      </c>
      <c r="E55" s="576" t="s">
        <v>716</v>
      </c>
      <c r="F55" s="576">
        <v>2217884.16</v>
      </c>
      <c r="G55" s="588">
        <v>46205.919999999925</v>
      </c>
      <c r="H55" s="576">
        <v>0</v>
      </c>
      <c r="I55" s="589">
        <v>0</v>
      </c>
      <c r="J55" s="577"/>
    </row>
    <row r="56" spans="1:10" ht="15.75" customHeight="1" x14ac:dyDescent="0.2">
      <c r="A56" s="577"/>
      <c r="B56" s="577"/>
      <c r="C56" s="605"/>
      <c r="D56" s="607">
        <v>45545</v>
      </c>
      <c r="E56" s="576" t="s">
        <v>715</v>
      </c>
      <c r="F56" s="576">
        <v>2264090.08</v>
      </c>
      <c r="G56" s="588">
        <v>46205.919999999925</v>
      </c>
      <c r="H56" s="576">
        <v>0</v>
      </c>
      <c r="I56" s="589">
        <v>0</v>
      </c>
      <c r="J56" s="577"/>
    </row>
    <row r="57" spans="1:10" ht="15.75" customHeight="1" x14ac:dyDescent="0.2">
      <c r="A57" s="577"/>
      <c r="B57" s="577"/>
      <c r="C57" s="605"/>
      <c r="D57" s="607">
        <v>45546</v>
      </c>
      <c r="E57" s="576" t="s">
        <v>721</v>
      </c>
      <c r="F57" s="576">
        <v>2310296</v>
      </c>
      <c r="G57" s="588">
        <v>46205.919999999925</v>
      </c>
      <c r="H57" s="576">
        <v>323441.43999999994</v>
      </c>
      <c r="I57" s="589">
        <v>646882.87999999989</v>
      </c>
      <c r="J57" s="577"/>
    </row>
    <row r="58" spans="1:10" ht="15.75" customHeight="1" x14ac:dyDescent="0.2">
      <c r="A58" s="577"/>
      <c r="B58" s="577"/>
      <c r="C58" s="605"/>
      <c r="D58" s="607">
        <v>45547</v>
      </c>
      <c r="E58" s="576" t="s">
        <v>720</v>
      </c>
      <c r="F58" s="576">
        <v>2356501.92</v>
      </c>
      <c r="G58" s="588">
        <v>46205.919999999925</v>
      </c>
      <c r="H58" s="576">
        <v>0</v>
      </c>
      <c r="I58" s="589">
        <v>0</v>
      </c>
      <c r="J58" s="577"/>
    </row>
    <row r="59" spans="1:10" ht="15.75" customHeight="1" x14ac:dyDescent="0.2">
      <c r="A59" s="577"/>
      <c r="B59" s="577"/>
      <c r="C59" s="605"/>
      <c r="D59" s="607">
        <v>45548</v>
      </c>
      <c r="E59" s="576" t="s">
        <v>719</v>
      </c>
      <c r="F59" s="576">
        <v>2402707.84</v>
      </c>
      <c r="G59" s="588">
        <v>46205.919999999925</v>
      </c>
      <c r="H59" s="576">
        <v>0</v>
      </c>
      <c r="I59" s="589">
        <v>0</v>
      </c>
      <c r="J59" s="577"/>
    </row>
    <row r="60" spans="1:10" ht="15.75" customHeight="1" x14ac:dyDescent="0.2">
      <c r="A60" s="577"/>
      <c r="B60" s="577"/>
      <c r="C60" s="576"/>
      <c r="D60" s="607">
        <v>45549</v>
      </c>
      <c r="E60" s="576" t="s">
        <v>718</v>
      </c>
      <c r="F60" s="576">
        <v>2448913.7599999998</v>
      </c>
      <c r="G60" s="588">
        <v>46205.919999999925</v>
      </c>
      <c r="H60" s="576">
        <v>0</v>
      </c>
      <c r="I60" s="589">
        <v>0</v>
      </c>
    </row>
    <row r="61" spans="1:10" ht="15.75" customHeight="1" x14ac:dyDescent="0.2">
      <c r="A61" s="577"/>
      <c r="B61" s="577"/>
      <c r="C61" s="576"/>
      <c r="D61" s="607">
        <v>45550</v>
      </c>
      <c r="E61" s="576" t="s">
        <v>717</v>
      </c>
      <c r="F61" s="576">
        <v>2495119.6800000002</v>
      </c>
      <c r="G61" s="588">
        <v>46205.920000000391</v>
      </c>
      <c r="H61" s="576">
        <v>0</v>
      </c>
      <c r="I61" s="589">
        <v>0</v>
      </c>
    </row>
    <row r="62" spans="1:10" ht="15.75" customHeight="1" x14ac:dyDescent="0.2">
      <c r="A62" s="577"/>
      <c r="B62" s="577"/>
      <c r="C62" s="576"/>
      <c r="D62" s="607">
        <v>45551</v>
      </c>
      <c r="E62" s="576" t="s">
        <v>716</v>
      </c>
      <c r="F62" s="576">
        <v>2541325.6</v>
      </c>
      <c r="G62" s="588">
        <v>46205.919999999925</v>
      </c>
      <c r="H62" s="576">
        <v>0</v>
      </c>
      <c r="I62" s="589">
        <v>0</v>
      </c>
    </row>
    <row r="63" spans="1:10" ht="15.75" customHeight="1" x14ac:dyDescent="0.2">
      <c r="A63" s="577"/>
      <c r="B63" s="577"/>
      <c r="C63" s="576"/>
      <c r="D63" s="607">
        <v>45552</v>
      </c>
      <c r="E63" s="576" t="s">
        <v>715</v>
      </c>
      <c r="F63" s="576">
        <v>2587531.52</v>
      </c>
      <c r="G63" s="588">
        <v>46205.919999999925</v>
      </c>
      <c r="H63" s="576">
        <v>0</v>
      </c>
      <c r="I63" s="589">
        <v>0</v>
      </c>
    </row>
    <row r="64" spans="1:10" ht="15.75" customHeight="1" x14ac:dyDescent="0.2">
      <c r="A64" s="577"/>
      <c r="B64" s="577"/>
      <c r="C64" s="576"/>
      <c r="D64" s="607">
        <v>45553</v>
      </c>
      <c r="E64" s="576" t="s">
        <v>721</v>
      </c>
      <c r="F64" s="576">
        <v>2633737.44</v>
      </c>
      <c r="G64" s="588">
        <v>46205.919999999925</v>
      </c>
      <c r="H64" s="576">
        <v>323441.43999999994</v>
      </c>
      <c r="I64" s="589">
        <v>0</v>
      </c>
    </row>
    <row r="65" spans="1:9" ht="15.75" customHeight="1" x14ac:dyDescent="0.2">
      <c r="A65" s="577"/>
      <c r="B65" s="577"/>
      <c r="C65" s="576"/>
      <c r="D65" s="607">
        <v>45554</v>
      </c>
      <c r="E65" s="576" t="s">
        <v>720</v>
      </c>
      <c r="F65" s="576">
        <v>2679943.36</v>
      </c>
      <c r="G65" s="588">
        <v>46205.919999999925</v>
      </c>
      <c r="H65" s="576">
        <v>0</v>
      </c>
      <c r="I65" s="589">
        <v>0</v>
      </c>
    </row>
    <row r="66" spans="1:9" ht="15.75" customHeight="1" x14ac:dyDescent="0.2">
      <c r="A66" s="577"/>
      <c r="B66" s="577"/>
      <c r="C66" s="576"/>
      <c r="D66" s="607">
        <v>45555</v>
      </c>
      <c r="E66" s="576" t="s">
        <v>719</v>
      </c>
      <c r="F66" s="576">
        <v>2726149.28</v>
      </c>
      <c r="G66" s="588">
        <v>46205.919999999925</v>
      </c>
      <c r="H66" s="576">
        <v>0</v>
      </c>
      <c r="I66" s="589">
        <v>0</v>
      </c>
    </row>
    <row r="67" spans="1:9" ht="15.75" customHeight="1" x14ac:dyDescent="0.2">
      <c r="A67" s="577"/>
      <c r="B67" s="577"/>
      <c r="C67" s="576"/>
      <c r="D67" s="607">
        <v>45556</v>
      </c>
      <c r="E67" s="576" t="s">
        <v>718</v>
      </c>
      <c r="F67" s="576">
        <v>2772355.2</v>
      </c>
      <c r="G67" s="588">
        <v>46205.920000000391</v>
      </c>
      <c r="H67" s="576">
        <v>0</v>
      </c>
      <c r="I67" s="589">
        <v>0</v>
      </c>
    </row>
    <row r="68" spans="1:9" ht="15.75" customHeight="1" x14ac:dyDescent="0.2">
      <c r="A68" s="577"/>
      <c r="B68" s="577"/>
      <c r="C68" s="576"/>
      <c r="D68" s="607">
        <v>45557</v>
      </c>
      <c r="E68" s="576" t="s">
        <v>717</v>
      </c>
      <c r="F68" s="576">
        <v>2818561.12</v>
      </c>
      <c r="G68" s="588">
        <v>46205.919999999925</v>
      </c>
      <c r="H68" s="576">
        <v>0</v>
      </c>
      <c r="I68" s="589">
        <v>0</v>
      </c>
    </row>
    <row r="69" spans="1:9" ht="15.75" customHeight="1" x14ac:dyDescent="0.2">
      <c r="A69" s="577"/>
      <c r="B69" s="577"/>
      <c r="C69" s="576"/>
      <c r="D69" s="607">
        <v>45558</v>
      </c>
      <c r="E69" s="576" t="s">
        <v>716</v>
      </c>
      <c r="F69" s="576">
        <v>2864767.04</v>
      </c>
      <c r="G69" s="588">
        <v>46205.919999999925</v>
      </c>
      <c r="H69" s="576">
        <v>0</v>
      </c>
      <c r="I69" s="589">
        <v>0</v>
      </c>
    </row>
    <row r="70" spans="1:9" ht="15.75" customHeight="1" x14ac:dyDescent="0.2">
      <c r="A70" s="577"/>
      <c r="B70" s="577"/>
      <c r="C70" s="576"/>
      <c r="D70" s="607">
        <v>45559</v>
      </c>
      <c r="E70" s="576" t="s">
        <v>715</v>
      </c>
      <c r="F70" s="576">
        <v>2910972.96</v>
      </c>
      <c r="G70" s="588">
        <v>46205.919999999925</v>
      </c>
      <c r="H70" s="576">
        <v>0</v>
      </c>
      <c r="I70" s="589">
        <v>0</v>
      </c>
    </row>
    <row r="71" spans="1:9" ht="15.75" customHeight="1" x14ac:dyDescent="0.2">
      <c r="A71" s="577"/>
      <c r="B71" s="577"/>
      <c r="C71" s="576"/>
      <c r="D71" s="607">
        <v>45560</v>
      </c>
      <c r="E71" s="576" t="s">
        <v>721</v>
      </c>
      <c r="F71" s="576">
        <v>2957178.8799999999</v>
      </c>
      <c r="G71" s="588">
        <v>46205.919999999925</v>
      </c>
      <c r="H71" s="576">
        <v>323441.43999999994</v>
      </c>
      <c r="I71" s="589">
        <v>646882.87999999989</v>
      </c>
    </row>
    <row r="72" spans="1:9" ht="15.75" customHeight="1" x14ac:dyDescent="0.2">
      <c r="A72" s="577"/>
      <c r="B72" s="577"/>
      <c r="C72" s="576"/>
      <c r="D72" s="607">
        <v>45561</v>
      </c>
      <c r="E72" s="576" t="s">
        <v>720</v>
      </c>
      <c r="F72" s="576">
        <v>3003384.8</v>
      </c>
      <c r="G72" s="588">
        <v>46205.919999999925</v>
      </c>
      <c r="H72" s="576">
        <v>0</v>
      </c>
      <c r="I72" s="589">
        <v>0</v>
      </c>
    </row>
    <row r="73" spans="1:9" ht="15.75" customHeight="1" x14ac:dyDescent="0.2">
      <c r="A73" s="577"/>
      <c r="B73" s="577"/>
      <c r="C73" s="576"/>
      <c r="D73" s="607">
        <v>45562</v>
      </c>
      <c r="E73" s="576" t="s">
        <v>719</v>
      </c>
      <c r="F73" s="576">
        <v>3049590.72</v>
      </c>
      <c r="G73" s="588">
        <v>46205.920000000391</v>
      </c>
      <c r="H73" s="576">
        <v>0</v>
      </c>
      <c r="I73" s="589">
        <v>0</v>
      </c>
    </row>
    <row r="74" spans="1:9" ht="15.75" customHeight="1" x14ac:dyDescent="0.2">
      <c r="A74" s="577"/>
      <c r="B74" s="577"/>
      <c r="C74" s="576"/>
      <c r="D74" s="607">
        <v>45563</v>
      </c>
      <c r="E74" s="576" t="s">
        <v>718</v>
      </c>
      <c r="F74" s="576">
        <v>3095796.64</v>
      </c>
      <c r="G74" s="588">
        <v>46205.919999999925</v>
      </c>
      <c r="H74" s="576">
        <v>0</v>
      </c>
      <c r="I74" s="589">
        <v>0</v>
      </c>
    </row>
    <row r="75" spans="1:9" ht="15.75" customHeight="1" x14ac:dyDescent="0.2">
      <c r="A75" s="577"/>
      <c r="B75" s="577"/>
      <c r="C75" s="576"/>
      <c r="D75" s="607">
        <v>45564</v>
      </c>
      <c r="E75" s="576" t="s">
        <v>717</v>
      </c>
      <c r="F75" s="576">
        <v>3142002.56</v>
      </c>
      <c r="G75" s="588">
        <v>46205.919999999925</v>
      </c>
      <c r="H75" s="576">
        <v>0</v>
      </c>
      <c r="I75" s="589">
        <v>0</v>
      </c>
    </row>
    <row r="76" spans="1:9" ht="15.75" customHeight="1" x14ac:dyDescent="0.2">
      <c r="A76" s="577"/>
      <c r="B76" s="577"/>
      <c r="C76" s="576"/>
      <c r="D76" s="607">
        <v>45565</v>
      </c>
      <c r="E76" s="576" t="s">
        <v>716</v>
      </c>
      <c r="F76" s="576">
        <v>3188208.48</v>
      </c>
      <c r="G76" s="588">
        <v>46205.919999999925</v>
      </c>
      <c r="H76" s="576">
        <v>0</v>
      </c>
      <c r="I76" s="589">
        <v>0</v>
      </c>
    </row>
    <row r="77" spans="1:9" ht="15.75" customHeight="1" x14ac:dyDescent="0.2">
      <c r="A77" s="577"/>
      <c r="B77" s="577"/>
      <c r="C77" s="576"/>
      <c r="D77" s="607">
        <v>45566</v>
      </c>
      <c r="E77" s="576" t="s">
        <v>715</v>
      </c>
      <c r="F77" s="576">
        <v>3234414.4</v>
      </c>
      <c r="G77" s="588">
        <v>46205.919999999925</v>
      </c>
      <c r="H77" s="576">
        <v>0</v>
      </c>
      <c r="I77" s="589">
        <v>0</v>
      </c>
    </row>
    <row r="78" spans="1:9" ht="15.75" customHeight="1" x14ac:dyDescent="0.2">
      <c r="A78" s="577"/>
      <c r="B78" s="577"/>
      <c r="C78" s="576"/>
      <c r="D78" s="607">
        <v>45567</v>
      </c>
      <c r="E78" s="576" t="s">
        <v>721</v>
      </c>
      <c r="F78" s="576">
        <v>3280620.32</v>
      </c>
      <c r="G78" s="588">
        <v>46205.919999999925</v>
      </c>
      <c r="H78" s="576">
        <v>323441.43999999994</v>
      </c>
      <c r="I78" s="589">
        <v>0</v>
      </c>
    </row>
    <row r="79" spans="1:9" ht="15.75" customHeight="1" x14ac:dyDescent="0.2">
      <c r="A79" s="577"/>
      <c r="B79" s="577"/>
      <c r="C79" s="576"/>
      <c r="D79" s="607">
        <v>45568</v>
      </c>
      <c r="E79" s="576" t="s">
        <v>720</v>
      </c>
      <c r="F79" s="576">
        <v>3326826.24</v>
      </c>
      <c r="G79" s="588">
        <v>46205.920000000391</v>
      </c>
      <c r="H79" s="576">
        <v>0</v>
      </c>
      <c r="I79" s="589">
        <v>0</v>
      </c>
    </row>
    <row r="80" spans="1:9" ht="15.75" customHeight="1" x14ac:dyDescent="0.2">
      <c r="A80" s="577"/>
      <c r="B80" s="577"/>
      <c r="C80" s="576"/>
      <c r="D80" s="607">
        <v>45569</v>
      </c>
      <c r="E80" s="576" t="s">
        <v>719</v>
      </c>
      <c r="F80" s="576">
        <v>3373032.16</v>
      </c>
      <c r="G80" s="588">
        <v>46205.919999999925</v>
      </c>
      <c r="H80" s="576">
        <v>0</v>
      </c>
      <c r="I80" s="589">
        <v>0</v>
      </c>
    </row>
    <row r="81" spans="1:9" ht="15.75" customHeight="1" x14ac:dyDescent="0.2">
      <c r="A81" s="577"/>
      <c r="B81" s="577"/>
      <c r="C81" s="576"/>
      <c r="D81" s="607">
        <v>45570</v>
      </c>
      <c r="E81" s="576" t="s">
        <v>718</v>
      </c>
      <c r="F81" s="576">
        <v>3419238.08</v>
      </c>
      <c r="G81" s="588">
        <v>46205.919999999925</v>
      </c>
      <c r="H81" s="576">
        <v>0</v>
      </c>
      <c r="I81" s="589">
        <v>0</v>
      </c>
    </row>
    <row r="82" spans="1:9" ht="15.75" customHeight="1" x14ac:dyDescent="0.2">
      <c r="A82" s="577"/>
      <c r="B82" s="577"/>
      <c r="C82" s="576"/>
      <c r="D82" s="607">
        <v>45571</v>
      </c>
      <c r="E82" s="576" t="s">
        <v>717</v>
      </c>
      <c r="F82" s="576">
        <v>3465444.01</v>
      </c>
      <c r="G82" s="588">
        <v>46205.929999999702</v>
      </c>
      <c r="H82" s="576">
        <v>0</v>
      </c>
      <c r="I82" s="589">
        <v>0</v>
      </c>
    </row>
    <row r="83" spans="1:9" ht="15.75" customHeight="1" x14ac:dyDescent="0.2">
      <c r="A83" s="577"/>
      <c r="B83" s="577"/>
      <c r="C83" s="576"/>
      <c r="D83" s="607">
        <v>45572</v>
      </c>
      <c r="E83" s="576" t="s">
        <v>716</v>
      </c>
      <c r="F83" s="576">
        <v>3511649.93</v>
      </c>
      <c r="G83" s="588">
        <v>46205.920000000391</v>
      </c>
      <c r="H83" s="576">
        <v>0</v>
      </c>
      <c r="I83" s="589">
        <v>0</v>
      </c>
    </row>
    <row r="84" spans="1:9" ht="15.75" customHeight="1" x14ac:dyDescent="0.2">
      <c r="A84" s="577"/>
      <c r="B84" s="577"/>
      <c r="C84" s="576"/>
      <c r="D84" s="607">
        <v>45573</v>
      </c>
      <c r="E84" s="576" t="s">
        <v>715</v>
      </c>
      <c r="F84" s="576">
        <v>3557855.85</v>
      </c>
      <c r="G84" s="588">
        <v>46205.919999999925</v>
      </c>
      <c r="H84" s="576">
        <v>0</v>
      </c>
      <c r="I84" s="589">
        <v>0</v>
      </c>
    </row>
    <row r="85" spans="1:9" ht="15.75" customHeight="1" x14ac:dyDescent="0.2">
      <c r="A85" s="577"/>
      <c r="B85" s="577"/>
      <c r="C85" s="576"/>
      <c r="D85" s="607">
        <v>45574</v>
      </c>
      <c r="E85" s="576" t="s">
        <v>721</v>
      </c>
      <c r="F85" s="576">
        <v>3604061.77</v>
      </c>
      <c r="G85" s="588">
        <v>46205.919999999925</v>
      </c>
      <c r="H85" s="576">
        <v>323441.45000000019</v>
      </c>
      <c r="I85" s="589">
        <v>646882.89000000013</v>
      </c>
    </row>
    <row r="86" spans="1:9" ht="15.75" customHeight="1" x14ac:dyDescent="0.2">
      <c r="A86" s="577"/>
      <c r="B86" s="577"/>
      <c r="C86" s="576"/>
      <c r="D86" s="607">
        <v>45575</v>
      </c>
      <c r="E86" s="576" t="s">
        <v>720</v>
      </c>
      <c r="F86" s="576">
        <v>3650267.69</v>
      </c>
      <c r="G86" s="588">
        <v>46205.919999999925</v>
      </c>
      <c r="H86" s="576">
        <v>0</v>
      </c>
      <c r="I86" s="589">
        <v>0</v>
      </c>
    </row>
    <row r="87" spans="1:9" ht="15.75" customHeight="1" x14ac:dyDescent="0.2">
      <c r="A87" s="577"/>
      <c r="B87" s="577"/>
      <c r="C87" s="576"/>
      <c r="D87" s="607">
        <v>45576</v>
      </c>
      <c r="E87" s="576" t="s">
        <v>719</v>
      </c>
      <c r="F87" s="576">
        <v>3696473.61</v>
      </c>
      <c r="G87" s="588">
        <v>46205.919999999925</v>
      </c>
      <c r="H87" s="576">
        <v>0</v>
      </c>
      <c r="I87" s="589">
        <v>0</v>
      </c>
    </row>
    <row r="88" spans="1:9" ht="15.75" customHeight="1" x14ac:dyDescent="0.2">
      <c r="A88" s="577"/>
      <c r="B88" s="577"/>
      <c r="C88" s="576"/>
      <c r="D88" s="607">
        <v>45577</v>
      </c>
      <c r="E88" s="576" t="s">
        <v>718</v>
      </c>
      <c r="F88" s="576">
        <v>3742679.53</v>
      </c>
      <c r="G88" s="588">
        <v>46205.919999999925</v>
      </c>
      <c r="H88" s="576">
        <v>0</v>
      </c>
      <c r="I88" s="589">
        <v>0</v>
      </c>
    </row>
    <row r="89" spans="1:9" ht="15.75" customHeight="1" x14ac:dyDescent="0.2">
      <c r="A89" s="577"/>
      <c r="B89" s="577"/>
      <c r="C89" s="576"/>
      <c r="D89" s="607">
        <v>45578</v>
      </c>
      <c r="E89" s="576" t="s">
        <v>717</v>
      </c>
      <c r="F89" s="576">
        <v>3788885.45</v>
      </c>
      <c r="G89" s="588">
        <v>46205.920000000391</v>
      </c>
      <c r="H89" s="576">
        <v>0</v>
      </c>
      <c r="I89" s="589">
        <v>0</v>
      </c>
    </row>
    <row r="90" spans="1:9" ht="15.75" customHeight="1" x14ac:dyDescent="0.2">
      <c r="A90" s="577"/>
      <c r="B90" s="577"/>
      <c r="C90" s="576"/>
      <c r="D90" s="607">
        <v>45579</v>
      </c>
      <c r="E90" s="576" t="s">
        <v>716</v>
      </c>
      <c r="F90" s="576">
        <v>3835091.37</v>
      </c>
      <c r="G90" s="588">
        <v>46205.919999999925</v>
      </c>
      <c r="H90" s="576">
        <v>0</v>
      </c>
      <c r="I90" s="589">
        <v>0</v>
      </c>
    </row>
    <row r="91" spans="1:9" ht="15.75" customHeight="1" x14ac:dyDescent="0.2">
      <c r="A91" s="577"/>
      <c r="B91" s="577"/>
      <c r="C91" s="576"/>
      <c r="D91" s="607">
        <v>45580</v>
      </c>
      <c r="E91" s="576" t="s">
        <v>715</v>
      </c>
      <c r="F91" s="576">
        <v>3881297.29</v>
      </c>
      <c r="G91" s="588">
        <v>46205.919999999925</v>
      </c>
      <c r="H91" s="576">
        <v>0</v>
      </c>
      <c r="I91" s="589">
        <v>0</v>
      </c>
    </row>
    <row r="92" spans="1:9" ht="15.75" customHeight="1" x14ac:dyDescent="0.2">
      <c r="A92" s="577"/>
      <c r="B92" s="577"/>
      <c r="C92" s="576"/>
      <c r="D92" s="607">
        <v>45581</v>
      </c>
      <c r="E92" s="576" t="s">
        <v>721</v>
      </c>
      <c r="F92" s="576">
        <v>3927503.21</v>
      </c>
      <c r="G92" s="588">
        <v>46205.919999999925</v>
      </c>
      <c r="H92" s="576">
        <v>323441.43999999994</v>
      </c>
      <c r="I92" s="589">
        <v>0</v>
      </c>
    </row>
    <row r="93" spans="1:9" ht="15.75" customHeight="1" x14ac:dyDescent="0.2">
      <c r="A93" s="577"/>
      <c r="B93" s="577"/>
      <c r="C93" s="576"/>
      <c r="D93" s="607">
        <v>45582</v>
      </c>
      <c r="E93" s="576" t="s">
        <v>720</v>
      </c>
      <c r="F93" s="576">
        <v>3973709.13</v>
      </c>
      <c r="G93" s="588">
        <v>46205.919999999925</v>
      </c>
      <c r="H93" s="576">
        <v>0</v>
      </c>
      <c r="I93" s="589">
        <v>0</v>
      </c>
    </row>
    <row r="94" spans="1:9" ht="15.75" customHeight="1" x14ac:dyDescent="0.2">
      <c r="A94" s="577"/>
      <c r="B94" s="577"/>
      <c r="C94" s="576"/>
      <c r="D94" s="607">
        <v>45583</v>
      </c>
      <c r="E94" s="576" t="s">
        <v>719</v>
      </c>
      <c r="F94" s="576">
        <v>4019915.05</v>
      </c>
      <c r="G94" s="588">
        <v>46205.919999999925</v>
      </c>
      <c r="H94" s="576">
        <v>0</v>
      </c>
      <c r="I94" s="589">
        <v>0</v>
      </c>
    </row>
    <row r="95" spans="1:9" ht="15.75" customHeight="1" x14ac:dyDescent="0.2">
      <c r="A95" s="577"/>
      <c r="B95" s="577"/>
      <c r="C95" s="576"/>
      <c r="D95" s="607">
        <v>45584</v>
      </c>
      <c r="E95" s="576" t="s">
        <v>718</v>
      </c>
      <c r="F95" s="576">
        <v>4066120.97</v>
      </c>
      <c r="G95" s="588">
        <v>46205.920000000391</v>
      </c>
      <c r="H95" s="576">
        <v>0</v>
      </c>
      <c r="I95" s="589">
        <v>0</v>
      </c>
    </row>
    <row r="96" spans="1:9" ht="15.75" customHeight="1" x14ac:dyDescent="0.2">
      <c r="A96" s="577"/>
      <c r="B96" s="577"/>
      <c r="C96" s="576"/>
      <c r="D96" s="607">
        <v>45585</v>
      </c>
      <c r="E96" s="576" t="s">
        <v>717</v>
      </c>
      <c r="F96" s="576">
        <v>4112326.89</v>
      </c>
      <c r="G96" s="588">
        <v>46205.919999999925</v>
      </c>
      <c r="H96" s="576">
        <v>0</v>
      </c>
      <c r="I96" s="589">
        <v>0</v>
      </c>
    </row>
    <row r="97" spans="1:9" ht="15.75" customHeight="1" x14ac:dyDescent="0.2">
      <c r="A97" s="577"/>
      <c r="B97" s="577"/>
      <c r="C97" s="576"/>
      <c r="D97" s="607">
        <v>45586</v>
      </c>
      <c r="E97" s="576" t="s">
        <v>716</v>
      </c>
      <c r="F97" s="576">
        <v>4158532.81</v>
      </c>
      <c r="G97" s="588">
        <v>46205.919999999925</v>
      </c>
      <c r="H97" s="576">
        <v>0</v>
      </c>
      <c r="I97" s="589">
        <v>0</v>
      </c>
    </row>
    <row r="98" spans="1:9" ht="15.75" customHeight="1" x14ac:dyDescent="0.2">
      <c r="A98" s="577"/>
      <c r="B98" s="577"/>
      <c r="C98" s="576"/>
      <c r="D98" s="607">
        <v>45587</v>
      </c>
      <c r="E98" s="576" t="s">
        <v>715</v>
      </c>
      <c r="F98" s="576">
        <v>4204738.7300000004</v>
      </c>
      <c r="G98" s="588">
        <v>46205.920000000391</v>
      </c>
      <c r="H98" s="576">
        <v>0</v>
      </c>
      <c r="I98" s="589">
        <v>0</v>
      </c>
    </row>
    <row r="99" spans="1:9" ht="15.75" customHeight="1" x14ac:dyDescent="0.2">
      <c r="A99" s="577"/>
      <c r="B99" s="577"/>
      <c r="C99" s="576"/>
      <c r="D99" s="607">
        <v>45588</v>
      </c>
      <c r="E99" s="576" t="s">
        <v>721</v>
      </c>
      <c r="F99" s="576">
        <v>4250944.6500000004</v>
      </c>
      <c r="G99" s="588">
        <v>46205.919999999925</v>
      </c>
      <c r="H99" s="576">
        <v>323441.44000000041</v>
      </c>
      <c r="I99" s="589">
        <v>646882.88000000035</v>
      </c>
    </row>
    <row r="100" spans="1:9" ht="15.75" customHeight="1" x14ac:dyDescent="0.2">
      <c r="A100" s="577"/>
      <c r="B100" s="577"/>
      <c r="C100" s="576"/>
      <c r="D100" s="607">
        <v>45589</v>
      </c>
      <c r="E100" s="576" t="s">
        <v>720</v>
      </c>
      <c r="F100" s="576">
        <v>4297150.57</v>
      </c>
      <c r="G100" s="588">
        <v>46205.919999999925</v>
      </c>
      <c r="H100" s="576">
        <v>0</v>
      </c>
      <c r="I100" s="589">
        <v>0</v>
      </c>
    </row>
    <row r="101" spans="1:9" ht="15.75" customHeight="1" x14ac:dyDescent="0.2">
      <c r="A101" s="577"/>
      <c r="B101" s="577"/>
      <c r="C101" s="576"/>
      <c r="D101" s="607">
        <v>45590</v>
      </c>
      <c r="E101" s="576" t="s">
        <v>719</v>
      </c>
      <c r="F101" s="576">
        <v>4343356.49</v>
      </c>
      <c r="G101" s="588">
        <v>46205.919999999925</v>
      </c>
      <c r="H101" s="576">
        <v>0</v>
      </c>
      <c r="I101" s="589">
        <v>0</v>
      </c>
    </row>
    <row r="102" spans="1:9" ht="15.75" customHeight="1" x14ac:dyDescent="0.2">
      <c r="A102" s="577"/>
      <c r="B102" s="577"/>
      <c r="C102" s="576"/>
      <c r="D102" s="607">
        <v>45591</v>
      </c>
      <c r="E102" s="576" t="s">
        <v>718</v>
      </c>
      <c r="F102" s="576">
        <v>4389562.41</v>
      </c>
      <c r="G102" s="588">
        <v>46205.919999999925</v>
      </c>
      <c r="H102" s="576">
        <v>0</v>
      </c>
      <c r="I102" s="589">
        <v>0</v>
      </c>
    </row>
    <row r="103" spans="1:9" ht="15.75" customHeight="1" x14ac:dyDescent="0.2">
      <c r="A103" s="577"/>
      <c r="B103" s="577"/>
      <c r="C103" s="576"/>
      <c r="D103" s="607">
        <v>45592</v>
      </c>
      <c r="E103" s="576" t="s">
        <v>717</v>
      </c>
      <c r="F103" s="576">
        <v>4435768.33</v>
      </c>
      <c r="G103" s="588">
        <v>46205.919999999925</v>
      </c>
      <c r="H103" s="576">
        <v>0</v>
      </c>
      <c r="I103" s="589">
        <v>0</v>
      </c>
    </row>
    <row r="104" spans="1:9" ht="15.75" customHeight="1" x14ac:dyDescent="0.2">
      <c r="A104" s="577"/>
      <c r="B104" s="577"/>
      <c r="C104" s="576"/>
      <c r="D104" s="607">
        <v>45593</v>
      </c>
      <c r="E104" s="576" t="s">
        <v>716</v>
      </c>
      <c r="F104" s="576">
        <v>4481974.25</v>
      </c>
      <c r="G104" s="588">
        <v>46205.919999999925</v>
      </c>
      <c r="H104" s="576">
        <v>0</v>
      </c>
      <c r="I104" s="589">
        <v>0</v>
      </c>
    </row>
    <row r="105" spans="1:9" ht="15.75" customHeight="1" x14ac:dyDescent="0.2">
      <c r="A105" s="577"/>
      <c r="B105" s="577"/>
      <c r="C105" s="576"/>
      <c r="D105" s="607">
        <v>45594</v>
      </c>
      <c r="E105" s="576" t="s">
        <v>715</v>
      </c>
      <c r="F105" s="576">
        <v>4528180.17</v>
      </c>
      <c r="G105" s="588">
        <v>46205.919999999925</v>
      </c>
      <c r="H105" s="576">
        <v>0</v>
      </c>
      <c r="I105" s="589">
        <v>0</v>
      </c>
    </row>
    <row r="106" spans="1:9" ht="15.75" customHeight="1" x14ac:dyDescent="0.2">
      <c r="A106" s="577"/>
      <c r="B106" s="577"/>
      <c r="C106" s="576"/>
      <c r="D106" s="607">
        <v>45595</v>
      </c>
      <c r="E106" s="576" t="s">
        <v>721</v>
      </c>
      <c r="F106" s="576">
        <v>4574386.09</v>
      </c>
      <c r="G106" s="588">
        <v>46205.919999999925</v>
      </c>
      <c r="H106" s="576">
        <v>323441.43999999948</v>
      </c>
      <c r="I106" s="589">
        <v>0</v>
      </c>
    </row>
    <row r="107" spans="1:9" ht="15.75" customHeight="1" x14ac:dyDescent="0.2">
      <c r="A107" s="577"/>
      <c r="B107" s="577"/>
      <c r="C107" s="576"/>
      <c r="D107" s="607">
        <v>45596</v>
      </c>
      <c r="E107" s="576" t="s">
        <v>720</v>
      </c>
      <c r="F107" s="576">
        <v>4620592.01</v>
      </c>
      <c r="G107" s="588">
        <v>46205.919999999925</v>
      </c>
      <c r="H107" s="576">
        <v>0</v>
      </c>
      <c r="I107" s="589">
        <v>0</v>
      </c>
    </row>
    <row r="108" spans="1:9" ht="15.75" customHeight="1" x14ac:dyDescent="0.2">
      <c r="A108" s="577"/>
      <c r="B108" s="577"/>
      <c r="C108" s="576"/>
      <c r="D108" s="607">
        <v>45597</v>
      </c>
      <c r="E108" s="576" t="s">
        <v>719</v>
      </c>
      <c r="F108" s="576">
        <v>4666797.93</v>
      </c>
      <c r="G108" s="588">
        <v>46205.919999999925</v>
      </c>
      <c r="H108" s="576">
        <v>0</v>
      </c>
      <c r="I108" s="589">
        <v>0</v>
      </c>
    </row>
    <row r="109" spans="1:9" ht="15.75" customHeight="1" x14ac:dyDescent="0.2">
      <c r="A109" s="577"/>
      <c r="B109" s="577"/>
      <c r="C109" s="576"/>
      <c r="D109" s="607">
        <v>45598</v>
      </c>
      <c r="E109" s="576" t="s">
        <v>718</v>
      </c>
      <c r="F109" s="576">
        <v>4713003.8499999996</v>
      </c>
      <c r="G109" s="588">
        <v>46205.919999999925</v>
      </c>
      <c r="H109" s="576">
        <v>0</v>
      </c>
      <c r="I109" s="589">
        <v>0</v>
      </c>
    </row>
    <row r="110" spans="1:9" ht="15.75" customHeight="1" x14ac:dyDescent="0.2">
      <c r="A110" s="577"/>
      <c r="B110" s="577"/>
      <c r="C110" s="576"/>
      <c r="D110" s="607">
        <v>45599</v>
      </c>
      <c r="E110" s="576" t="s">
        <v>717</v>
      </c>
      <c r="F110" s="576">
        <v>4759209.7699999996</v>
      </c>
      <c r="G110" s="588">
        <v>46205.919999999925</v>
      </c>
      <c r="H110" s="576">
        <v>0</v>
      </c>
      <c r="I110" s="589">
        <v>0</v>
      </c>
    </row>
    <row r="111" spans="1:9" ht="15.75" customHeight="1" x14ac:dyDescent="0.2">
      <c r="A111" s="577"/>
      <c r="B111" s="577"/>
      <c r="C111" s="576"/>
      <c r="D111" s="607">
        <v>45600</v>
      </c>
      <c r="E111" s="576" t="s">
        <v>716</v>
      </c>
      <c r="F111" s="576">
        <v>4805415.6900000004</v>
      </c>
      <c r="G111" s="588">
        <v>46205.920000000857</v>
      </c>
      <c r="H111" s="576">
        <v>0</v>
      </c>
      <c r="I111" s="589">
        <v>0</v>
      </c>
    </row>
    <row r="112" spans="1:9" ht="15.75" customHeight="1" x14ac:dyDescent="0.2">
      <c r="A112" s="577"/>
      <c r="B112" s="577"/>
      <c r="C112" s="576"/>
      <c r="D112" s="607">
        <v>45601</v>
      </c>
      <c r="E112" s="576" t="s">
        <v>715</v>
      </c>
      <c r="F112" s="576">
        <v>4851621.6100000003</v>
      </c>
      <c r="G112" s="588">
        <v>46205.919999999925</v>
      </c>
      <c r="H112" s="576">
        <v>0</v>
      </c>
      <c r="I112" s="589">
        <v>0</v>
      </c>
    </row>
    <row r="113" spans="1:9" ht="15.75" customHeight="1" x14ac:dyDescent="0.2">
      <c r="A113" s="577"/>
      <c r="B113" s="577"/>
      <c r="C113" s="576"/>
      <c r="D113" s="607">
        <v>45602</v>
      </c>
      <c r="E113" s="576" t="s">
        <v>721</v>
      </c>
      <c r="F113" s="576">
        <v>4897827.53</v>
      </c>
      <c r="G113" s="588">
        <v>46205.919999999925</v>
      </c>
      <c r="H113" s="576">
        <v>323441.44000000041</v>
      </c>
      <c r="I113" s="589">
        <v>646882.87999999989</v>
      </c>
    </row>
    <row r="114" spans="1:9" ht="15.75" customHeight="1" x14ac:dyDescent="0.2">
      <c r="A114" s="577"/>
      <c r="B114" s="577"/>
      <c r="C114" s="576"/>
      <c r="D114" s="607">
        <v>45603</v>
      </c>
      <c r="E114" s="576" t="s">
        <v>720</v>
      </c>
      <c r="F114" s="576">
        <v>4944033.45</v>
      </c>
      <c r="G114" s="588">
        <v>46205.919999999925</v>
      </c>
      <c r="H114" s="576">
        <v>0</v>
      </c>
      <c r="I114" s="589">
        <v>0</v>
      </c>
    </row>
    <row r="115" spans="1:9" ht="15.75" customHeight="1" x14ac:dyDescent="0.2">
      <c r="A115" s="577"/>
      <c r="B115" s="577"/>
      <c r="C115" s="576"/>
      <c r="D115" s="607">
        <v>45604</v>
      </c>
      <c r="E115" s="576" t="s">
        <v>719</v>
      </c>
      <c r="F115" s="576">
        <v>4990239.37</v>
      </c>
      <c r="G115" s="588">
        <v>46205.919999999925</v>
      </c>
      <c r="H115" s="576">
        <v>0</v>
      </c>
      <c r="I115" s="589">
        <v>0</v>
      </c>
    </row>
    <row r="116" spans="1:9" ht="15.75" customHeight="1" x14ac:dyDescent="0.2">
      <c r="A116" s="577"/>
      <c r="B116" s="577"/>
      <c r="C116" s="576"/>
      <c r="D116" s="607">
        <v>45605</v>
      </c>
      <c r="E116" s="576" t="s">
        <v>718</v>
      </c>
      <c r="F116" s="576">
        <v>5036445.29</v>
      </c>
      <c r="G116" s="588">
        <v>46205.919999999925</v>
      </c>
      <c r="H116" s="576">
        <v>0</v>
      </c>
      <c r="I116" s="589">
        <v>0</v>
      </c>
    </row>
    <row r="117" spans="1:9" ht="15.75" customHeight="1" x14ac:dyDescent="0.2">
      <c r="A117" s="577"/>
      <c r="B117" s="577"/>
      <c r="C117" s="576"/>
      <c r="D117" s="607">
        <v>45606</v>
      </c>
      <c r="E117" s="576" t="s">
        <v>717</v>
      </c>
      <c r="F117" s="576">
        <v>5082651.21</v>
      </c>
      <c r="G117" s="588">
        <v>46205.919999999925</v>
      </c>
      <c r="H117" s="576">
        <v>0</v>
      </c>
      <c r="I117" s="589">
        <v>0</v>
      </c>
    </row>
    <row r="118" spans="1:9" ht="15.75" customHeight="1" x14ac:dyDescent="0.2">
      <c r="A118" s="577"/>
      <c r="B118" s="577"/>
      <c r="C118" s="576"/>
      <c r="D118" s="607">
        <v>45607</v>
      </c>
      <c r="E118" s="576" t="s">
        <v>716</v>
      </c>
      <c r="F118" s="576">
        <v>5128857.13</v>
      </c>
      <c r="G118" s="588">
        <v>46205.919999999925</v>
      </c>
      <c r="H118" s="576">
        <v>0</v>
      </c>
      <c r="I118" s="589">
        <v>0</v>
      </c>
    </row>
    <row r="119" spans="1:9" ht="15.75" customHeight="1" x14ac:dyDescent="0.2">
      <c r="A119" s="577"/>
      <c r="B119" s="577"/>
      <c r="C119" s="576"/>
      <c r="D119" s="607">
        <v>45608</v>
      </c>
      <c r="E119" s="576" t="s">
        <v>715</v>
      </c>
      <c r="F119" s="576">
        <v>5175063.05</v>
      </c>
      <c r="G119" s="588">
        <v>46205.919999999925</v>
      </c>
      <c r="H119" s="576">
        <v>0</v>
      </c>
      <c r="I119" s="589">
        <v>0</v>
      </c>
    </row>
    <row r="120" spans="1:9" ht="15.75" customHeight="1" x14ac:dyDescent="0.2">
      <c r="A120" s="577"/>
      <c r="B120" s="577"/>
      <c r="C120" s="576"/>
      <c r="D120" s="607">
        <v>45609</v>
      </c>
      <c r="E120" s="576" t="s">
        <v>721</v>
      </c>
      <c r="F120" s="576">
        <v>5221268.97</v>
      </c>
      <c r="G120" s="588">
        <v>46205.919999999925</v>
      </c>
      <c r="H120" s="576">
        <v>323441.43999999948</v>
      </c>
      <c r="I120" s="589">
        <v>0</v>
      </c>
    </row>
    <row r="121" spans="1:9" ht="15.75" customHeight="1" x14ac:dyDescent="0.2">
      <c r="A121" s="577"/>
      <c r="B121" s="577"/>
      <c r="C121" s="576"/>
      <c r="D121" s="607">
        <v>45610</v>
      </c>
      <c r="E121" s="576" t="s">
        <v>720</v>
      </c>
      <c r="F121" s="576">
        <v>5267474.8899999997</v>
      </c>
      <c r="G121" s="588">
        <v>46205.919999999925</v>
      </c>
      <c r="H121" s="576">
        <v>0</v>
      </c>
      <c r="I121" s="589">
        <v>0</v>
      </c>
    </row>
    <row r="122" spans="1:9" ht="15.75" customHeight="1" x14ac:dyDescent="0.2">
      <c r="A122" s="577"/>
      <c r="B122" s="577"/>
      <c r="C122" s="576"/>
      <c r="D122" s="607">
        <v>45611</v>
      </c>
      <c r="E122" s="576" t="s">
        <v>719</v>
      </c>
      <c r="F122" s="576">
        <v>5313680.8099999996</v>
      </c>
      <c r="G122" s="588">
        <v>46205.919999999925</v>
      </c>
      <c r="H122" s="576">
        <v>0</v>
      </c>
      <c r="I122" s="589">
        <v>0</v>
      </c>
    </row>
    <row r="123" spans="1:9" ht="15.75" customHeight="1" x14ac:dyDescent="0.2">
      <c r="A123" s="577"/>
      <c r="B123" s="577"/>
      <c r="C123" s="576"/>
      <c r="D123" s="607">
        <v>45612</v>
      </c>
      <c r="E123" s="576" t="s">
        <v>718</v>
      </c>
      <c r="F123" s="576">
        <v>5359886.7300000004</v>
      </c>
      <c r="G123" s="588">
        <v>46205.920000000857</v>
      </c>
      <c r="H123" s="576">
        <v>0</v>
      </c>
      <c r="I123" s="589">
        <v>0</v>
      </c>
    </row>
    <row r="124" spans="1:9" ht="15.75" customHeight="1" x14ac:dyDescent="0.2">
      <c r="A124" s="577"/>
      <c r="B124" s="577"/>
      <c r="C124" s="576"/>
      <c r="D124" s="607">
        <v>45613</v>
      </c>
      <c r="E124" s="576" t="s">
        <v>717</v>
      </c>
      <c r="F124" s="576">
        <v>5406092.6500000004</v>
      </c>
      <c r="G124" s="588">
        <v>46205.919999999925</v>
      </c>
      <c r="H124" s="576">
        <v>0</v>
      </c>
      <c r="I124" s="589">
        <v>0</v>
      </c>
    </row>
    <row r="125" spans="1:9" ht="15.75" customHeight="1" x14ac:dyDescent="0.2">
      <c r="A125" s="577"/>
      <c r="B125" s="577"/>
      <c r="C125" s="576"/>
      <c r="D125" s="607">
        <v>45614</v>
      </c>
      <c r="E125" s="576" t="s">
        <v>716</v>
      </c>
      <c r="F125" s="576">
        <v>5452298.5700000003</v>
      </c>
      <c r="G125" s="588">
        <v>46205.919999999925</v>
      </c>
      <c r="H125" s="576">
        <v>0</v>
      </c>
      <c r="I125" s="589">
        <v>0</v>
      </c>
    </row>
    <row r="126" spans="1:9" ht="15.75" customHeight="1" x14ac:dyDescent="0.2">
      <c r="A126" s="577"/>
      <c r="B126" s="577"/>
      <c r="C126" s="576"/>
      <c r="D126" s="607">
        <v>45615</v>
      </c>
      <c r="E126" s="576" t="s">
        <v>715</v>
      </c>
      <c r="F126" s="576">
        <v>5498504.4900000002</v>
      </c>
      <c r="G126" s="588">
        <v>46205.919999999925</v>
      </c>
      <c r="H126" s="576">
        <v>0</v>
      </c>
      <c r="I126" s="589">
        <v>0</v>
      </c>
    </row>
    <row r="127" spans="1:9" ht="15.75" customHeight="1" x14ac:dyDescent="0.2">
      <c r="A127" s="577"/>
      <c r="B127" s="577"/>
      <c r="C127" s="576"/>
      <c r="D127" s="607">
        <v>45616</v>
      </c>
      <c r="E127" s="576" t="s">
        <v>721</v>
      </c>
      <c r="F127" s="576">
        <v>5544710.4100000001</v>
      </c>
      <c r="G127" s="588">
        <v>46205.919999999925</v>
      </c>
      <c r="H127" s="576">
        <v>323441.44000000041</v>
      </c>
      <c r="I127" s="589">
        <v>646882.87999999989</v>
      </c>
    </row>
    <row r="128" spans="1:9" ht="15.75" customHeight="1" x14ac:dyDescent="0.2">
      <c r="A128" s="577"/>
      <c r="B128" s="577"/>
      <c r="C128" s="576"/>
      <c r="D128" s="607">
        <v>45617</v>
      </c>
      <c r="E128" s="576" t="s">
        <v>720</v>
      </c>
      <c r="F128" s="576">
        <v>5590916.3300000001</v>
      </c>
      <c r="G128" s="588">
        <v>46205.919999999925</v>
      </c>
      <c r="H128" s="576">
        <v>0</v>
      </c>
      <c r="I128" s="589">
        <v>0</v>
      </c>
    </row>
    <row r="129" spans="1:9" ht="15.75" customHeight="1" x14ac:dyDescent="0.2">
      <c r="A129" s="577"/>
      <c r="B129" s="577"/>
      <c r="C129" s="576"/>
      <c r="D129" s="607">
        <v>45618</v>
      </c>
      <c r="E129" s="576" t="s">
        <v>719</v>
      </c>
      <c r="F129" s="576">
        <v>5637122.25</v>
      </c>
      <c r="G129" s="588">
        <v>46205.919999999925</v>
      </c>
      <c r="H129" s="576">
        <v>0</v>
      </c>
      <c r="I129" s="589">
        <v>0</v>
      </c>
    </row>
    <row r="130" spans="1:9" ht="15.75" customHeight="1" x14ac:dyDescent="0.2">
      <c r="A130" s="577"/>
      <c r="B130" s="577"/>
      <c r="C130" s="576"/>
      <c r="D130" s="607">
        <v>45619</v>
      </c>
      <c r="E130" s="576" t="s">
        <v>718</v>
      </c>
      <c r="F130" s="576">
        <v>5683328.1699999999</v>
      </c>
      <c r="G130" s="588">
        <v>46205.919999999925</v>
      </c>
      <c r="H130" s="576">
        <v>0</v>
      </c>
      <c r="I130" s="589">
        <v>0</v>
      </c>
    </row>
    <row r="131" spans="1:9" ht="15.75" customHeight="1" x14ac:dyDescent="0.2">
      <c r="A131" s="577"/>
      <c r="B131" s="577"/>
      <c r="C131" s="576"/>
      <c r="D131" s="607">
        <v>45620</v>
      </c>
      <c r="E131" s="576" t="s">
        <v>717</v>
      </c>
      <c r="F131" s="576">
        <v>5729534.0899999999</v>
      </c>
      <c r="G131" s="588">
        <v>46205.919999999925</v>
      </c>
      <c r="H131" s="576">
        <v>0</v>
      </c>
      <c r="I131" s="589">
        <v>0</v>
      </c>
    </row>
    <row r="132" spans="1:9" ht="15.75" customHeight="1" x14ac:dyDescent="0.2">
      <c r="A132" s="577"/>
      <c r="B132" s="577"/>
      <c r="C132" s="576"/>
      <c r="D132" s="607">
        <v>45621</v>
      </c>
      <c r="E132" s="576" t="s">
        <v>716</v>
      </c>
      <c r="F132" s="576">
        <v>5775740.0099999998</v>
      </c>
      <c r="G132" s="588">
        <v>46205.919999999925</v>
      </c>
      <c r="H132" s="576">
        <v>0</v>
      </c>
      <c r="I132" s="589">
        <v>0</v>
      </c>
    </row>
    <row r="133" spans="1:9" ht="15.75" customHeight="1" x14ac:dyDescent="0.2">
      <c r="A133" s="577"/>
      <c r="B133" s="577"/>
      <c r="C133" s="576"/>
      <c r="D133" s="607">
        <v>45622</v>
      </c>
      <c r="E133" s="576" t="s">
        <v>715</v>
      </c>
      <c r="F133" s="576">
        <v>5821945.9299999997</v>
      </c>
      <c r="G133" s="588">
        <v>46205.919999999925</v>
      </c>
      <c r="H133" s="576">
        <v>0</v>
      </c>
      <c r="I133" s="589">
        <v>0</v>
      </c>
    </row>
    <row r="134" spans="1:9" ht="15.75" customHeight="1" x14ac:dyDescent="0.2">
      <c r="A134" s="577"/>
      <c r="B134" s="577"/>
      <c r="C134" s="576"/>
      <c r="D134" s="607">
        <v>45623</v>
      </c>
      <c r="E134" s="576" t="s">
        <v>721</v>
      </c>
      <c r="F134" s="576">
        <v>5868151.8499999996</v>
      </c>
      <c r="G134" s="588">
        <v>46205.919999999925</v>
      </c>
      <c r="H134" s="576">
        <v>323441.43999999948</v>
      </c>
      <c r="I134" s="589">
        <v>0</v>
      </c>
    </row>
    <row r="135" spans="1:9" ht="15.75" customHeight="1" x14ac:dyDescent="0.2">
      <c r="A135" s="577"/>
      <c r="B135" s="577"/>
      <c r="C135" s="576"/>
      <c r="D135" s="607">
        <v>45624</v>
      </c>
      <c r="E135" s="576" t="s">
        <v>720</v>
      </c>
      <c r="F135" s="576">
        <v>5914357.7699999996</v>
      </c>
      <c r="G135" s="588">
        <v>46205.919999999925</v>
      </c>
      <c r="H135" s="576">
        <v>0</v>
      </c>
      <c r="I135" s="589">
        <v>0</v>
      </c>
    </row>
    <row r="136" spans="1:9" ht="15.75" customHeight="1" x14ac:dyDescent="0.2">
      <c r="A136" s="577"/>
      <c r="B136" s="577"/>
      <c r="C136" s="576"/>
      <c r="D136" s="607">
        <v>45625</v>
      </c>
      <c r="E136" s="576" t="s">
        <v>719</v>
      </c>
      <c r="F136" s="576">
        <v>5960563.6900000004</v>
      </c>
      <c r="G136" s="588">
        <v>46205.920000000857</v>
      </c>
      <c r="H136" s="576">
        <v>0</v>
      </c>
      <c r="I136" s="589">
        <v>0</v>
      </c>
    </row>
    <row r="137" spans="1:9" ht="15.75" customHeight="1" x14ac:dyDescent="0.2">
      <c r="A137" s="577"/>
      <c r="B137" s="577"/>
      <c r="C137" s="576"/>
      <c r="D137" s="607">
        <v>45626</v>
      </c>
      <c r="E137" s="576" t="s">
        <v>718</v>
      </c>
      <c r="F137" s="576">
        <v>6006769.6100000003</v>
      </c>
      <c r="G137" s="588">
        <v>46205.919999999925</v>
      </c>
      <c r="H137" s="576">
        <v>0</v>
      </c>
      <c r="I137" s="589">
        <v>0</v>
      </c>
    </row>
    <row r="138" spans="1:9" ht="15.75" customHeight="1" x14ac:dyDescent="0.2">
      <c r="A138" s="577"/>
      <c r="B138" s="577"/>
      <c r="C138" s="576"/>
      <c r="D138" s="607">
        <v>45627</v>
      </c>
      <c r="E138" s="576" t="s">
        <v>717</v>
      </c>
      <c r="F138" s="576">
        <v>6052975.5300000003</v>
      </c>
      <c r="G138" s="588">
        <v>46205.919999999925</v>
      </c>
      <c r="H138" s="576">
        <v>0</v>
      </c>
      <c r="I138" s="589">
        <v>0</v>
      </c>
    </row>
    <row r="139" spans="1:9" ht="15.75" customHeight="1" x14ac:dyDescent="0.2">
      <c r="A139" s="577"/>
      <c r="B139" s="577"/>
      <c r="C139" s="576"/>
      <c r="D139" s="607">
        <v>45628</v>
      </c>
      <c r="E139" s="576" t="s">
        <v>716</v>
      </c>
      <c r="F139" s="576">
        <v>6099181.4500000002</v>
      </c>
      <c r="G139" s="588">
        <v>46205.919999999925</v>
      </c>
      <c r="H139" s="576">
        <v>0</v>
      </c>
      <c r="I139" s="589">
        <v>0</v>
      </c>
    </row>
    <row r="140" spans="1:9" ht="15.75" customHeight="1" x14ac:dyDescent="0.2">
      <c r="A140" s="577"/>
      <c r="B140" s="577"/>
      <c r="C140" s="576"/>
      <c r="D140" s="607">
        <v>45629</v>
      </c>
      <c r="E140" s="576" t="s">
        <v>715</v>
      </c>
      <c r="F140" s="576">
        <v>6145387.3700000001</v>
      </c>
      <c r="G140" s="588">
        <v>46205.919999999925</v>
      </c>
      <c r="H140" s="576">
        <v>0</v>
      </c>
      <c r="I140" s="589">
        <v>0</v>
      </c>
    </row>
    <row r="141" spans="1:9" ht="15.75" customHeight="1" x14ac:dyDescent="0.2">
      <c r="A141" s="577"/>
      <c r="B141" s="577"/>
      <c r="C141" s="576"/>
      <c r="D141" s="607">
        <v>45630</v>
      </c>
      <c r="E141" s="576" t="s">
        <v>721</v>
      </c>
      <c r="F141" s="576">
        <v>6191593.29</v>
      </c>
      <c r="G141" s="588">
        <v>46205.919999999925</v>
      </c>
      <c r="H141" s="576">
        <v>323441.44000000041</v>
      </c>
      <c r="I141" s="589">
        <v>646882.87999999989</v>
      </c>
    </row>
    <row r="142" spans="1:9" ht="15.75" customHeight="1" x14ac:dyDescent="0.2">
      <c r="A142" s="577"/>
      <c r="B142" s="577"/>
      <c r="C142" s="576"/>
      <c r="D142" s="607">
        <v>45631</v>
      </c>
      <c r="E142" s="576" t="s">
        <v>720</v>
      </c>
      <c r="F142" s="576">
        <v>6237799.21</v>
      </c>
      <c r="G142" s="588">
        <v>46205.919999999925</v>
      </c>
      <c r="H142" s="576">
        <v>0</v>
      </c>
      <c r="I142" s="589">
        <v>0</v>
      </c>
    </row>
    <row r="143" spans="1:9" ht="15.75" customHeight="1" x14ac:dyDescent="0.2">
      <c r="A143" s="577"/>
      <c r="B143" s="577"/>
      <c r="C143" s="576"/>
      <c r="D143" s="607">
        <v>45632</v>
      </c>
      <c r="E143" s="576" t="s">
        <v>719</v>
      </c>
      <c r="F143" s="576">
        <v>6284005.1299999999</v>
      </c>
      <c r="G143" s="588">
        <v>46205.919999999925</v>
      </c>
      <c r="H143" s="576">
        <v>0</v>
      </c>
      <c r="I143" s="589">
        <v>0</v>
      </c>
    </row>
    <row r="144" spans="1:9" ht="15.75" customHeight="1" x14ac:dyDescent="0.2">
      <c r="A144" s="577"/>
      <c r="B144" s="577"/>
      <c r="C144" s="576"/>
      <c r="D144" s="607">
        <v>45633</v>
      </c>
      <c r="E144" s="576" t="s">
        <v>718</v>
      </c>
      <c r="F144" s="576">
        <v>6330211.0499999998</v>
      </c>
      <c r="G144" s="588">
        <v>46205.919999999925</v>
      </c>
      <c r="H144" s="576">
        <v>0</v>
      </c>
      <c r="I144" s="589">
        <v>0</v>
      </c>
    </row>
    <row r="145" spans="1:9" ht="15.75" customHeight="1" x14ac:dyDescent="0.2">
      <c r="A145" s="577"/>
      <c r="B145" s="577"/>
      <c r="C145" s="576"/>
      <c r="D145" s="607">
        <v>45634</v>
      </c>
      <c r="E145" s="576" t="s">
        <v>717</v>
      </c>
      <c r="F145" s="576">
        <v>6376416.9699999997</v>
      </c>
      <c r="G145" s="588">
        <v>46205.919999999925</v>
      </c>
      <c r="H145" s="576">
        <v>0</v>
      </c>
      <c r="I145" s="589">
        <v>0</v>
      </c>
    </row>
    <row r="146" spans="1:9" ht="15.75" customHeight="1" x14ac:dyDescent="0.2">
      <c r="A146" s="577"/>
      <c r="B146" s="577"/>
      <c r="C146" s="576"/>
      <c r="D146" s="607">
        <v>45635</v>
      </c>
      <c r="E146" s="576" t="s">
        <v>716</v>
      </c>
      <c r="F146" s="576">
        <v>6422622.8899999997</v>
      </c>
      <c r="G146" s="588">
        <v>46205.919999999925</v>
      </c>
      <c r="H146" s="576">
        <v>0</v>
      </c>
      <c r="I146" s="589">
        <v>0</v>
      </c>
    </row>
    <row r="147" spans="1:9" ht="15.75" customHeight="1" x14ac:dyDescent="0.2">
      <c r="A147" s="577"/>
      <c r="B147" s="577"/>
      <c r="C147" s="576"/>
      <c r="D147" s="607">
        <v>45636</v>
      </c>
      <c r="E147" s="576" t="s">
        <v>715</v>
      </c>
      <c r="F147" s="576">
        <v>6468828.8099999996</v>
      </c>
      <c r="G147" s="588">
        <v>46205.919999999925</v>
      </c>
      <c r="H147" s="576">
        <v>0</v>
      </c>
      <c r="I147" s="589">
        <v>0</v>
      </c>
    </row>
    <row r="148" spans="1:9" ht="15.75" customHeight="1" x14ac:dyDescent="0.2">
      <c r="A148" s="577"/>
      <c r="B148" s="577"/>
      <c r="C148" s="576"/>
      <c r="D148" s="607">
        <v>45637</v>
      </c>
      <c r="E148" s="576" t="s">
        <v>721</v>
      </c>
      <c r="F148" s="576">
        <v>6515034.7300000004</v>
      </c>
      <c r="G148" s="588">
        <v>46205.920000000857</v>
      </c>
      <c r="H148" s="576">
        <v>323441.44000000041</v>
      </c>
      <c r="I148" s="589">
        <v>0</v>
      </c>
    </row>
    <row r="149" spans="1:9" ht="15.75" customHeight="1" x14ac:dyDescent="0.2">
      <c r="A149" s="577"/>
      <c r="B149" s="577"/>
      <c r="C149" s="576"/>
      <c r="D149" s="607">
        <v>45638</v>
      </c>
      <c r="E149" s="576" t="s">
        <v>720</v>
      </c>
      <c r="F149" s="576">
        <v>6561240.6500000004</v>
      </c>
      <c r="G149" s="588">
        <v>46205.919999999925</v>
      </c>
      <c r="H149" s="576">
        <v>0</v>
      </c>
      <c r="I149" s="589">
        <v>0</v>
      </c>
    </row>
    <row r="150" spans="1:9" ht="15.75" customHeight="1" x14ac:dyDescent="0.2">
      <c r="A150" s="577"/>
      <c r="B150" s="577"/>
      <c r="C150" s="576"/>
      <c r="D150" s="607">
        <v>45639</v>
      </c>
      <c r="E150" s="576" t="s">
        <v>719</v>
      </c>
      <c r="F150" s="576">
        <v>6607446.5700000003</v>
      </c>
      <c r="G150" s="588">
        <v>46205.919999999925</v>
      </c>
      <c r="H150" s="576">
        <v>0</v>
      </c>
      <c r="I150" s="589">
        <v>0</v>
      </c>
    </row>
    <row r="151" spans="1:9" ht="15.75" customHeight="1" x14ac:dyDescent="0.2">
      <c r="A151" s="577"/>
      <c r="B151" s="577"/>
      <c r="C151" s="576"/>
      <c r="D151" s="607">
        <v>45640</v>
      </c>
      <c r="E151" s="576" t="s">
        <v>718</v>
      </c>
      <c r="F151" s="576">
        <v>6653652.4900000002</v>
      </c>
      <c r="G151" s="588">
        <v>46205.919999999925</v>
      </c>
      <c r="H151" s="576">
        <v>0</v>
      </c>
      <c r="I151" s="589">
        <v>0</v>
      </c>
    </row>
    <row r="152" spans="1:9" ht="15.75" customHeight="1" x14ac:dyDescent="0.2">
      <c r="A152" s="577"/>
      <c r="B152" s="577"/>
      <c r="C152" s="576"/>
      <c r="D152" s="607">
        <v>45641</v>
      </c>
      <c r="E152" s="576" t="s">
        <v>717</v>
      </c>
      <c r="F152" s="576">
        <v>6699858.4100000001</v>
      </c>
      <c r="G152" s="588">
        <v>46205.919999999925</v>
      </c>
      <c r="H152" s="576">
        <v>0</v>
      </c>
      <c r="I152" s="589">
        <v>0</v>
      </c>
    </row>
    <row r="153" spans="1:9" ht="15.75" customHeight="1" x14ac:dyDescent="0.2">
      <c r="A153" s="577"/>
      <c r="B153" s="577"/>
      <c r="C153" s="576"/>
      <c r="D153" s="607">
        <v>45642</v>
      </c>
      <c r="E153" s="576" t="s">
        <v>716</v>
      </c>
      <c r="F153" s="576">
        <v>6746064.3300000001</v>
      </c>
      <c r="G153" s="588">
        <v>46205.919999999925</v>
      </c>
      <c r="H153" s="576">
        <v>0</v>
      </c>
      <c r="I153" s="589">
        <v>0</v>
      </c>
    </row>
    <row r="154" spans="1:9" ht="15.75" customHeight="1" x14ac:dyDescent="0.2">
      <c r="A154" s="577"/>
      <c r="B154" s="577"/>
      <c r="C154" s="576"/>
      <c r="D154" s="607">
        <v>45643</v>
      </c>
      <c r="E154" s="576" t="s">
        <v>715</v>
      </c>
      <c r="F154" s="576">
        <v>6792270.25</v>
      </c>
      <c r="G154" s="588">
        <v>46205.919999999925</v>
      </c>
      <c r="H154" s="576">
        <v>0</v>
      </c>
      <c r="I154" s="589">
        <v>0</v>
      </c>
    </row>
    <row r="155" spans="1:9" ht="15.75" customHeight="1" x14ac:dyDescent="0.2">
      <c r="A155" s="577"/>
      <c r="B155" s="577"/>
      <c r="C155" s="576"/>
      <c r="D155" s="607">
        <v>45644</v>
      </c>
      <c r="E155" s="576" t="s">
        <v>721</v>
      </c>
      <c r="F155" s="576">
        <v>6838476.1699999999</v>
      </c>
      <c r="G155" s="588">
        <v>46205.919999999925</v>
      </c>
      <c r="H155" s="576">
        <v>323441.43999999948</v>
      </c>
      <c r="I155" s="589">
        <v>646882.87999999989</v>
      </c>
    </row>
    <row r="156" spans="1:9" ht="15.75" customHeight="1" x14ac:dyDescent="0.2">
      <c r="A156" s="577"/>
      <c r="B156" s="577"/>
      <c r="C156" s="576"/>
      <c r="D156" s="607">
        <v>45645</v>
      </c>
      <c r="E156" s="576" t="s">
        <v>720</v>
      </c>
      <c r="F156" s="576">
        <v>6884682.0899999999</v>
      </c>
      <c r="G156" s="588">
        <v>46205.919999999925</v>
      </c>
      <c r="H156" s="576">
        <v>0</v>
      </c>
      <c r="I156" s="589">
        <v>0</v>
      </c>
    </row>
    <row r="157" spans="1:9" ht="15.75" customHeight="1" x14ac:dyDescent="0.2">
      <c r="A157" s="577"/>
      <c r="B157" s="577"/>
      <c r="C157" s="576"/>
      <c r="D157" s="607">
        <v>45646</v>
      </c>
      <c r="E157" s="576" t="s">
        <v>719</v>
      </c>
      <c r="F157" s="576">
        <v>6930888.0199999996</v>
      </c>
      <c r="G157" s="588">
        <v>46205.929999999702</v>
      </c>
      <c r="H157" s="576">
        <v>0</v>
      </c>
      <c r="I157" s="589">
        <v>0</v>
      </c>
    </row>
    <row r="158" spans="1:9" ht="15.75" customHeight="1" x14ac:dyDescent="0.2">
      <c r="A158" s="577"/>
      <c r="B158" s="577"/>
      <c r="C158" s="576"/>
      <c r="D158" s="607">
        <v>45647</v>
      </c>
      <c r="E158" s="576" t="s">
        <v>718</v>
      </c>
      <c r="F158" s="576">
        <v>6977093.9400000004</v>
      </c>
      <c r="G158" s="588">
        <v>46205.920000000857</v>
      </c>
      <c r="H158" s="576">
        <v>0</v>
      </c>
      <c r="I158" s="589">
        <v>0</v>
      </c>
    </row>
    <row r="159" spans="1:9" ht="15.75" customHeight="1" x14ac:dyDescent="0.2">
      <c r="A159" s="577"/>
      <c r="B159" s="577"/>
      <c r="C159" s="576"/>
      <c r="D159" s="607">
        <v>45648</v>
      </c>
      <c r="E159" s="576" t="s">
        <v>717</v>
      </c>
      <c r="F159" s="576">
        <v>7023299.8600000003</v>
      </c>
      <c r="G159" s="588">
        <v>46205.919999999925</v>
      </c>
      <c r="H159" s="576">
        <v>0</v>
      </c>
      <c r="I159" s="589">
        <v>0</v>
      </c>
    </row>
    <row r="160" spans="1:9" ht="15.75" customHeight="1" x14ac:dyDescent="0.2">
      <c r="A160" s="577"/>
      <c r="B160" s="577"/>
      <c r="C160" s="576"/>
      <c r="D160" s="607">
        <v>45649</v>
      </c>
      <c r="E160" s="576" t="s">
        <v>716</v>
      </c>
      <c r="F160" s="576">
        <v>7069505.7800000003</v>
      </c>
      <c r="G160" s="588">
        <v>46205.919999999925</v>
      </c>
      <c r="H160" s="576">
        <v>0</v>
      </c>
      <c r="I160" s="589">
        <v>0</v>
      </c>
    </row>
    <row r="161" spans="1:9" ht="15.75" customHeight="1" x14ac:dyDescent="0.2">
      <c r="A161" s="577"/>
      <c r="B161" s="577"/>
      <c r="C161" s="576"/>
      <c r="D161" s="607">
        <v>45650</v>
      </c>
      <c r="E161" s="576" t="s">
        <v>715</v>
      </c>
      <c r="F161" s="576">
        <v>7115711.7000000002</v>
      </c>
      <c r="G161" s="588">
        <v>46205.919999999925</v>
      </c>
      <c r="H161" s="576">
        <v>0</v>
      </c>
      <c r="I161" s="589">
        <v>0</v>
      </c>
    </row>
    <row r="162" spans="1:9" ht="15.75" customHeight="1" x14ac:dyDescent="0.2">
      <c r="A162" s="577"/>
      <c r="B162" s="577"/>
      <c r="C162" s="576"/>
      <c r="D162" s="607">
        <v>45651</v>
      </c>
      <c r="E162" s="576" t="s">
        <v>721</v>
      </c>
      <c r="F162" s="576">
        <v>7161917.6200000001</v>
      </c>
      <c r="G162" s="588">
        <v>46205.919999999925</v>
      </c>
      <c r="H162" s="576">
        <v>323441.45000000019</v>
      </c>
      <c r="I162" s="589">
        <v>0</v>
      </c>
    </row>
    <row r="163" spans="1:9" ht="15.75" customHeight="1" x14ac:dyDescent="0.2">
      <c r="A163" s="577"/>
      <c r="B163" s="577"/>
      <c r="C163" s="576"/>
      <c r="D163" s="607">
        <v>45652</v>
      </c>
      <c r="E163" s="576" t="s">
        <v>720</v>
      </c>
      <c r="F163" s="576">
        <v>7208123.54</v>
      </c>
      <c r="G163" s="588">
        <v>46205.919999999925</v>
      </c>
      <c r="H163" s="576">
        <v>0</v>
      </c>
      <c r="I163" s="589">
        <v>0</v>
      </c>
    </row>
    <row r="164" spans="1:9" ht="15.75" customHeight="1" x14ac:dyDescent="0.2">
      <c r="A164" s="577"/>
      <c r="B164" s="577"/>
      <c r="C164" s="576"/>
      <c r="D164" s="607">
        <v>45653</v>
      </c>
      <c r="E164" s="576" t="s">
        <v>719</v>
      </c>
      <c r="F164" s="576">
        <v>7254329.46</v>
      </c>
      <c r="G164" s="588">
        <v>46205.919999999925</v>
      </c>
      <c r="H164" s="576">
        <v>0</v>
      </c>
      <c r="I164" s="589">
        <v>0</v>
      </c>
    </row>
    <row r="165" spans="1:9" ht="15.75" customHeight="1" x14ac:dyDescent="0.2">
      <c r="A165" s="577"/>
      <c r="B165" s="577"/>
      <c r="C165" s="576"/>
      <c r="D165" s="607">
        <v>45654</v>
      </c>
      <c r="E165" s="576" t="s">
        <v>718</v>
      </c>
      <c r="F165" s="576">
        <v>7300535.3799999999</v>
      </c>
      <c r="G165" s="588">
        <v>46205.919999999925</v>
      </c>
      <c r="H165" s="576">
        <v>0</v>
      </c>
      <c r="I165" s="589">
        <v>0</v>
      </c>
    </row>
    <row r="166" spans="1:9" ht="15.75" customHeight="1" x14ac:dyDescent="0.2">
      <c r="A166" s="577"/>
      <c r="B166" s="577"/>
      <c r="C166" s="576"/>
      <c r="D166" s="607">
        <v>45655</v>
      </c>
      <c r="E166" s="576" t="s">
        <v>717</v>
      </c>
      <c r="F166" s="576">
        <v>7346741.2999999998</v>
      </c>
      <c r="G166" s="588">
        <v>46205.919999999925</v>
      </c>
      <c r="H166" s="576">
        <v>0</v>
      </c>
      <c r="I166" s="589">
        <v>0</v>
      </c>
    </row>
    <row r="167" spans="1:9" ht="15.75" customHeight="1" x14ac:dyDescent="0.2">
      <c r="A167" s="577"/>
      <c r="B167" s="577"/>
      <c r="C167" s="576"/>
      <c r="D167" s="607">
        <v>45656</v>
      </c>
      <c r="E167" s="576" t="s">
        <v>716</v>
      </c>
      <c r="F167" s="576">
        <v>7392947.2199999997</v>
      </c>
      <c r="G167" s="588">
        <v>46205.919999999925</v>
      </c>
      <c r="H167" s="576">
        <v>0</v>
      </c>
      <c r="I167" s="589">
        <v>0</v>
      </c>
    </row>
    <row r="168" spans="1:9" ht="15.75" customHeight="1" x14ac:dyDescent="0.2">
      <c r="A168" s="577"/>
      <c r="B168" s="577"/>
      <c r="C168" s="576"/>
      <c r="D168" s="607">
        <v>45657</v>
      </c>
      <c r="E168" s="576" t="s">
        <v>715</v>
      </c>
      <c r="F168" s="576">
        <v>7439153.1399999997</v>
      </c>
      <c r="G168" s="588">
        <v>46205.919999999925</v>
      </c>
      <c r="H168" s="576">
        <v>0</v>
      </c>
      <c r="I168" s="589">
        <v>0</v>
      </c>
    </row>
    <row r="169" spans="1:9" ht="15.75" customHeight="1" x14ac:dyDescent="0.2">
      <c r="A169" s="577"/>
      <c r="B169" s="577"/>
      <c r="C169" s="576"/>
      <c r="D169" s="607">
        <v>45658</v>
      </c>
      <c r="E169" s="576" t="s">
        <v>721</v>
      </c>
      <c r="F169" s="576">
        <v>7485359.0599999996</v>
      </c>
      <c r="G169" s="588">
        <v>46205.919999999925</v>
      </c>
      <c r="H169" s="576">
        <v>323441.43999999948</v>
      </c>
      <c r="I169" s="589">
        <v>646882.88999999966</v>
      </c>
    </row>
    <row r="170" spans="1:9" ht="15.75" customHeight="1" x14ac:dyDescent="0.2">
      <c r="A170" s="577"/>
      <c r="B170" s="577"/>
      <c r="C170" s="576"/>
      <c r="D170" s="607">
        <v>45659</v>
      </c>
      <c r="E170" s="576" t="s">
        <v>720</v>
      </c>
      <c r="F170" s="576">
        <v>7531564.9800000004</v>
      </c>
      <c r="G170" s="588">
        <v>46205.920000000857</v>
      </c>
      <c r="H170" s="576">
        <v>0</v>
      </c>
      <c r="I170" s="589">
        <v>0</v>
      </c>
    </row>
    <row r="171" spans="1:9" ht="15.75" customHeight="1" x14ac:dyDescent="0.2">
      <c r="A171" s="577"/>
      <c r="B171" s="577"/>
      <c r="C171" s="576"/>
      <c r="D171" s="607">
        <v>45660</v>
      </c>
      <c r="E171" s="576" t="s">
        <v>719</v>
      </c>
      <c r="F171" s="576">
        <v>7577770.9000000004</v>
      </c>
      <c r="G171" s="588">
        <v>46205.919999999925</v>
      </c>
      <c r="H171" s="576">
        <v>0</v>
      </c>
      <c r="I171" s="589">
        <v>0</v>
      </c>
    </row>
    <row r="172" spans="1:9" ht="15.75" customHeight="1" x14ac:dyDescent="0.2">
      <c r="A172" s="577"/>
      <c r="B172" s="577"/>
      <c r="C172" s="576"/>
      <c r="D172" s="607">
        <v>45661</v>
      </c>
      <c r="E172" s="576" t="s">
        <v>718</v>
      </c>
      <c r="F172" s="576">
        <v>7623976.8200000003</v>
      </c>
      <c r="G172" s="588">
        <v>46205.919999999925</v>
      </c>
      <c r="H172" s="576">
        <v>0</v>
      </c>
      <c r="I172" s="589">
        <v>0</v>
      </c>
    </row>
    <row r="173" spans="1:9" ht="15.75" customHeight="1" x14ac:dyDescent="0.2">
      <c r="A173" s="577"/>
      <c r="B173" s="577"/>
      <c r="C173" s="576"/>
      <c r="D173" s="607">
        <v>45662</v>
      </c>
      <c r="E173" s="576" t="s">
        <v>717</v>
      </c>
      <c r="F173" s="576">
        <v>7670182.7400000002</v>
      </c>
      <c r="G173" s="588">
        <v>46205.919999999925</v>
      </c>
      <c r="H173" s="576">
        <v>0</v>
      </c>
      <c r="I173" s="589">
        <v>0</v>
      </c>
    </row>
    <row r="174" spans="1:9" ht="15.75" customHeight="1" x14ac:dyDescent="0.2">
      <c r="A174" s="577"/>
      <c r="B174" s="577"/>
      <c r="C174" s="576"/>
      <c r="D174" s="607">
        <v>45663</v>
      </c>
      <c r="E174" s="576" t="s">
        <v>716</v>
      </c>
      <c r="F174" s="576">
        <v>7716388.6600000001</v>
      </c>
      <c r="G174" s="588">
        <v>46205.919999999925</v>
      </c>
      <c r="H174" s="576">
        <v>0</v>
      </c>
      <c r="I174" s="589">
        <v>0</v>
      </c>
    </row>
    <row r="175" spans="1:9" ht="15.75" customHeight="1" x14ac:dyDescent="0.2">
      <c r="A175" s="577"/>
      <c r="B175" s="577"/>
      <c r="C175" s="576"/>
      <c r="D175" s="607">
        <v>45664</v>
      </c>
      <c r="E175" s="576" t="s">
        <v>715</v>
      </c>
      <c r="F175" s="576">
        <v>7762594.5800000001</v>
      </c>
      <c r="G175" s="588">
        <v>46205.919999999925</v>
      </c>
      <c r="H175" s="576">
        <v>0</v>
      </c>
      <c r="I175" s="589">
        <v>0</v>
      </c>
    </row>
    <row r="176" spans="1:9" ht="15.75" customHeight="1" x14ac:dyDescent="0.2">
      <c r="A176" s="577"/>
      <c r="B176" s="577"/>
      <c r="C176" s="576"/>
      <c r="D176" s="607">
        <v>45665</v>
      </c>
      <c r="E176" s="576" t="s">
        <v>721</v>
      </c>
      <c r="F176" s="576">
        <v>7808800.5</v>
      </c>
      <c r="G176" s="588">
        <v>46205.919999999925</v>
      </c>
      <c r="H176" s="576">
        <v>323441.44000000041</v>
      </c>
      <c r="I176" s="589">
        <v>0</v>
      </c>
    </row>
    <row r="177" spans="1:9" ht="15.75" customHeight="1" x14ac:dyDescent="0.2">
      <c r="A177" s="577"/>
      <c r="B177" s="577"/>
      <c r="C177" s="576"/>
      <c r="D177" s="607">
        <v>45666</v>
      </c>
      <c r="E177" s="576" t="s">
        <v>720</v>
      </c>
      <c r="F177" s="576">
        <v>7855006.4199999999</v>
      </c>
      <c r="G177" s="588">
        <v>46205.919999999925</v>
      </c>
      <c r="H177" s="576">
        <v>0</v>
      </c>
      <c r="I177" s="589">
        <v>0</v>
      </c>
    </row>
    <row r="178" spans="1:9" ht="15.75" customHeight="1" x14ac:dyDescent="0.2">
      <c r="A178" s="577"/>
      <c r="B178" s="577"/>
      <c r="C178" s="576"/>
      <c r="D178" s="607">
        <v>45667</v>
      </c>
      <c r="E178" s="576" t="s">
        <v>719</v>
      </c>
      <c r="F178" s="576">
        <v>7901212.3399999999</v>
      </c>
      <c r="G178" s="588">
        <v>46205.919999999925</v>
      </c>
      <c r="H178" s="576">
        <v>0</v>
      </c>
      <c r="I178" s="589">
        <v>0</v>
      </c>
    </row>
    <row r="179" spans="1:9" ht="15.75" customHeight="1" x14ac:dyDescent="0.2">
      <c r="A179" s="577"/>
      <c r="B179" s="577"/>
      <c r="C179" s="576"/>
      <c r="D179" s="607">
        <v>45668</v>
      </c>
      <c r="E179" s="576" t="s">
        <v>718</v>
      </c>
      <c r="F179" s="576">
        <v>7947418.2599999998</v>
      </c>
      <c r="G179" s="588">
        <v>46205.919999999925</v>
      </c>
      <c r="H179" s="576">
        <v>0</v>
      </c>
      <c r="I179" s="589">
        <v>0</v>
      </c>
    </row>
    <row r="180" spans="1:9" ht="15.75" customHeight="1" x14ac:dyDescent="0.2">
      <c r="A180" s="577"/>
      <c r="B180" s="577"/>
      <c r="C180" s="576"/>
      <c r="D180" s="607">
        <v>45669</v>
      </c>
      <c r="E180" s="576" t="s">
        <v>717</v>
      </c>
      <c r="F180" s="576">
        <v>7993624.1799999997</v>
      </c>
      <c r="G180" s="588">
        <v>46205.919999999925</v>
      </c>
      <c r="H180" s="576">
        <v>0</v>
      </c>
      <c r="I180" s="589">
        <v>0</v>
      </c>
    </row>
    <row r="181" spans="1:9" ht="15.75" customHeight="1" x14ac:dyDescent="0.2">
      <c r="A181" s="577"/>
      <c r="B181" s="577"/>
      <c r="C181" s="576"/>
      <c r="D181" s="607">
        <v>45670</v>
      </c>
      <c r="E181" s="576" t="s">
        <v>716</v>
      </c>
      <c r="F181" s="576">
        <v>8039830.0999999996</v>
      </c>
      <c r="G181" s="588">
        <v>46205.919999999925</v>
      </c>
      <c r="H181" s="576">
        <v>0</v>
      </c>
      <c r="I181" s="589">
        <v>0</v>
      </c>
    </row>
    <row r="182" spans="1:9" ht="15.75" customHeight="1" x14ac:dyDescent="0.2">
      <c r="A182" s="577"/>
      <c r="B182" s="577"/>
      <c r="C182" s="576"/>
      <c r="D182" s="607">
        <v>45671</v>
      </c>
      <c r="E182" s="576" t="s">
        <v>715</v>
      </c>
      <c r="F182" s="576">
        <v>8086036.0199999996</v>
      </c>
      <c r="G182" s="588">
        <v>46205.919999999925</v>
      </c>
      <c r="H182" s="576">
        <v>0</v>
      </c>
      <c r="I182" s="589">
        <v>0</v>
      </c>
    </row>
    <row r="183" spans="1:9" ht="15.75" customHeight="1" x14ac:dyDescent="0.2">
      <c r="A183" s="577"/>
      <c r="B183" s="577"/>
      <c r="C183" s="576"/>
      <c r="D183" s="607">
        <v>45672</v>
      </c>
      <c r="E183" s="576" t="s">
        <v>721</v>
      </c>
      <c r="F183" s="576">
        <v>8132241.9400000004</v>
      </c>
      <c r="G183" s="588">
        <v>46205.920000000857</v>
      </c>
      <c r="H183" s="576">
        <v>323441.44000000041</v>
      </c>
      <c r="I183" s="589">
        <v>646882.88000000082</v>
      </c>
    </row>
    <row r="184" spans="1:9" ht="15.75" customHeight="1" x14ac:dyDescent="0.2">
      <c r="A184" s="577"/>
      <c r="B184" s="577"/>
      <c r="C184" s="576"/>
      <c r="D184" s="607">
        <v>45673</v>
      </c>
      <c r="E184" s="576" t="s">
        <v>720</v>
      </c>
      <c r="F184" s="576">
        <v>8178447.8600000003</v>
      </c>
      <c r="G184" s="588">
        <v>46205.919999999925</v>
      </c>
      <c r="H184" s="576">
        <v>0</v>
      </c>
      <c r="I184" s="589">
        <v>0</v>
      </c>
    </row>
    <row r="185" spans="1:9" ht="15.75" customHeight="1" x14ac:dyDescent="0.2">
      <c r="A185" s="577"/>
      <c r="B185" s="577"/>
      <c r="C185" s="576"/>
      <c r="D185" s="607">
        <v>45674</v>
      </c>
      <c r="E185" s="576" t="s">
        <v>719</v>
      </c>
      <c r="F185" s="576">
        <v>8224653.7800000003</v>
      </c>
      <c r="G185" s="588">
        <v>46205.919999999925</v>
      </c>
      <c r="H185" s="576">
        <v>0</v>
      </c>
      <c r="I185" s="589">
        <v>0</v>
      </c>
    </row>
    <row r="186" spans="1:9" ht="15.75" customHeight="1" x14ac:dyDescent="0.2">
      <c r="A186" s="577"/>
      <c r="B186" s="577"/>
      <c r="C186" s="576"/>
      <c r="D186" s="607">
        <v>45675</v>
      </c>
      <c r="E186" s="576" t="s">
        <v>718</v>
      </c>
      <c r="F186" s="576">
        <v>8270859.7000000002</v>
      </c>
      <c r="G186" s="588">
        <v>46205.919999999925</v>
      </c>
      <c r="H186" s="576">
        <v>0</v>
      </c>
      <c r="I186" s="589">
        <v>0</v>
      </c>
    </row>
    <row r="187" spans="1:9" ht="15.75" customHeight="1" x14ac:dyDescent="0.2">
      <c r="A187" s="577"/>
      <c r="B187" s="577"/>
      <c r="C187" s="576"/>
      <c r="D187" s="607">
        <v>45676</v>
      </c>
      <c r="E187" s="576" t="s">
        <v>717</v>
      </c>
      <c r="F187" s="576">
        <v>8317065.6200000001</v>
      </c>
      <c r="G187" s="588">
        <v>46205.919999999925</v>
      </c>
      <c r="H187" s="576">
        <v>0</v>
      </c>
      <c r="I187" s="589">
        <v>0</v>
      </c>
    </row>
    <row r="188" spans="1:9" ht="15.75" customHeight="1" x14ac:dyDescent="0.2">
      <c r="A188" s="577"/>
      <c r="B188" s="577"/>
      <c r="C188" s="576"/>
      <c r="D188" s="607">
        <v>45677</v>
      </c>
      <c r="E188" s="576" t="s">
        <v>716</v>
      </c>
      <c r="F188" s="576">
        <v>8363271.54</v>
      </c>
      <c r="G188" s="588">
        <v>46205.919999999925</v>
      </c>
      <c r="H188" s="576">
        <v>0</v>
      </c>
      <c r="I188" s="589">
        <v>0</v>
      </c>
    </row>
    <row r="189" spans="1:9" ht="15.75" customHeight="1" x14ac:dyDescent="0.2">
      <c r="A189" s="577"/>
      <c r="B189" s="577"/>
      <c r="C189" s="576"/>
      <c r="D189" s="607">
        <v>45678</v>
      </c>
      <c r="E189" s="576" t="s">
        <v>715</v>
      </c>
      <c r="F189" s="576">
        <v>8409477.4600000009</v>
      </c>
      <c r="G189" s="588">
        <v>46205.920000000857</v>
      </c>
      <c r="H189" s="576">
        <v>0</v>
      </c>
      <c r="I189" s="589">
        <v>0</v>
      </c>
    </row>
    <row r="190" spans="1:9" ht="15.75" customHeight="1" x14ac:dyDescent="0.2">
      <c r="A190" s="577"/>
      <c r="B190" s="577"/>
      <c r="C190" s="576"/>
      <c r="D190" s="607">
        <v>45679</v>
      </c>
      <c r="E190" s="576" t="s">
        <v>721</v>
      </c>
      <c r="F190" s="576">
        <v>8455683.3800000008</v>
      </c>
      <c r="G190" s="588">
        <v>46205.919999999925</v>
      </c>
      <c r="H190" s="576">
        <v>323441.44000000041</v>
      </c>
      <c r="I190" s="589">
        <v>0</v>
      </c>
    </row>
    <row r="191" spans="1:9" ht="15.75" customHeight="1" x14ac:dyDescent="0.2">
      <c r="A191" s="577"/>
      <c r="B191" s="577"/>
      <c r="C191" s="576"/>
      <c r="D191" s="607">
        <v>45680</v>
      </c>
      <c r="E191" s="576" t="s">
        <v>720</v>
      </c>
      <c r="F191" s="576">
        <v>8501889.3000000007</v>
      </c>
      <c r="G191" s="588">
        <v>46205.919999999925</v>
      </c>
      <c r="H191" s="576">
        <v>0</v>
      </c>
      <c r="I191" s="589">
        <v>0</v>
      </c>
    </row>
    <row r="192" spans="1:9" ht="15.75" customHeight="1" x14ac:dyDescent="0.2">
      <c r="A192" s="577"/>
      <c r="B192" s="577"/>
      <c r="C192" s="576"/>
      <c r="D192" s="607">
        <v>45681</v>
      </c>
      <c r="E192" s="576" t="s">
        <v>719</v>
      </c>
      <c r="F192" s="576">
        <v>8548095.2200000007</v>
      </c>
      <c r="G192" s="588">
        <v>46205.919999999925</v>
      </c>
      <c r="H192" s="576">
        <v>0</v>
      </c>
      <c r="I192" s="589">
        <v>0</v>
      </c>
    </row>
    <row r="193" spans="1:9" ht="15.75" customHeight="1" x14ac:dyDescent="0.2">
      <c r="A193" s="577"/>
      <c r="B193" s="577"/>
      <c r="C193" s="576"/>
      <c r="D193" s="607">
        <v>45682</v>
      </c>
      <c r="E193" s="576" t="s">
        <v>718</v>
      </c>
      <c r="F193" s="576">
        <v>8594301.1400000006</v>
      </c>
      <c r="G193" s="588">
        <v>46205.919999999925</v>
      </c>
      <c r="H193" s="576">
        <v>0</v>
      </c>
      <c r="I193" s="589">
        <v>0</v>
      </c>
    </row>
    <row r="194" spans="1:9" ht="15.75" customHeight="1" x14ac:dyDescent="0.2">
      <c r="A194" s="577"/>
      <c r="B194" s="577"/>
      <c r="C194" s="576"/>
      <c r="D194" s="607">
        <v>45683</v>
      </c>
      <c r="E194" s="576" t="s">
        <v>717</v>
      </c>
      <c r="F194" s="576">
        <v>8640507.0600000005</v>
      </c>
      <c r="G194" s="588">
        <v>46205.919999999925</v>
      </c>
      <c r="H194" s="576">
        <v>0</v>
      </c>
      <c r="I194" s="589">
        <v>0</v>
      </c>
    </row>
    <row r="195" spans="1:9" ht="15.75" customHeight="1" x14ac:dyDescent="0.2">
      <c r="A195" s="577"/>
      <c r="B195" s="577"/>
      <c r="C195" s="576"/>
      <c r="D195" s="607">
        <v>45684</v>
      </c>
      <c r="E195" s="576" t="s">
        <v>716</v>
      </c>
      <c r="F195" s="576">
        <v>8686712.9800000004</v>
      </c>
      <c r="G195" s="588">
        <v>46205.919999999925</v>
      </c>
      <c r="H195" s="576">
        <v>0</v>
      </c>
      <c r="I195" s="589">
        <v>0</v>
      </c>
    </row>
    <row r="196" spans="1:9" ht="15.75" customHeight="1" x14ac:dyDescent="0.2">
      <c r="A196" s="577"/>
      <c r="B196" s="577"/>
      <c r="C196" s="576"/>
      <c r="D196" s="607">
        <v>45685</v>
      </c>
      <c r="E196" s="576" t="s">
        <v>715</v>
      </c>
      <c r="F196" s="576">
        <v>8732918.9000000004</v>
      </c>
      <c r="G196" s="588">
        <v>46205.919999999925</v>
      </c>
      <c r="H196" s="576">
        <v>0</v>
      </c>
      <c r="I196" s="589">
        <v>0</v>
      </c>
    </row>
    <row r="197" spans="1:9" ht="15.75" customHeight="1" x14ac:dyDescent="0.2">
      <c r="A197" s="577"/>
      <c r="B197" s="577"/>
      <c r="C197" s="576"/>
      <c r="D197" s="607">
        <v>45686</v>
      </c>
      <c r="E197" s="576" t="s">
        <v>721</v>
      </c>
      <c r="F197" s="576">
        <v>8779124.8200000003</v>
      </c>
      <c r="G197" s="588">
        <v>46205.919999999925</v>
      </c>
      <c r="H197" s="576">
        <v>323441.43999999948</v>
      </c>
      <c r="I197" s="589">
        <v>646882.87999999989</v>
      </c>
    </row>
    <row r="198" spans="1:9" ht="15.75" customHeight="1" x14ac:dyDescent="0.2">
      <c r="A198" s="577"/>
      <c r="B198" s="577"/>
      <c r="C198" s="576"/>
      <c r="D198" s="607">
        <v>45687</v>
      </c>
      <c r="E198" s="576" t="s">
        <v>720</v>
      </c>
      <c r="F198" s="576">
        <v>8825330.7400000002</v>
      </c>
      <c r="G198" s="588">
        <v>46205.919999999925</v>
      </c>
      <c r="H198" s="576">
        <v>0</v>
      </c>
      <c r="I198" s="589">
        <v>0</v>
      </c>
    </row>
    <row r="199" spans="1:9" ht="15.75" customHeight="1" x14ac:dyDescent="0.2">
      <c r="A199" s="577"/>
      <c r="B199" s="577"/>
      <c r="C199" s="576"/>
      <c r="D199" s="607">
        <v>45688</v>
      </c>
      <c r="E199" s="576" t="s">
        <v>719</v>
      </c>
      <c r="F199" s="576">
        <v>8871536.6600000001</v>
      </c>
      <c r="G199" s="588">
        <v>46205.919999999925</v>
      </c>
      <c r="H199" s="576">
        <v>0</v>
      </c>
      <c r="I199" s="589">
        <v>0</v>
      </c>
    </row>
    <row r="200" spans="1:9" ht="15.75" customHeight="1" x14ac:dyDescent="0.2">
      <c r="A200" s="577"/>
      <c r="B200" s="577"/>
      <c r="C200" s="576"/>
      <c r="D200" s="607">
        <v>45689</v>
      </c>
      <c r="E200" s="576" t="s">
        <v>718</v>
      </c>
      <c r="F200" s="576">
        <v>8917742.5800000001</v>
      </c>
      <c r="G200" s="588">
        <v>46205.919999999925</v>
      </c>
      <c r="H200" s="576">
        <v>0</v>
      </c>
      <c r="I200" s="589">
        <v>0</v>
      </c>
    </row>
    <row r="201" spans="1:9" ht="15.75" customHeight="1" x14ac:dyDescent="0.2">
      <c r="A201" s="577"/>
      <c r="B201" s="577"/>
      <c r="C201" s="576"/>
      <c r="D201" s="607">
        <v>45690</v>
      </c>
      <c r="E201" s="576" t="s">
        <v>717</v>
      </c>
      <c r="F201" s="576">
        <v>8963948.5</v>
      </c>
      <c r="G201" s="588">
        <v>46205.919999999925</v>
      </c>
      <c r="H201" s="576">
        <v>0</v>
      </c>
      <c r="I201" s="589">
        <v>0</v>
      </c>
    </row>
    <row r="202" spans="1:9" ht="15.75" customHeight="1" x14ac:dyDescent="0.2">
      <c r="A202" s="577"/>
      <c r="B202" s="577"/>
      <c r="C202" s="576"/>
      <c r="D202" s="607">
        <v>45691</v>
      </c>
      <c r="E202" s="576" t="s">
        <v>716</v>
      </c>
      <c r="F202" s="576">
        <v>9010154.4199999999</v>
      </c>
      <c r="G202" s="588">
        <v>46205.919999999925</v>
      </c>
      <c r="H202" s="576">
        <v>0</v>
      </c>
      <c r="I202" s="589">
        <v>0</v>
      </c>
    </row>
    <row r="203" spans="1:9" ht="15.75" customHeight="1" x14ac:dyDescent="0.2">
      <c r="A203" s="577"/>
      <c r="B203" s="577"/>
      <c r="C203" s="576"/>
      <c r="D203" s="607">
        <v>45692</v>
      </c>
      <c r="E203" s="576" t="s">
        <v>715</v>
      </c>
      <c r="F203" s="576">
        <v>9056360.3399999999</v>
      </c>
      <c r="G203" s="588">
        <v>46205.919999999925</v>
      </c>
      <c r="H203" s="576">
        <v>0</v>
      </c>
      <c r="I203" s="589">
        <v>0</v>
      </c>
    </row>
    <row r="204" spans="1:9" ht="15.75" customHeight="1" x14ac:dyDescent="0.2">
      <c r="A204" s="577"/>
      <c r="B204" s="577"/>
      <c r="C204" s="576"/>
      <c r="D204" s="607">
        <v>45693</v>
      </c>
      <c r="E204" s="576" t="s">
        <v>721</v>
      </c>
      <c r="F204" s="576">
        <v>9102566.2599999998</v>
      </c>
      <c r="G204" s="588">
        <v>46205.919999999925</v>
      </c>
      <c r="H204" s="576">
        <v>323441.43999999948</v>
      </c>
      <c r="I204" s="589">
        <v>0</v>
      </c>
    </row>
    <row r="205" spans="1:9" ht="15.75" customHeight="1" x14ac:dyDescent="0.2">
      <c r="A205" s="577"/>
      <c r="B205" s="577"/>
      <c r="C205" s="576"/>
      <c r="D205" s="607">
        <v>45694</v>
      </c>
      <c r="E205" s="576" t="s">
        <v>720</v>
      </c>
      <c r="F205" s="576">
        <v>9148772.1799999997</v>
      </c>
      <c r="G205" s="588">
        <v>46205.919999999925</v>
      </c>
      <c r="H205" s="576">
        <v>0</v>
      </c>
      <c r="I205" s="589">
        <v>0</v>
      </c>
    </row>
    <row r="206" spans="1:9" ht="15.75" customHeight="1" x14ac:dyDescent="0.2">
      <c r="A206" s="577"/>
      <c r="B206" s="577"/>
      <c r="C206" s="576"/>
      <c r="D206" s="607">
        <v>45695</v>
      </c>
      <c r="E206" s="576" t="s">
        <v>719</v>
      </c>
      <c r="F206" s="576">
        <v>9194978.0999999996</v>
      </c>
      <c r="G206" s="588">
        <v>46205.919999999925</v>
      </c>
      <c r="H206" s="576">
        <v>0</v>
      </c>
      <c r="I206" s="589">
        <v>0</v>
      </c>
    </row>
    <row r="207" spans="1:9" ht="15.75" customHeight="1" x14ac:dyDescent="0.2">
      <c r="A207" s="577"/>
      <c r="B207" s="577"/>
      <c r="C207" s="576"/>
      <c r="D207" s="607">
        <v>45696</v>
      </c>
      <c r="E207" s="576" t="s">
        <v>718</v>
      </c>
      <c r="F207" s="576">
        <v>9241184.0199999996</v>
      </c>
      <c r="G207" s="588">
        <v>46205.919999999925</v>
      </c>
      <c r="H207" s="576">
        <v>0</v>
      </c>
      <c r="I207" s="589">
        <v>0</v>
      </c>
    </row>
    <row r="208" spans="1:9" ht="15.75" customHeight="1" x14ac:dyDescent="0.2">
      <c r="A208" s="577"/>
      <c r="B208" s="577"/>
      <c r="C208" s="576"/>
      <c r="D208" s="607">
        <v>45697</v>
      </c>
      <c r="E208" s="576" t="s">
        <v>717</v>
      </c>
      <c r="F208" s="576">
        <v>9287389.9399999995</v>
      </c>
      <c r="G208" s="588">
        <v>46205.919999999925</v>
      </c>
      <c r="H208" s="576">
        <v>0</v>
      </c>
      <c r="I208" s="589">
        <v>0</v>
      </c>
    </row>
    <row r="209" spans="1:9" ht="15.75" customHeight="1" x14ac:dyDescent="0.2">
      <c r="A209" s="577"/>
      <c r="B209" s="577"/>
      <c r="C209" s="576"/>
      <c r="D209" s="607">
        <v>45698</v>
      </c>
      <c r="E209" s="576" t="s">
        <v>716</v>
      </c>
      <c r="F209" s="576">
        <v>9333595.8599999994</v>
      </c>
      <c r="G209" s="588">
        <v>46205.919999999925</v>
      </c>
      <c r="H209" s="576">
        <v>0</v>
      </c>
      <c r="I209" s="589">
        <v>0</v>
      </c>
    </row>
    <row r="210" spans="1:9" ht="15.75" customHeight="1" x14ac:dyDescent="0.2">
      <c r="A210" s="577"/>
      <c r="B210" s="577"/>
      <c r="C210" s="576"/>
      <c r="D210" s="607">
        <v>45699</v>
      </c>
      <c r="E210" s="576" t="s">
        <v>715</v>
      </c>
      <c r="F210" s="576">
        <v>9379801.7799999993</v>
      </c>
      <c r="G210" s="588">
        <v>46205.919999999925</v>
      </c>
      <c r="H210" s="576">
        <v>0</v>
      </c>
      <c r="I210" s="589">
        <v>0</v>
      </c>
    </row>
    <row r="211" spans="1:9" ht="15.75" customHeight="1" x14ac:dyDescent="0.2">
      <c r="A211" s="577"/>
      <c r="B211" s="577"/>
      <c r="C211" s="576"/>
      <c r="D211" s="607">
        <v>45700</v>
      </c>
      <c r="E211" s="576" t="s">
        <v>721</v>
      </c>
      <c r="F211" s="576">
        <v>9426007.6999999993</v>
      </c>
      <c r="G211" s="588">
        <v>46205.919999999925</v>
      </c>
      <c r="H211" s="576">
        <v>323441.43999999948</v>
      </c>
      <c r="I211" s="589">
        <v>646882.87999999896</v>
      </c>
    </row>
    <row r="212" spans="1:9" ht="15.75" customHeight="1" x14ac:dyDescent="0.2">
      <c r="A212" s="577"/>
      <c r="B212" s="577"/>
      <c r="C212" s="576"/>
      <c r="D212" s="607">
        <v>45701</v>
      </c>
      <c r="E212" s="576" t="s">
        <v>720</v>
      </c>
      <c r="F212" s="576">
        <v>9472213.6199999992</v>
      </c>
      <c r="G212" s="588">
        <v>46205.919999999925</v>
      </c>
      <c r="H212" s="576">
        <v>0</v>
      </c>
      <c r="I212" s="589">
        <v>0</v>
      </c>
    </row>
    <row r="213" spans="1:9" ht="15.75" customHeight="1" x14ac:dyDescent="0.2">
      <c r="A213" s="577"/>
      <c r="B213" s="577"/>
      <c r="C213" s="576"/>
      <c r="D213" s="607">
        <v>45702</v>
      </c>
      <c r="E213" s="576" t="s">
        <v>719</v>
      </c>
      <c r="F213" s="576">
        <v>9518419.5399999991</v>
      </c>
      <c r="G213" s="588">
        <v>46205.919999999925</v>
      </c>
      <c r="H213" s="576">
        <v>0</v>
      </c>
      <c r="I213" s="589">
        <v>0</v>
      </c>
    </row>
    <row r="214" spans="1:9" ht="15.75" customHeight="1" x14ac:dyDescent="0.2">
      <c r="A214" s="577"/>
      <c r="B214" s="577"/>
      <c r="C214" s="576"/>
      <c r="D214" s="607">
        <v>45703</v>
      </c>
      <c r="E214" s="576" t="s">
        <v>718</v>
      </c>
      <c r="F214" s="576">
        <v>9564625.4600000009</v>
      </c>
      <c r="G214" s="588">
        <v>46205.920000001788</v>
      </c>
      <c r="H214" s="576">
        <v>0</v>
      </c>
      <c r="I214" s="589">
        <v>0</v>
      </c>
    </row>
    <row r="215" spans="1:9" ht="15.75" customHeight="1" x14ac:dyDescent="0.2">
      <c r="A215" s="577"/>
      <c r="B215" s="577"/>
      <c r="C215" s="576"/>
      <c r="D215" s="607">
        <v>45704</v>
      </c>
      <c r="E215" s="576" t="s">
        <v>717</v>
      </c>
      <c r="F215" s="576">
        <v>9610831.3800000008</v>
      </c>
      <c r="G215" s="588">
        <v>46205.919999999925</v>
      </c>
      <c r="H215" s="576">
        <v>0</v>
      </c>
      <c r="I215" s="589">
        <v>0</v>
      </c>
    </row>
    <row r="216" spans="1:9" ht="15.75" customHeight="1" x14ac:dyDescent="0.2">
      <c r="A216" s="577"/>
      <c r="B216" s="577"/>
      <c r="C216" s="576"/>
      <c r="D216" s="607">
        <v>45705</v>
      </c>
      <c r="E216" s="576" t="s">
        <v>716</v>
      </c>
      <c r="F216" s="576">
        <v>9657037.3000000007</v>
      </c>
      <c r="G216" s="588">
        <v>46205.919999999925</v>
      </c>
      <c r="H216" s="576">
        <v>0</v>
      </c>
      <c r="I216" s="589">
        <v>0</v>
      </c>
    </row>
    <row r="217" spans="1:9" ht="15.75" customHeight="1" x14ac:dyDescent="0.2">
      <c r="A217" s="577"/>
      <c r="B217" s="577"/>
      <c r="C217" s="576"/>
      <c r="D217" s="607">
        <v>45706</v>
      </c>
      <c r="E217" s="576" t="s">
        <v>715</v>
      </c>
      <c r="F217" s="576">
        <v>9703243.2200000007</v>
      </c>
      <c r="G217" s="588">
        <v>46205.919999999925</v>
      </c>
      <c r="H217" s="576">
        <v>0</v>
      </c>
      <c r="I217" s="589">
        <v>0</v>
      </c>
    </row>
    <row r="218" spans="1:9" ht="15.75" customHeight="1" x14ac:dyDescent="0.2">
      <c r="A218" s="577"/>
      <c r="B218" s="577"/>
      <c r="C218" s="576"/>
      <c r="D218" s="607">
        <v>45707</v>
      </c>
      <c r="E218" s="576" t="s">
        <v>721</v>
      </c>
      <c r="F218" s="576">
        <v>9749449.1400000006</v>
      </c>
      <c r="G218" s="588">
        <v>46205.919999999925</v>
      </c>
      <c r="H218" s="576">
        <v>323441.44000000134</v>
      </c>
      <c r="I218" s="589">
        <v>0</v>
      </c>
    </row>
    <row r="219" spans="1:9" ht="15.75" customHeight="1" x14ac:dyDescent="0.2">
      <c r="A219" s="577"/>
      <c r="B219" s="577"/>
      <c r="C219" s="576"/>
      <c r="D219" s="607">
        <v>45708</v>
      </c>
      <c r="E219" s="576" t="s">
        <v>720</v>
      </c>
      <c r="F219" s="576">
        <v>9795655.0600000005</v>
      </c>
      <c r="G219" s="588">
        <v>46205.919999999925</v>
      </c>
      <c r="H219" s="576">
        <v>0</v>
      </c>
      <c r="I219" s="589">
        <v>0</v>
      </c>
    </row>
    <row r="220" spans="1:9" ht="15.75" customHeight="1" x14ac:dyDescent="0.2">
      <c r="A220" s="577"/>
      <c r="B220" s="577"/>
      <c r="C220" s="576"/>
      <c r="D220" s="607">
        <v>45709</v>
      </c>
      <c r="E220" s="576" t="s">
        <v>719</v>
      </c>
      <c r="F220" s="576">
        <v>9841860.9800000004</v>
      </c>
      <c r="G220" s="588">
        <v>46205.919999999925</v>
      </c>
      <c r="H220" s="576">
        <v>0</v>
      </c>
      <c r="I220" s="589">
        <v>0</v>
      </c>
    </row>
    <row r="221" spans="1:9" ht="15.75" customHeight="1" x14ac:dyDescent="0.2">
      <c r="A221" s="577"/>
      <c r="B221" s="577"/>
      <c r="C221" s="576"/>
      <c r="D221" s="607">
        <v>45710</v>
      </c>
      <c r="E221" s="576" t="s">
        <v>718</v>
      </c>
      <c r="F221" s="576">
        <v>9888066.9000000004</v>
      </c>
      <c r="G221" s="588">
        <v>46205.919999999925</v>
      </c>
      <c r="H221" s="576">
        <v>0</v>
      </c>
      <c r="I221" s="589">
        <v>0</v>
      </c>
    </row>
    <row r="222" spans="1:9" ht="15.75" customHeight="1" x14ac:dyDescent="0.2">
      <c r="A222" s="577"/>
      <c r="B222" s="577"/>
      <c r="C222" s="576"/>
      <c r="D222" s="607">
        <v>45711</v>
      </c>
      <c r="E222" s="576" t="s">
        <v>717</v>
      </c>
      <c r="F222" s="576">
        <v>9934272.8200000003</v>
      </c>
      <c r="G222" s="588">
        <v>46205.919999999925</v>
      </c>
      <c r="H222" s="576">
        <v>0</v>
      </c>
      <c r="I222" s="589">
        <v>0</v>
      </c>
    </row>
    <row r="223" spans="1:9" ht="15.75" customHeight="1" x14ac:dyDescent="0.2">
      <c r="A223" s="577"/>
      <c r="B223" s="577"/>
      <c r="C223" s="576"/>
      <c r="D223" s="607">
        <v>45712</v>
      </c>
      <c r="E223" s="576" t="s">
        <v>716</v>
      </c>
      <c r="F223" s="576">
        <v>9980478.7400000002</v>
      </c>
      <c r="G223" s="588">
        <v>46205.919999999925</v>
      </c>
      <c r="H223" s="576">
        <v>0</v>
      </c>
      <c r="I223" s="589">
        <v>0</v>
      </c>
    </row>
    <row r="224" spans="1:9" ht="15.75" customHeight="1" x14ac:dyDescent="0.2">
      <c r="A224" s="577"/>
      <c r="B224" s="577"/>
      <c r="C224" s="576"/>
      <c r="D224" s="607">
        <v>45713</v>
      </c>
      <c r="E224" s="576" t="s">
        <v>715</v>
      </c>
      <c r="F224" s="576">
        <v>10026684.66</v>
      </c>
      <c r="G224" s="588">
        <v>46205.919999999925</v>
      </c>
      <c r="H224" s="576">
        <v>0</v>
      </c>
      <c r="I224" s="589">
        <v>0</v>
      </c>
    </row>
    <row r="225" spans="1:9" ht="15.75" customHeight="1" x14ac:dyDescent="0.2">
      <c r="A225" s="577"/>
      <c r="B225" s="577"/>
      <c r="C225" s="576"/>
      <c r="D225" s="607">
        <v>45714</v>
      </c>
      <c r="E225" s="576" t="s">
        <v>721</v>
      </c>
      <c r="F225" s="576">
        <v>10072890.58</v>
      </c>
      <c r="G225" s="588">
        <v>46205.919999999925</v>
      </c>
      <c r="H225" s="576">
        <v>323441.43999999948</v>
      </c>
      <c r="I225" s="589">
        <v>646882.88000000082</v>
      </c>
    </row>
    <row r="226" spans="1:9" ht="15.75" customHeight="1" x14ac:dyDescent="0.2">
      <c r="A226" s="577"/>
      <c r="B226" s="577"/>
      <c r="C226" s="576"/>
      <c r="D226" s="607">
        <v>45715</v>
      </c>
      <c r="E226" s="576" t="s">
        <v>720</v>
      </c>
      <c r="F226" s="576">
        <v>10119096.5</v>
      </c>
      <c r="G226" s="588">
        <v>46205.919999999925</v>
      </c>
      <c r="H226" s="576">
        <v>0</v>
      </c>
      <c r="I226" s="589">
        <v>0</v>
      </c>
    </row>
    <row r="227" spans="1:9" ht="15.75" customHeight="1" x14ac:dyDescent="0.2">
      <c r="A227" s="577"/>
      <c r="B227" s="577"/>
      <c r="C227" s="576"/>
      <c r="D227" s="607">
        <v>45716</v>
      </c>
      <c r="E227" s="576" t="s">
        <v>719</v>
      </c>
      <c r="F227" s="576">
        <v>10165302.42</v>
      </c>
      <c r="G227" s="588">
        <v>46205.919999999925</v>
      </c>
      <c r="H227" s="576">
        <v>0</v>
      </c>
      <c r="I227" s="589">
        <v>0</v>
      </c>
    </row>
    <row r="228" spans="1:9" ht="15.75" customHeight="1" x14ac:dyDescent="0.2">
      <c r="A228" s="577"/>
      <c r="B228" s="577"/>
      <c r="C228" s="576"/>
      <c r="D228" s="607">
        <v>45717</v>
      </c>
      <c r="E228" s="576" t="s">
        <v>718</v>
      </c>
      <c r="F228" s="576">
        <v>10211508.34</v>
      </c>
      <c r="G228" s="588">
        <v>46205.919999999925</v>
      </c>
      <c r="H228" s="576">
        <v>0</v>
      </c>
      <c r="I228" s="589">
        <v>0</v>
      </c>
    </row>
    <row r="229" spans="1:9" ht="15.75" customHeight="1" x14ac:dyDescent="0.2">
      <c r="A229" s="577"/>
      <c r="B229" s="577"/>
      <c r="C229" s="576"/>
      <c r="D229" s="607">
        <v>45718</v>
      </c>
      <c r="E229" s="576" t="s">
        <v>717</v>
      </c>
      <c r="F229" s="576">
        <v>10257714.26</v>
      </c>
      <c r="G229" s="588">
        <v>46205.919999999925</v>
      </c>
      <c r="H229" s="576">
        <v>0</v>
      </c>
      <c r="I229" s="589">
        <v>0</v>
      </c>
    </row>
    <row r="230" spans="1:9" ht="15.75" customHeight="1" x14ac:dyDescent="0.2">
      <c r="A230" s="577"/>
      <c r="B230" s="577"/>
      <c r="C230" s="576"/>
      <c r="D230" s="607">
        <v>45719</v>
      </c>
      <c r="E230" s="576" t="s">
        <v>716</v>
      </c>
      <c r="F230" s="576">
        <v>10303920.18</v>
      </c>
      <c r="G230" s="588">
        <v>46205.919999999925</v>
      </c>
      <c r="H230" s="576">
        <v>0</v>
      </c>
      <c r="I230" s="589">
        <v>0</v>
      </c>
    </row>
    <row r="231" spans="1:9" ht="15.75" customHeight="1" x14ac:dyDescent="0.2">
      <c r="A231" s="577"/>
      <c r="B231" s="577"/>
      <c r="C231" s="576"/>
      <c r="D231" s="607">
        <v>45720</v>
      </c>
      <c r="E231" s="576" t="s">
        <v>715</v>
      </c>
      <c r="F231" s="576">
        <v>10350126.1</v>
      </c>
      <c r="G231" s="588">
        <v>46205.919999999925</v>
      </c>
      <c r="H231" s="576">
        <v>0</v>
      </c>
      <c r="I231" s="589">
        <v>0</v>
      </c>
    </row>
    <row r="232" spans="1:9" ht="15.75" customHeight="1" x14ac:dyDescent="0.2">
      <c r="A232" s="577"/>
      <c r="B232" s="577"/>
      <c r="C232" s="576"/>
      <c r="D232" s="607">
        <v>45721</v>
      </c>
      <c r="E232" s="576" t="s">
        <v>721</v>
      </c>
      <c r="F232" s="576">
        <v>10396332.029999999</v>
      </c>
      <c r="G232" s="588">
        <v>46205.929999999702</v>
      </c>
      <c r="H232" s="576">
        <v>323441.44999999925</v>
      </c>
      <c r="I232" s="589">
        <v>0</v>
      </c>
    </row>
    <row r="233" spans="1:9" ht="15.75" customHeight="1" x14ac:dyDescent="0.2">
      <c r="A233" s="577"/>
      <c r="B233" s="577"/>
      <c r="C233" s="576"/>
      <c r="D233" s="607">
        <v>45722</v>
      </c>
      <c r="E233" s="576" t="s">
        <v>720</v>
      </c>
      <c r="F233" s="576">
        <v>10442537.949999999</v>
      </c>
      <c r="G233" s="588">
        <v>46205.919999999925</v>
      </c>
      <c r="H233" s="576">
        <v>0</v>
      </c>
      <c r="I233" s="589">
        <v>0</v>
      </c>
    </row>
    <row r="234" spans="1:9" ht="15.75" customHeight="1" x14ac:dyDescent="0.2">
      <c r="A234" s="577"/>
      <c r="B234" s="577"/>
      <c r="C234" s="576"/>
      <c r="D234" s="607">
        <v>45723</v>
      </c>
      <c r="E234" s="576" t="s">
        <v>719</v>
      </c>
      <c r="F234" s="576">
        <v>10488743.869999999</v>
      </c>
      <c r="G234" s="588">
        <v>46205.919999999925</v>
      </c>
      <c r="H234" s="576">
        <v>0</v>
      </c>
      <c r="I234" s="589">
        <v>0</v>
      </c>
    </row>
    <row r="235" spans="1:9" ht="15.75" customHeight="1" x14ac:dyDescent="0.2">
      <c r="A235" s="577"/>
      <c r="B235" s="577"/>
      <c r="C235" s="576"/>
      <c r="D235" s="607">
        <v>45724</v>
      </c>
      <c r="E235" s="576" t="s">
        <v>718</v>
      </c>
      <c r="F235" s="576">
        <v>10534949.789999999</v>
      </c>
      <c r="G235" s="588">
        <v>46205.919999999925</v>
      </c>
      <c r="H235" s="576">
        <v>0</v>
      </c>
      <c r="I235" s="589">
        <v>0</v>
      </c>
    </row>
    <row r="236" spans="1:9" ht="15.75" customHeight="1" x14ac:dyDescent="0.2">
      <c r="A236" s="577"/>
      <c r="B236" s="577"/>
      <c r="C236" s="576"/>
      <c r="D236" s="607">
        <v>45725</v>
      </c>
      <c r="E236" s="576" t="s">
        <v>717</v>
      </c>
      <c r="F236" s="576">
        <v>10581155.710000001</v>
      </c>
      <c r="G236" s="588">
        <v>46205.920000001788</v>
      </c>
      <c r="H236" s="576">
        <v>0</v>
      </c>
      <c r="I236" s="589">
        <v>0</v>
      </c>
    </row>
    <row r="237" spans="1:9" ht="15.75" customHeight="1" x14ac:dyDescent="0.2">
      <c r="A237" s="577"/>
      <c r="B237" s="577"/>
      <c r="C237" s="576"/>
      <c r="D237" s="607">
        <v>45726</v>
      </c>
      <c r="E237" s="576" t="s">
        <v>716</v>
      </c>
      <c r="F237" s="576">
        <v>10627361.630000001</v>
      </c>
      <c r="G237" s="588">
        <v>46205.919999999925</v>
      </c>
      <c r="H237" s="576">
        <v>0</v>
      </c>
      <c r="I237" s="589">
        <v>0</v>
      </c>
    </row>
    <row r="238" spans="1:9" ht="15.75" customHeight="1" x14ac:dyDescent="0.2">
      <c r="A238" s="577"/>
      <c r="B238" s="577"/>
      <c r="C238" s="576"/>
      <c r="D238" s="607">
        <v>45727</v>
      </c>
      <c r="E238" s="576" t="s">
        <v>715</v>
      </c>
      <c r="F238" s="576">
        <v>10673567.550000001</v>
      </c>
      <c r="G238" s="588">
        <v>46205.919999999925</v>
      </c>
      <c r="H238" s="576">
        <v>0</v>
      </c>
      <c r="I238" s="589">
        <v>0</v>
      </c>
    </row>
    <row r="239" spans="1:9" ht="15.75" customHeight="1" x14ac:dyDescent="0.2">
      <c r="A239" s="577"/>
      <c r="B239" s="577"/>
      <c r="C239" s="576"/>
      <c r="D239" s="607">
        <v>45728</v>
      </c>
      <c r="E239" s="576" t="s">
        <v>721</v>
      </c>
      <c r="F239" s="576">
        <v>10719773.470000001</v>
      </c>
      <c r="G239" s="588">
        <v>46205.919999999925</v>
      </c>
      <c r="H239" s="576">
        <v>323441.44000000134</v>
      </c>
      <c r="I239" s="589">
        <v>646882.8900000006</v>
      </c>
    </row>
    <row r="240" spans="1:9" ht="15.75" customHeight="1" x14ac:dyDescent="0.2">
      <c r="A240" s="577"/>
      <c r="B240" s="577"/>
      <c r="C240" s="576"/>
      <c r="D240" s="607">
        <v>45729</v>
      </c>
      <c r="E240" s="576" t="s">
        <v>720</v>
      </c>
      <c r="F240" s="576">
        <v>10765979.390000001</v>
      </c>
      <c r="G240" s="588">
        <v>46205.919999999925</v>
      </c>
      <c r="H240" s="576">
        <v>0</v>
      </c>
      <c r="I240" s="589">
        <v>0</v>
      </c>
    </row>
    <row r="241" spans="1:9" ht="15.75" customHeight="1" x14ac:dyDescent="0.2">
      <c r="A241" s="577"/>
      <c r="B241" s="577"/>
      <c r="C241" s="576"/>
      <c r="D241" s="607">
        <v>45730</v>
      </c>
      <c r="E241" s="576" t="s">
        <v>719</v>
      </c>
      <c r="F241" s="576">
        <v>10812185.310000001</v>
      </c>
      <c r="G241" s="588">
        <v>46205.919999999925</v>
      </c>
      <c r="H241" s="576">
        <v>0</v>
      </c>
      <c r="I241" s="589">
        <v>0</v>
      </c>
    </row>
    <row r="242" spans="1:9" ht="15.75" customHeight="1" x14ac:dyDescent="0.2">
      <c r="A242" s="577"/>
      <c r="B242" s="577"/>
      <c r="C242" s="576"/>
      <c r="D242" s="607">
        <v>45731</v>
      </c>
      <c r="E242" s="576" t="s">
        <v>718</v>
      </c>
      <c r="F242" s="576">
        <v>10858391.23</v>
      </c>
      <c r="G242" s="588">
        <v>46205.919999999925</v>
      </c>
      <c r="H242" s="576">
        <v>0</v>
      </c>
      <c r="I242" s="589">
        <v>0</v>
      </c>
    </row>
    <row r="243" spans="1:9" ht="15.75" customHeight="1" x14ac:dyDescent="0.2">
      <c r="A243" s="577"/>
      <c r="B243" s="577"/>
      <c r="C243" s="576"/>
      <c r="D243" s="607">
        <v>45732</v>
      </c>
      <c r="E243" s="576" t="s">
        <v>717</v>
      </c>
      <c r="F243" s="576">
        <v>10904597.15</v>
      </c>
      <c r="G243" s="588">
        <v>46205.919999999925</v>
      </c>
      <c r="H243" s="576">
        <v>0</v>
      </c>
      <c r="I243" s="589">
        <v>0</v>
      </c>
    </row>
    <row r="244" spans="1:9" ht="15.75" customHeight="1" x14ac:dyDescent="0.2">
      <c r="A244" s="577"/>
      <c r="B244" s="577"/>
      <c r="C244" s="576"/>
      <c r="D244" s="607">
        <v>45733</v>
      </c>
      <c r="E244" s="576" t="s">
        <v>716</v>
      </c>
      <c r="F244" s="576">
        <v>10950803.07</v>
      </c>
      <c r="G244" s="588">
        <v>46205.919999999925</v>
      </c>
      <c r="H244" s="576">
        <v>0</v>
      </c>
      <c r="I244" s="589">
        <v>0</v>
      </c>
    </row>
    <row r="245" spans="1:9" ht="15.75" customHeight="1" x14ac:dyDescent="0.2">
      <c r="A245" s="577"/>
      <c r="B245" s="577"/>
      <c r="C245" s="576"/>
      <c r="D245" s="607">
        <v>45734</v>
      </c>
      <c r="E245" s="576" t="s">
        <v>715</v>
      </c>
      <c r="F245" s="576">
        <v>10997008.99</v>
      </c>
      <c r="G245" s="588">
        <v>46205.919999999925</v>
      </c>
      <c r="H245" s="576">
        <v>0</v>
      </c>
      <c r="I245" s="589">
        <v>0</v>
      </c>
    </row>
    <row r="246" spans="1:9" ht="15.75" customHeight="1" x14ac:dyDescent="0.2">
      <c r="A246" s="577"/>
      <c r="B246" s="577"/>
      <c r="C246" s="576"/>
      <c r="D246" s="607">
        <v>45735</v>
      </c>
      <c r="E246" s="576" t="s">
        <v>721</v>
      </c>
      <c r="F246" s="576">
        <v>11043214.91</v>
      </c>
      <c r="G246" s="588">
        <v>46205.919999999925</v>
      </c>
      <c r="H246" s="576">
        <v>323441.43999999948</v>
      </c>
      <c r="I246" s="589">
        <v>0</v>
      </c>
    </row>
    <row r="247" spans="1:9" ht="15.75" customHeight="1" x14ac:dyDescent="0.2">
      <c r="A247" s="577"/>
      <c r="B247" s="577"/>
      <c r="C247" s="576"/>
      <c r="D247" s="607">
        <v>45736</v>
      </c>
      <c r="E247" s="576" t="s">
        <v>720</v>
      </c>
      <c r="F247" s="576">
        <v>11089420.83</v>
      </c>
      <c r="G247" s="588">
        <v>46205.919999999925</v>
      </c>
      <c r="H247" s="576">
        <v>0</v>
      </c>
      <c r="I247" s="589">
        <v>0</v>
      </c>
    </row>
    <row r="248" spans="1:9" ht="15.75" customHeight="1" x14ac:dyDescent="0.2">
      <c r="A248" s="577"/>
      <c r="B248" s="577"/>
      <c r="C248" s="576"/>
      <c r="D248" s="607">
        <v>45737</v>
      </c>
      <c r="E248" s="576" t="s">
        <v>719</v>
      </c>
      <c r="F248" s="576">
        <v>11135626.75</v>
      </c>
      <c r="G248" s="588">
        <v>46205.919999999925</v>
      </c>
      <c r="H248" s="576">
        <v>0</v>
      </c>
      <c r="I248" s="589">
        <v>0</v>
      </c>
    </row>
    <row r="249" spans="1:9" ht="15.75" customHeight="1" x14ac:dyDescent="0.2">
      <c r="A249" s="577"/>
      <c r="B249" s="577"/>
      <c r="C249" s="576"/>
      <c r="D249" s="607">
        <v>45738</v>
      </c>
      <c r="E249" s="576" t="s">
        <v>718</v>
      </c>
      <c r="F249" s="576">
        <v>11181832.67</v>
      </c>
      <c r="G249" s="588">
        <v>46205.919999999925</v>
      </c>
      <c r="H249" s="576">
        <v>0</v>
      </c>
      <c r="I249" s="589">
        <v>0</v>
      </c>
    </row>
    <row r="250" spans="1:9" ht="15.75" customHeight="1" x14ac:dyDescent="0.2">
      <c r="A250" s="577"/>
      <c r="B250" s="577"/>
      <c r="C250" s="576"/>
      <c r="D250" s="607">
        <v>45739</v>
      </c>
      <c r="E250" s="576" t="s">
        <v>717</v>
      </c>
      <c r="F250" s="576">
        <v>11228038.59</v>
      </c>
      <c r="G250" s="588">
        <v>46205.919999999925</v>
      </c>
      <c r="H250" s="576">
        <v>0</v>
      </c>
      <c r="I250" s="589">
        <v>0</v>
      </c>
    </row>
    <row r="251" spans="1:9" ht="15.75" customHeight="1" x14ac:dyDescent="0.2">
      <c r="A251" s="577"/>
      <c r="B251" s="577"/>
      <c r="C251" s="576"/>
      <c r="D251" s="607">
        <v>45740</v>
      </c>
      <c r="E251" s="576" t="s">
        <v>716</v>
      </c>
      <c r="F251" s="576">
        <v>11274244.51</v>
      </c>
      <c r="G251" s="588">
        <v>46205.919999999925</v>
      </c>
      <c r="H251" s="576">
        <v>0</v>
      </c>
      <c r="I251" s="589">
        <v>0</v>
      </c>
    </row>
    <row r="252" spans="1:9" ht="15.75" customHeight="1" x14ac:dyDescent="0.2">
      <c r="A252" s="577"/>
      <c r="B252" s="577"/>
      <c r="C252" s="576"/>
      <c r="D252" s="607">
        <v>45741</v>
      </c>
      <c r="E252" s="576" t="s">
        <v>715</v>
      </c>
      <c r="F252" s="576">
        <v>11320450.43</v>
      </c>
      <c r="G252" s="588">
        <v>46205.919999999925</v>
      </c>
      <c r="H252" s="576">
        <v>0</v>
      </c>
      <c r="I252" s="589">
        <v>0</v>
      </c>
    </row>
    <row r="253" spans="1:9" ht="15.75" customHeight="1" x14ac:dyDescent="0.2">
      <c r="A253" s="577"/>
      <c r="B253" s="577"/>
      <c r="C253" s="576"/>
      <c r="D253" s="607">
        <v>45742</v>
      </c>
      <c r="E253" s="576" t="s">
        <v>721</v>
      </c>
      <c r="F253" s="576">
        <v>11366656.35</v>
      </c>
      <c r="G253" s="588">
        <v>46205.919999999925</v>
      </c>
      <c r="H253" s="576">
        <v>323441.43999999948</v>
      </c>
      <c r="I253" s="589">
        <v>646882.87999999896</v>
      </c>
    </row>
    <row r="254" spans="1:9" ht="15.75" customHeight="1" x14ac:dyDescent="0.2">
      <c r="A254" s="577"/>
      <c r="B254" s="577"/>
      <c r="C254" s="576"/>
      <c r="D254" s="607">
        <v>45743</v>
      </c>
      <c r="E254" s="576" t="s">
        <v>720</v>
      </c>
      <c r="F254" s="576">
        <v>11412862.27</v>
      </c>
      <c r="G254" s="588">
        <v>46205.919999999925</v>
      </c>
      <c r="H254" s="576">
        <v>0</v>
      </c>
      <c r="I254" s="589">
        <v>0</v>
      </c>
    </row>
    <row r="255" spans="1:9" ht="15.75" customHeight="1" x14ac:dyDescent="0.2">
      <c r="A255" s="577"/>
      <c r="B255" s="577"/>
      <c r="C255" s="576"/>
      <c r="D255" s="607">
        <v>45744</v>
      </c>
      <c r="E255" s="576" t="s">
        <v>719</v>
      </c>
      <c r="F255" s="576">
        <v>11459068.189999999</v>
      </c>
      <c r="G255" s="588">
        <v>46205.919999999925</v>
      </c>
      <c r="H255" s="576">
        <v>0</v>
      </c>
      <c r="I255" s="589">
        <v>0</v>
      </c>
    </row>
    <row r="256" spans="1:9" ht="15.75" customHeight="1" x14ac:dyDescent="0.2">
      <c r="A256" s="577"/>
      <c r="B256" s="577"/>
      <c r="C256" s="576"/>
      <c r="D256" s="607">
        <v>45745</v>
      </c>
      <c r="E256" s="576" t="s">
        <v>718</v>
      </c>
      <c r="F256" s="576">
        <v>11505274.109999999</v>
      </c>
      <c r="G256" s="588">
        <v>46205.919999999925</v>
      </c>
      <c r="H256" s="576">
        <v>0</v>
      </c>
      <c r="I256" s="589">
        <v>0</v>
      </c>
    </row>
    <row r="257" spans="1:9" ht="15.75" customHeight="1" x14ac:dyDescent="0.2">
      <c r="A257" s="577"/>
      <c r="B257" s="577"/>
      <c r="C257" s="576"/>
      <c r="D257" s="607">
        <v>45746</v>
      </c>
      <c r="E257" s="576" t="s">
        <v>717</v>
      </c>
      <c r="F257" s="576">
        <v>11551480.029999999</v>
      </c>
      <c r="G257" s="588">
        <v>46205.919999999925</v>
      </c>
      <c r="H257" s="576">
        <v>0</v>
      </c>
      <c r="I257" s="589">
        <v>0</v>
      </c>
    </row>
    <row r="258" spans="1:9" ht="15.75" customHeight="1" x14ac:dyDescent="0.2">
      <c r="A258" s="577"/>
      <c r="B258" s="577"/>
      <c r="C258" s="576"/>
      <c r="D258" s="607">
        <v>45747</v>
      </c>
      <c r="E258" s="576" t="s">
        <v>716</v>
      </c>
      <c r="F258" s="576">
        <v>11597685.949999999</v>
      </c>
      <c r="G258" s="588">
        <v>46205.919999999925</v>
      </c>
      <c r="H258" s="576">
        <v>0</v>
      </c>
      <c r="I258" s="589">
        <v>0</v>
      </c>
    </row>
    <row r="259" spans="1:9" ht="15.75" customHeight="1" x14ac:dyDescent="0.2">
      <c r="A259" s="577"/>
      <c r="B259" s="577"/>
      <c r="C259" s="576"/>
      <c r="D259" s="607">
        <v>45748</v>
      </c>
      <c r="E259" s="576" t="s">
        <v>715</v>
      </c>
      <c r="F259" s="576">
        <v>11643891.869999999</v>
      </c>
      <c r="G259" s="588">
        <v>46205.919999999925</v>
      </c>
      <c r="H259" s="576">
        <v>0</v>
      </c>
      <c r="I259" s="589">
        <v>0</v>
      </c>
    </row>
    <row r="260" spans="1:9" ht="15.75" customHeight="1" x14ac:dyDescent="0.2">
      <c r="A260" s="577"/>
      <c r="B260" s="577"/>
      <c r="C260" s="576"/>
      <c r="D260" s="607">
        <v>45749</v>
      </c>
      <c r="E260" s="576" t="s">
        <v>721</v>
      </c>
      <c r="F260" s="576">
        <v>11690097.789999999</v>
      </c>
      <c r="G260" s="588">
        <v>46205.919999999925</v>
      </c>
      <c r="H260" s="576">
        <v>323441.43999999948</v>
      </c>
      <c r="I260" s="589">
        <v>0</v>
      </c>
    </row>
    <row r="261" spans="1:9" ht="15.75" customHeight="1" x14ac:dyDescent="0.2">
      <c r="A261" s="577"/>
      <c r="B261" s="577"/>
      <c r="C261" s="576"/>
      <c r="D261" s="607">
        <v>45750</v>
      </c>
      <c r="E261" s="576" t="s">
        <v>720</v>
      </c>
      <c r="F261" s="576">
        <v>11736303.710000001</v>
      </c>
      <c r="G261" s="588">
        <v>46205.920000001788</v>
      </c>
      <c r="H261" s="576">
        <v>0</v>
      </c>
      <c r="I261" s="589">
        <v>0</v>
      </c>
    </row>
    <row r="262" spans="1:9" ht="15.75" customHeight="1" x14ac:dyDescent="0.2">
      <c r="A262" s="577"/>
      <c r="B262" s="577"/>
      <c r="C262" s="576"/>
      <c r="D262" s="607">
        <v>45751</v>
      </c>
      <c r="E262" s="576" t="s">
        <v>719</v>
      </c>
      <c r="F262" s="576">
        <v>11782509.630000001</v>
      </c>
      <c r="G262" s="588">
        <v>46205.919999999925</v>
      </c>
      <c r="H262" s="576">
        <v>0</v>
      </c>
      <c r="I262" s="589">
        <v>0</v>
      </c>
    </row>
    <row r="263" spans="1:9" ht="15.75" customHeight="1" x14ac:dyDescent="0.2">
      <c r="A263" s="577"/>
      <c r="B263" s="577"/>
      <c r="C263" s="576"/>
      <c r="D263" s="607">
        <v>45752</v>
      </c>
      <c r="E263" s="576" t="s">
        <v>718</v>
      </c>
      <c r="F263" s="576">
        <v>11828715.550000001</v>
      </c>
      <c r="G263" s="588">
        <v>46205.919999999925</v>
      </c>
      <c r="H263" s="576">
        <v>0</v>
      </c>
      <c r="I263" s="589">
        <v>0</v>
      </c>
    </row>
    <row r="264" spans="1:9" ht="15.75" customHeight="1" x14ac:dyDescent="0.2">
      <c r="A264" s="577"/>
      <c r="B264" s="577"/>
      <c r="C264" s="576"/>
      <c r="D264" s="607">
        <v>45753</v>
      </c>
      <c r="E264" s="576" t="s">
        <v>717</v>
      </c>
      <c r="F264" s="576">
        <v>11874921.470000001</v>
      </c>
      <c r="G264" s="588">
        <v>46205.919999999925</v>
      </c>
      <c r="H264" s="576">
        <v>0</v>
      </c>
      <c r="I264" s="589">
        <v>0</v>
      </c>
    </row>
    <row r="265" spans="1:9" ht="15.75" customHeight="1" x14ac:dyDescent="0.2">
      <c r="A265" s="577"/>
      <c r="B265" s="577"/>
      <c r="C265" s="576"/>
      <c r="D265" s="607">
        <v>45754</v>
      </c>
      <c r="E265" s="576" t="s">
        <v>716</v>
      </c>
      <c r="F265" s="576">
        <v>11921127.390000001</v>
      </c>
      <c r="G265" s="588">
        <v>46205.919999999925</v>
      </c>
      <c r="H265" s="576">
        <v>0</v>
      </c>
      <c r="I265" s="589">
        <v>0</v>
      </c>
    </row>
    <row r="266" spans="1:9" ht="15.75" customHeight="1" x14ac:dyDescent="0.2">
      <c r="A266" s="577"/>
      <c r="B266" s="577"/>
      <c r="C266" s="576"/>
      <c r="D266" s="607">
        <v>45755</v>
      </c>
      <c r="E266" s="576" t="s">
        <v>715</v>
      </c>
      <c r="F266" s="576">
        <v>11967333.310000001</v>
      </c>
      <c r="G266" s="588">
        <v>46205.919999999925</v>
      </c>
      <c r="H266" s="576">
        <v>0</v>
      </c>
      <c r="I266" s="589">
        <v>0</v>
      </c>
    </row>
    <row r="267" spans="1:9" ht="15.75" customHeight="1" x14ac:dyDescent="0.2">
      <c r="A267" s="577"/>
      <c r="B267" s="577"/>
      <c r="C267" s="576"/>
      <c r="D267" s="607">
        <v>45756</v>
      </c>
      <c r="E267" s="576" t="s">
        <v>721</v>
      </c>
      <c r="F267" s="576">
        <v>12013539.23</v>
      </c>
      <c r="G267" s="588">
        <v>46205.919999999925</v>
      </c>
      <c r="H267" s="576">
        <v>323441.44000000134</v>
      </c>
      <c r="I267" s="589">
        <v>646882.88000000082</v>
      </c>
    </row>
    <row r="268" spans="1:9" ht="15.75" customHeight="1" x14ac:dyDescent="0.2">
      <c r="A268" s="577"/>
      <c r="B268" s="577"/>
      <c r="C268" s="576"/>
      <c r="D268" s="607">
        <v>45757</v>
      </c>
      <c r="E268" s="576" t="s">
        <v>720</v>
      </c>
      <c r="F268" s="576">
        <v>12059745.15</v>
      </c>
      <c r="G268" s="588">
        <v>46205.919999999925</v>
      </c>
      <c r="H268" s="576">
        <v>0</v>
      </c>
      <c r="I268" s="589">
        <v>0</v>
      </c>
    </row>
    <row r="269" spans="1:9" ht="15.75" customHeight="1" x14ac:dyDescent="0.2">
      <c r="A269" s="577"/>
      <c r="B269" s="577"/>
      <c r="C269" s="576"/>
      <c r="D269" s="607">
        <v>45758</v>
      </c>
      <c r="E269" s="576" t="s">
        <v>719</v>
      </c>
      <c r="F269" s="576">
        <v>12105951.07</v>
      </c>
      <c r="G269" s="588">
        <v>46205.919999999925</v>
      </c>
      <c r="H269" s="576">
        <v>0</v>
      </c>
      <c r="I269" s="589">
        <v>0</v>
      </c>
    </row>
    <row r="270" spans="1:9" ht="15.75" customHeight="1" x14ac:dyDescent="0.2">
      <c r="A270" s="577"/>
      <c r="B270" s="577"/>
      <c r="C270" s="576"/>
      <c r="D270" s="607">
        <v>45759</v>
      </c>
      <c r="E270" s="576" t="s">
        <v>718</v>
      </c>
      <c r="F270" s="576">
        <v>12152156.99</v>
      </c>
      <c r="G270" s="588">
        <v>46205.919999999925</v>
      </c>
      <c r="H270" s="576">
        <v>0</v>
      </c>
      <c r="I270" s="589">
        <v>0</v>
      </c>
    </row>
    <row r="271" spans="1:9" ht="15.75" customHeight="1" x14ac:dyDescent="0.2">
      <c r="A271" s="577"/>
      <c r="B271" s="577"/>
      <c r="C271" s="576"/>
      <c r="D271" s="607">
        <v>45760</v>
      </c>
      <c r="E271" s="576" t="s">
        <v>717</v>
      </c>
      <c r="F271" s="576">
        <v>12198362.91</v>
      </c>
      <c r="G271" s="588">
        <v>46205.919999999925</v>
      </c>
      <c r="H271" s="576">
        <v>0</v>
      </c>
      <c r="I271" s="589">
        <v>0</v>
      </c>
    </row>
    <row r="272" spans="1:9" ht="15.75" customHeight="1" x14ac:dyDescent="0.2">
      <c r="A272" s="577"/>
      <c r="B272" s="577"/>
      <c r="C272" s="576"/>
      <c r="D272" s="607">
        <v>45761</v>
      </c>
      <c r="E272" s="576" t="s">
        <v>716</v>
      </c>
      <c r="F272" s="576">
        <v>12244568.83</v>
      </c>
      <c r="G272" s="588">
        <v>46205.919999999925</v>
      </c>
      <c r="H272" s="576">
        <v>0</v>
      </c>
      <c r="I272" s="589">
        <v>0</v>
      </c>
    </row>
    <row r="273" spans="1:9" ht="15.75" customHeight="1" x14ac:dyDescent="0.2">
      <c r="A273" s="577"/>
      <c r="B273" s="577"/>
      <c r="C273" s="576"/>
      <c r="D273" s="607">
        <v>45762</v>
      </c>
      <c r="E273" s="576" t="s">
        <v>715</v>
      </c>
      <c r="F273" s="576">
        <v>12290774.75</v>
      </c>
      <c r="G273" s="588">
        <v>46205.919999999925</v>
      </c>
      <c r="H273" s="576">
        <v>0</v>
      </c>
      <c r="I273" s="589">
        <v>0</v>
      </c>
    </row>
    <row r="274" spans="1:9" ht="15.75" customHeight="1" x14ac:dyDescent="0.2">
      <c r="A274" s="577"/>
      <c r="B274" s="577"/>
      <c r="C274" s="576"/>
      <c r="D274" s="607">
        <v>45763</v>
      </c>
      <c r="E274" s="576" t="s">
        <v>721</v>
      </c>
      <c r="F274" s="576">
        <v>12336980.67</v>
      </c>
      <c r="G274" s="588">
        <v>46205.919999999925</v>
      </c>
      <c r="H274" s="576">
        <v>323441.43999999948</v>
      </c>
      <c r="I274" s="589">
        <v>0</v>
      </c>
    </row>
    <row r="275" spans="1:9" ht="15.75" customHeight="1" x14ac:dyDescent="0.2">
      <c r="A275" s="577"/>
      <c r="B275" s="577"/>
      <c r="C275" s="576"/>
      <c r="D275" s="607">
        <v>45764</v>
      </c>
      <c r="E275" s="576" t="s">
        <v>720</v>
      </c>
      <c r="F275" s="576">
        <v>12383186.59</v>
      </c>
      <c r="G275" s="588">
        <v>46205.919999999925</v>
      </c>
      <c r="H275" s="576">
        <v>0</v>
      </c>
      <c r="I275" s="589">
        <v>0</v>
      </c>
    </row>
    <row r="276" spans="1:9" ht="15.75" customHeight="1" x14ac:dyDescent="0.2">
      <c r="A276" s="577"/>
      <c r="B276" s="577"/>
      <c r="C276" s="576"/>
      <c r="D276" s="607">
        <v>45765</v>
      </c>
      <c r="E276" s="576" t="s">
        <v>719</v>
      </c>
      <c r="F276" s="576">
        <v>12429392.51</v>
      </c>
      <c r="G276" s="588">
        <v>46205.919999999925</v>
      </c>
      <c r="H276" s="576">
        <v>0</v>
      </c>
      <c r="I276" s="589">
        <v>0</v>
      </c>
    </row>
    <row r="277" spans="1:9" ht="15.75" customHeight="1" x14ac:dyDescent="0.2">
      <c r="A277" s="577"/>
      <c r="B277" s="577"/>
      <c r="C277" s="576"/>
      <c r="D277" s="607">
        <v>45766</v>
      </c>
      <c r="E277" s="576" t="s">
        <v>718</v>
      </c>
      <c r="F277" s="576">
        <v>12475598.43</v>
      </c>
      <c r="G277" s="588">
        <v>46205.919999999925</v>
      </c>
      <c r="H277" s="576">
        <v>0</v>
      </c>
      <c r="I277" s="589">
        <v>0</v>
      </c>
    </row>
    <row r="278" spans="1:9" ht="15.75" customHeight="1" x14ac:dyDescent="0.2">
      <c r="A278" s="577"/>
      <c r="B278" s="577"/>
      <c r="C278" s="576"/>
      <c r="D278" s="607">
        <v>45767</v>
      </c>
      <c r="E278" s="576" t="s">
        <v>717</v>
      </c>
      <c r="F278" s="576">
        <v>12521804.35</v>
      </c>
      <c r="G278" s="588">
        <v>46205.919999999925</v>
      </c>
      <c r="H278" s="576">
        <v>0</v>
      </c>
      <c r="I278" s="589">
        <v>0</v>
      </c>
    </row>
    <row r="279" spans="1:9" ht="15.75" customHeight="1" x14ac:dyDescent="0.2">
      <c r="A279" s="577"/>
      <c r="B279" s="577"/>
      <c r="C279" s="576"/>
      <c r="D279" s="607">
        <v>45768</v>
      </c>
      <c r="E279" s="576" t="s">
        <v>716</v>
      </c>
      <c r="F279" s="576">
        <v>12568010.27</v>
      </c>
      <c r="G279" s="588">
        <v>46205.919999999925</v>
      </c>
      <c r="H279" s="576">
        <v>0</v>
      </c>
      <c r="I279" s="589">
        <v>0</v>
      </c>
    </row>
    <row r="280" spans="1:9" ht="15.75" customHeight="1" x14ac:dyDescent="0.2">
      <c r="A280" s="577"/>
      <c r="B280" s="577"/>
      <c r="C280" s="576"/>
      <c r="D280" s="607">
        <v>45769</v>
      </c>
      <c r="E280" s="576" t="s">
        <v>715</v>
      </c>
      <c r="F280" s="576">
        <v>12614216.189999999</v>
      </c>
      <c r="G280" s="588">
        <v>46205.919999999925</v>
      </c>
      <c r="H280" s="576">
        <v>0</v>
      </c>
      <c r="I280" s="589">
        <v>0</v>
      </c>
    </row>
    <row r="281" spans="1:9" ht="15.75" customHeight="1" x14ac:dyDescent="0.2">
      <c r="A281" s="577"/>
      <c r="B281" s="577"/>
      <c r="C281" s="576"/>
      <c r="D281" s="607">
        <v>45770</v>
      </c>
      <c r="E281" s="576" t="s">
        <v>721</v>
      </c>
      <c r="F281" s="576">
        <v>12660422.109999999</v>
      </c>
      <c r="G281" s="588">
        <v>46205.919999999925</v>
      </c>
      <c r="H281" s="576">
        <v>323441.43999999948</v>
      </c>
      <c r="I281" s="589">
        <v>646882.87999999896</v>
      </c>
    </row>
    <row r="282" spans="1:9" ht="15.75" customHeight="1" x14ac:dyDescent="0.2">
      <c r="A282" s="577"/>
      <c r="B282" s="577"/>
      <c r="C282" s="576"/>
      <c r="D282" s="607">
        <v>45771</v>
      </c>
      <c r="E282" s="576" t="s">
        <v>720</v>
      </c>
      <c r="F282" s="576">
        <v>12706628.029999999</v>
      </c>
      <c r="G282" s="588">
        <v>46205.919999999925</v>
      </c>
      <c r="H282" s="576">
        <v>0</v>
      </c>
      <c r="I282" s="589">
        <v>0</v>
      </c>
    </row>
    <row r="283" spans="1:9" ht="15.75" customHeight="1" x14ac:dyDescent="0.2">
      <c r="A283" s="577"/>
      <c r="B283" s="577"/>
      <c r="C283" s="576"/>
      <c r="D283" s="607">
        <v>45772</v>
      </c>
      <c r="E283" s="576" t="s">
        <v>719</v>
      </c>
      <c r="F283" s="576">
        <v>12752833.949999999</v>
      </c>
      <c r="G283" s="588">
        <v>46205.919999999925</v>
      </c>
      <c r="H283" s="576">
        <v>0</v>
      </c>
      <c r="I283" s="589">
        <v>0</v>
      </c>
    </row>
    <row r="284" spans="1:9" ht="15.75" customHeight="1" x14ac:dyDescent="0.2">
      <c r="A284" s="577"/>
      <c r="B284" s="577"/>
      <c r="C284" s="576"/>
      <c r="D284" s="607">
        <v>45773</v>
      </c>
      <c r="E284" s="576" t="s">
        <v>718</v>
      </c>
      <c r="F284" s="576">
        <v>12799039.869999999</v>
      </c>
      <c r="G284" s="588">
        <v>46205.919999999925</v>
      </c>
      <c r="H284" s="576">
        <v>0</v>
      </c>
      <c r="I284" s="589">
        <v>0</v>
      </c>
    </row>
    <row r="285" spans="1:9" ht="15.75" customHeight="1" x14ac:dyDescent="0.2">
      <c r="A285" s="577"/>
      <c r="B285" s="577"/>
      <c r="C285" s="576"/>
      <c r="D285" s="607">
        <v>45774</v>
      </c>
      <c r="E285" s="576" t="s">
        <v>717</v>
      </c>
      <c r="F285" s="576">
        <v>12845245.789999999</v>
      </c>
      <c r="G285" s="588">
        <v>46205.919999999925</v>
      </c>
      <c r="H285" s="576">
        <v>0</v>
      </c>
      <c r="I285" s="589">
        <v>0</v>
      </c>
    </row>
    <row r="286" spans="1:9" ht="15.75" customHeight="1" x14ac:dyDescent="0.2">
      <c r="A286" s="577"/>
      <c r="B286" s="577"/>
      <c r="C286" s="576"/>
      <c r="D286" s="607">
        <v>45775</v>
      </c>
      <c r="E286" s="576" t="s">
        <v>716</v>
      </c>
      <c r="F286" s="576">
        <v>12891451.710000001</v>
      </c>
      <c r="G286" s="588">
        <v>46205.920000001788</v>
      </c>
      <c r="H286" s="576">
        <v>0</v>
      </c>
      <c r="I286" s="589">
        <v>0</v>
      </c>
    </row>
    <row r="287" spans="1:9" ht="15.75" customHeight="1" x14ac:dyDescent="0.2">
      <c r="A287" s="577"/>
      <c r="B287" s="577"/>
      <c r="C287" s="576"/>
      <c r="D287" s="607">
        <v>45776</v>
      </c>
      <c r="E287" s="576" t="s">
        <v>715</v>
      </c>
      <c r="F287" s="576">
        <v>12937657.630000001</v>
      </c>
      <c r="G287" s="588">
        <v>46205.919999999925</v>
      </c>
      <c r="H287" s="576">
        <v>0</v>
      </c>
      <c r="I287" s="589">
        <v>0</v>
      </c>
    </row>
    <row r="288" spans="1:9" ht="15.75" customHeight="1" x14ac:dyDescent="0.2">
      <c r="A288" s="577"/>
      <c r="B288" s="577"/>
      <c r="C288" s="576"/>
      <c r="D288" s="607">
        <v>45777</v>
      </c>
      <c r="E288" s="576" t="s">
        <v>721</v>
      </c>
      <c r="F288" s="576">
        <v>12983863.550000001</v>
      </c>
      <c r="G288" s="588">
        <v>46205.919999999925</v>
      </c>
      <c r="H288" s="576">
        <v>323441.44000000134</v>
      </c>
      <c r="I288" s="589">
        <v>0</v>
      </c>
    </row>
    <row r="289" spans="1:9" ht="15.75" customHeight="1" x14ac:dyDescent="0.2">
      <c r="A289" s="577"/>
      <c r="B289" s="577"/>
      <c r="C289" s="576"/>
      <c r="D289" s="607">
        <v>45778</v>
      </c>
      <c r="E289" s="576" t="s">
        <v>720</v>
      </c>
      <c r="F289" s="576">
        <v>13030069.470000001</v>
      </c>
      <c r="G289" s="588">
        <v>46205.919999999925</v>
      </c>
      <c r="H289" s="576">
        <v>0</v>
      </c>
      <c r="I289" s="589">
        <v>0</v>
      </c>
    </row>
    <row r="290" spans="1:9" ht="15.75" customHeight="1" x14ac:dyDescent="0.2">
      <c r="A290" s="577"/>
      <c r="B290" s="577"/>
      <c r="C290" s="576"/>
      <c r="D290" s="607">
        <v>45779</v>
      </c>
      <c r="E290" s="576" t="s">
        <v>719</v>
      </c>
      <c r="F290" s="576">
        <v>13076275.390000001</v>
      </c>
      <c r="G290" s="588">
        <v>46205.919999999925</v>
      </c>
      <c r="H290" s="576">
        <v>0</v>
      </c>
      <c r="I290" s="589">
        <v>0</v>
      </c>
    </row>
    <row r="291" spans="1:9" ht="15.75" customHeight="1" x14ac:dyDescent="0.2">
      <c r="A291" s="577"/>
      <c r="B291" s="577"/>
      <c r="C291" s="576"/>
      <c r="D291" s="607">
        <v>45780</v>
      </c>
      <c r="E291" s="576" t="s">
        <v>718</v>
      </c>
      <c r="F291" s="576">
        <v>13122481.310000001</v>
      </c>
      <c r="G291" s="588">
        <v>46205.919999999925</v>
      </c>
      <c r="H291" s="576">
        <v>0</v>
      </c>
      <c r="I291" s="589">
        <v>0</v>
      </c>
    </row>
    <row r="292" spans="1:9" ht="15.75" customHeight="1" x14ac:dyDescent="0.2">
      <c r="A292" s="577"/>
      <c r="B292" s="577"/>
      <c r="C292" s="576"/>
      <c r="D292" s="607">
        <v>45781</v>
      </c>
      <c r="E292" s="576" t="s">
        <v>717</v>
      </c>
      <c r="F292" s="576">
        <v>13168687.23</v>
      </c>
      <c r="G292" s="588">
        <v>46205.919999999925</v>
      </c>
      <c r="H292" s="576">
        <v>0</v>
      </c>
      <c r="I292" s="589">
        <v>0</v>
      </c>
    </row>
    <row r="293" spans="1:9" ht="15.75" customHeight="1" x14ac:dyDescent="0.2">
      <c r="A293" s="577"/>
      <c r="B293" s="577"/>
      <c r="C293" s="576"/>
      <c r="D293" s="607">
        <v>45782</v>
      </c>
      <c r="E293" s="576" t="s">
        <v>716</v>
      </c>
      <c r="F293" s="576">
        <v>13214893.15</v>
      </c>
      <c r="G293" s="588">
        <v>46205.919999999925</v>
      </c>
      <c r="H293" s="576">
        <v>0</v>
      </c>
      <c r="I293" s="589">
        <v>0</v>
      </c>
    </row>
    <row r="294" spans="1:9" ht="15.75" customHeight="1" x14ac:dyDescent="0.2">
      <c r="A294" s="577"/>
      <c r="B294" s="577"/>
      <c r="C294" s="576"/>
      <c r="D294" s="607">
        <v>45783</v>
      </c>
      <c r="E294" s="576" t="s">
        <v>715</v>
      </c>
      <c r="F294" s="576">
        <v>13261099.07</v>
      </c>
      <c r="G294" s="588">
        <v>46205.919999999925</v>
      </c>
      <c r="H294" s="576">
        <v>0</v>
      </c>
      <c r="I294" s="589">
        <v>0</v>
      </c>
    </row>
    <row r="295" spans="1:9" ht="15.75" customHeight="1" x14ac:dyDescent="0.2">
      <c r="A295" s="577"/>
      <c r="B295" s="577"/>
      <c r="C295" s="576"/>
      <c r="D295" s="607">
        <v>45784</v>
      </c>
      <c r="E295" s="576" t="s">
        <v>721</v>
      </c>
      <c r="F295" s="576">
        <v>13307304.99</v>
      </c>
      <c r="G295" s="588">
        <v>46205.919999999925</v>
      </c>
      <c r="H295" s="576">
        <v>323441.43999999948</v>
      </c>
      <c r="I295" s="589">
        <v>646882.88000000082</v>
      </c>
    </row>
    <row r="296" spans="1:9" ht="15.75" customHeight="1" x14ac:dyDescent="0.2">
      <c r="A296" s="577"/>
      <c r="B296" s="577"/>
      <c r="C296" s="576"/>
      <c r="D296" s="607">
        <v>45785</v>
      </c>
      <c r="E296" s="576" t="s">
        <v>720</v>
      </c>
      <c r="F296" s="576">
        <v>13353510.91</v>
      </c>
      <c r="G296" s="588">
        <v>46205.919999999925</v>
      </c>
      <c r="H296" s="576">
        <v>0</v>
      </c>
      <c r="I296" s="589">
        <v>0</v>
      </c>
    </row>
    <row r="297" spans="1:9" ht="15.75" customHeight="1" x14ac:dyDescent="0.2">
      <c r="A297" s="577"/>
      <c r="B297" s="577"/>
      <c r="C297" s="576"/>
      <c r="D297" s="607">
        <v>45786</v>
      </c>
      <c r="E297" s="576" t="s">
        <v>719</v>
      </c>
      <c r="F297" s="576">
        <v>13399716.83</v>
      </c>
      <c r="G297" s="588">
        <v>46205.919999999925</v>
      </c>
      <c r="H297" s="576">
        <v>0</v>
      </c>
      <c r="I297" s="589">
        <v>0</v>
      </c>
    </row>
    <row r="298" spans="1:9" ht="15.75" customHeight="1" x14ac:dyDescent="0.2">
      <c r="A298" s="577"/>
      <c r="B298" s="577"/>
      <c r="C298" s="576"/>
      <c r="D298" s="607">
        <v>45787</v>
      </c>
      <c r="E298" s="576" t="s">
        <v>718</v>
      </c>
      <c r="F298" s="576">
        <v>13445922.75</v>
      </c>
      <c r="G298" s="588">
        <v>46205.919999999925</v>
      </c>
      <c r="H298" s="576">
        <v>0</v>
      </c>
      <c r="I298" s="589">
        <v>0</v>
      </c>
    </row>
    <row r="299" spans="1:9" ht="15.75" customHeight="1" x14ac:dyDescent="0.2">
      <c r="A299" s="577"/>
      <c r="B299" s="577"/>
      <c r="C299" s="576"/>
      <c r="D299" s="607">
        <v>45788</v>
      </c>
      <c r="E299" s="576" t="s">
        <v>717</v>
      </c>
      <c r="F299" s="576">
        <v>13492128.67</v>
      </c>
      <c r="G299" s="588">
        <v>46205.919999999925</v>
      </c>
      <c r="H299" s="576">
        <v>0</v>
      </c>
      <c r="I299" s="589">
        <v>0</v>
      </c>
    </row>
    <row r="300" spans="1:9" ht="15.75" customHeight="1" x14ac:dyDescent="0.2">
      <c r="A300" s="577"/>
      <c r="B300" s="577"/>
      <c r="C300" s="576"/>
      <c r="D300" s="607">
        <v>45789</v>
      </c>
      <c r="E300" s="576" t="s">
        <v>716</v>
      </c>
      <c r="F300" s="576">
        <v>13538334.59</v>
      </c>
      <c r="G300" s="588">
        <v>46205.919999999925</v>
      </c>
      <c r="H300" s="576">
        <v>0</v>
      </c>
      <c r="I300" s="589">
        <v>0</v>
      </c>
    </row>
    <row r="301" spans="1:9" ht="15.75" customHeight="1" x14ac:dyDescent="0.2">
      <c r="A301" s="577"/>
      <c r="B301" s="577"/>
      <c r="C301" s="576"/>
      <c r="D301" s="607">
        <v>45790</v>
      </c>
      <c r="E301" s="576" t="s">
        <v>715</v>
      </c>
      <c r="F301" s="576">
        <v>13584540.51</v>
      </c>
      <c r="G301" s="588">
        <v>46205.919999999925</v>
      </c>
      <c r="H301" s="576">
        <v>0</v>
      </c>
      <c r="I301" s="589">
        <v>0</v>
      </c>
    </row>
    <row r="302" spans="1:9" ht="15.75" customHeight="1" x14ac:dyDescent="0.2">
      <c r="A302" s="577"/>
      <c r="B302" s="577"/>
      <c r="C302" s="576"/>
      <c r="D302" s="607">
        <v>45791</v>
      </c>
      <c r="E302" s="576" t="s">
        <v>721</v>
      </c>
      <c r="F302" s="576">
        <v>13630746.43</v>
      </c>
      <c r="G302" s="588">
        <v>46205.919999999925</v>
      </c>
      <c r="H302" s="576">
        <v>323441.43999999948</v>
      </c>
      <c r="I302" s="589">
        <v>0</v>
      </c>
    </row>
    <row r="303" spans="1:9" ht="15.75" customHeight="1" x14ac:dyDescent="0.2">
      <c r="A303" s="577"/>
      <c r="B303" s="577"/>
      <c r="C303" s="576"/>
      <c r="D303" s="607">
        <v>45792</v>
      </c>
      <c r="E303" s="576" t="s">
        <v>720</v>
      </c>
      <c r="F303" s="576">
        <v>13676952.35</v>
      </c>
      <c r="G303" s="588">
        <v>46205.919999999925</v>
      </c>
      <c r="H303" s="576">
        <v>0</v>
      </c>
      <c r="I303" s="589">
        <v>0</v>
      </c>
    </row>
    <row r="304" spans="1:9" ht="15.75" customHeight="1" x14ac:dyDescent="0.2">
      <c r="A304" s="577"/>
      <c r="B304" s="577"/>
      <c r="C304" s="576"/>
      <c r="D304" s="607">
        <v>45793</v>
      </c>
      <c r="E304" s="576" t="s">
        <v>719</v>
      </c>
      <c r="F304" s="576">
        <v>13723158.27</v>
      </c>
      <c r="G304" s="588">
        <v>46205.919999999925</v>
      </c>
      <c r="H304" s="576">
        <v>0</v>
      </c>
      <c r="I304" s="589">
        <v>0</v>
      </c>
    </row>
    <row r="305" spans="1:9" ht="15.75" customHeight="1" x14ac:dyDescent="0.2">
      <c r="A305" s="577"/>
      <c r="B305" s="577"/>
      <c r="C305" s="576"/>
      <c r="D305" s="607">
        <v>45794</v>
      </c>
      <c r="E305" s="576" t="s">
        <v>718</v>
      </c>
      <c r="F305" s="576">
        <v>13769364.189999999</v>
      </c>
      <c r="G305" s="588">
        <v>46205.919999999925</v>
      </c>
      <c r="H305" s="576">
        <v>0</v>
      </c>
      <c r="I305" s="589">
        <v>0</v>
      </c>
    </row>
    <row r="306" spans="1:9" ht="15.75" customHeight="1" x14ac:dyDescent="0.2">
      <c r="A306" s="577"/>
      <c r="B306" s="577"/>
      <c r="C306" s="576"/>
      <c r="D306" s="607">
        <v>45795</v>
      </c>
      <c r="E306" s="576" t="s">
        <v>717</v>
      </c>
      <c r="F306" s="576">
        <v>13815570.109999999</v>
      </c>
      <c r="G306" s="588">
        <v>46205.919999999925</v>
      </c>
      <c r="H306" s="576">
        <v>0</v>
      </c>
      <c r="I306" s="589">
        <v>0</v>
      </c>
    </row>
    <row r="307" spans="1:9" ht="15.75" customHeight="1" x14ac:dyDescent="0.2">
      <c r="A307" s="577"/>
      <c r="B307" s="577"/>
      <c r="C307" s="576"/>
      <c r="D307" s="607">
        <v>45796</v>
      </c>
      <c r="E307" s="576" t="s">
        <v>716</v>
      </c>
      <c r="F307" s="576">
        <v>13861776.039999999</v>
      </c>
      <c r="G307" s="588">
        <v>46205.929999999702</v>
      </c>
      <c r="H307" s="576">
        <v>0</v>
      </c>
      <c r="I307" s="589">
        <v>0</v>
      </c>
    </row>
    <row r="308" spans="1:9" ht="15.75" customHeight="1" x14ac:dyDescent="0.2">
      <c r="A308" s="577"/>
      <c r="B308" s="577"/>
      <c r="C308" s="576"/>
      <c r="D308" s="607">
        <v>45797</v>
      </c>
      <c r="E308" s="576" t="s">
        <v>715</v>
      </c>
      <c r="F308" s="576">
        <v>13907981.960000001</v>
      </c>
      <c r="G308" s="588">
        <v>46205.920000001788</v>
      </c>
      <c r="H308" s="576">
        <v>0</v>
      </c>
      <c r="I308" s="589">
        <v>0</v>
      </c>
    </row>
    <row r="309" spans="1:9" ht="15.75" customHeight="1" x14ac:dyDescent="0.2">
      <c r="A309" s="577"/>
      <c r="B309" s="577"/>
      <c r="C309" s="576"/>
      <c r="D309" s="607">
        <v>45798</v>
      </c>
      <c r="E309" s="576" t="s">
        <v>721</v>
      </c>
      <c r="F309" s="576">
        <v>13954187.880000001</v>
      </c>
      <c r="G309" s="588">
        <v>46205.919999999925</v>
      </c>
      <c r="H309" s="576">
        <v>323441.45000000112</v>
      </c>
      <c r="I309" s="589">
        <v>646882.8900000006</v>
      </c>
    </row>
    <row r="310" spans="1:9" ht="15.75" customHeight="1" x14ac:dyDescent="0.2">
      <c r="A310" s="577"/>
      <c r="B310" s="577"/>
      <c r="C310" s="576"/>
      <c r="D310" s="607">
        <v>45799</v>
      </c>
      <c r="E310" s="576" t="s">
        <v>720</v>
      </c>
      <c r="F310" s="576">
        <v>14000393.800000001</v>
      </c>
      <c r="G310" s="588">
        <v>46205.919999999925</v>
      </c>
      <c r="H310" s="576">
        <v>0</v>
      </c>
      <c r="I310" s="589">
        <v>0</v>
      </c>
    </row>
    <row r="311" spans="1:9" ht="15.75" customHeight="1" x14ac:dyDescent="0.2">
      <c r="A311" s="577"/>
      <c r="B311" s="577"/>
      <c r="C311" s="576"/>
      <c r="D311" s="607">
        <v>45800</v>
      </c>
      <c r="E311" s="576" t="s">
        <v>719</v>
      </c>
      <c r="F311" s="576">
        <v>14046599.720000001</v>
      </c>
      <c r="G311" s="588">
        <v>46205.919999999925</v>
      </c>
      <c r="H311" s="576">
        <v>0</v>
      </c>
      <c r="I311" s="589">
        <v>0</v>
      </c>
    </row>
    <row r="312" spans="1:9" ht="15.75" customHeight="1" x14ac:dyDescent="0.2">
      <c r="A312" s="577"/>
      <c r="B312" s="577"/>
      <c r="C312" s="576"/>
      <c r="D312" s="607">
        <v>45801</v>
      </c>
      <c r="E312" s="576" t="s">
        <v>718</v>
      </c>
      <c r="F312" s="576">
        <v>14092805.640000001</v>
      </c>
      <c r="G312" s="588">
        <v>46205.919999999925</v>
      </c>
      <c r="H312" s="576">
        <v>0</v>
      </c>
      <c r="I312" s="589">
        <v>0</v>
      </c>
    </row>
    <row r="313" spans="1:9" ht="15.75" customHeight="1" x14ac:dyDescent="0.2">
      <c r="A313" s="577"/>
      <c r="B313" s="577"/>
      <c r="C313" s="576"/>
      <c r="D313" s="607">
        <v>45802</v>
      </c>
      <c r="E313" s="576" t="s">
        <v>717</v>
      </c>
      <c r="F313" s="576">
        <v>14139011.560000001</v>
      </c>
      <c r="G313" s="588">
        <v>46205.919999999925</v>
      </c>
      <c r="H313" s="576">
        <v>0</v>
      </c>
      <c r="I313" s="589">
        <v>0</v>
      </c>
    </row>
    <row r="314" spans="1:9" ht="15.75" customHeight="1" x14ac:dyDescent="0.2">
      <c r="A314" s="577"/>
      <c r="B314" s="577"/>
      <c r="C314" s="576"/>
      <c r="D314" s="607">
        <v>45803</v>
      </c>
      <c r="E314" s="576" t="s">
        <v>716</v>
      </c>
      <c r="F314" s="576">
        <v>14185217.48</v>
      </c>
      <c r="G314" s="588">
        <v>46205.919999999925</v>
      </c>
      <c r="H314" s="576">
        <v>0</v>
      </c>
      <c r="I314" s="589">
        <v>0</v>
      </c>
    </row>
    <row r="315" spans="1:9" ht="15.75" customHeight="1" x14ac:dyDescent="0.2">
      <c r="A315" s="577"/>
      <c r="B315" s="577"/>
      <c r="C315" s="576"/>
      <c r="D315" s="607">
        <v>45804</v>
      </c>
      <c r="E315" s="576" t="s">
        <v>715</v>
      </c>
      <c r="F315" s="576">
        <v>14231423.4</v>
      </c>
      <c r="G315" s="588">
        <v>46205.919999999925</v>
      </c>
      <c r="H315" s="576">
        <v>0</v>
      </c>
      <c r="I315" s="589">
        <v>0</v>
      </c>
    </row>
    <row r="316" spans="1:9" ht="15.75" customHeight="1" x14ac:dyDescent="0.2">
      <c r="A316" s="577"/>
      <c r="B316" s="577"/>
      <c r="C316" s="576"/>
      <c r="D316" s="607">
        <v>45805</v>
      </c>
      <c r="E316" s="576" t="s">
        <v>721</v>
      </c>
      <c r="F316" s="576">
        <v>14277629.32</v>
      </c>
      <c r="G316" s="588">
        <v>46205.919999999925</v>
      </c>
      <c r="H316" s="576">
        <v>323441.43999999948</v>
      </c>
      <c r="I316" s="589">
        <v>0</v>
      </c>
    </row>
    <row r="317" spans="1:9" ht="15.75" customHeight="1" x14ac:dyDescent="0.2">
      <c r="A317" s="577"/>
      <c r="B317" s="577"/>
      <c r="C317" s="576"/>
      <c r="D317" s="607">
        <v>45806</v>
      </c>
      <c r="E317" s="576" t="s">
        <v>720</v>
      </c>
      <c r="F317" s="576">
        <v>14323835.24</v>
      </c>
      <c r="G317" s="588">
        <v>46205.919999999925</v>
      </c>
      <c r="H317" s="576">
        <v>0</v>
      </c>
      <c r="I317" s="589">
        <v>0</v>
      </c>
    </row>
    <row r="318" spans="1:9" ht="15.75" customHeight="1" x14ac:dyDescent="0.2">
      <c r="A318" s="577"/>
      <c r="B318" s="577"/>
      <c r="C318" s="576"/>
      <c r="D318" s="607">
        <v>45807</v>
      </c>
      <c r="E318" s="576" t="s">
        <v>719</v>
      </c>
      <c r="F318" s="576">
        <v>14370041.16</v>
      </c>
      <c r="G318" s="588">
        <v>46205.919999999925</v>
      </c>
      <c r="H318" s="576">
        <v>0</v>
      </c>
      <c r="I318" s="589">
        <v>0</v>
      </c>
    </row>
    <row r="319" spans="1:9" ht="15.75" customHeight="1" x14ac:dyDescent="0.2">
      <c r="A319" s="577"/>
      <c r="B319" s="577"/>
      <c r="C319" s="576"/>
      <c r="D319" s="607">
        <v>45808</v>
      </c>
      <c r="E319" s="576" t="s">
        <v>718</v>
      </c>
      <c r="F319" s="576">
        <v>14416247.08</v>
      </c>
      <c r="G319" s="588">
        <v>46205.919999999925</v>
      </c>
      <c r="H319" s="576">
        <v>0</v>
      </c>
      <c r="I319" s="589">
        <v>0</v>
      </c>
    </row>
    <row r="320" spans="1:9" ht="15.75" customHeight="1" x14ac:dyDescent="0.2">
      <c r="A320" s="577"/>
      <c r="B320" s="577"/>
      <c r="C320" s="576"/>
      <c r="D320" s="607">
        <v>45809</v>
      </c>
      <c r="E320" s="576" t="s">
        <v>717</v>
      </c>
      <c r="F320" s="576">
        <v>14462453</v>
      </c>
      <c r="G320" s="588">
        <v>46205.919999999925</v>
      </c>
      <c r="H320" s="576">
        <v>0</v>
      </c>
      <c r="I320" s="589">
        <v>0</v>
      </c>
    </row>
    <row r="321" spans="1:9" ht="15.75" customHeight="1" x14ac:dyDescent="0.2">
      <c r="A321" s="577"/>
      <c r="B321" s="577"/>
      <c r="C321" s="576"/>
      <c r="D321" s="607">
        <v>45810</v>
      </c>
      <c r="E321" s="576" t="s">
        <v>716</v>
      </c>
      <c r="F321" s="576">
        <v>14508658.92</v>
      </c>
      <c r="G321" s="588">
        <v>46205.919999999925</v>
      </c>
      <c r="H321" s="576">
        <v>0</v>
      </c>
      <c r="I321" s="589">
        <v>0</v>
      </c>
    </row>
    <row r="322" spans="1:9" ht="15.75" customHeight="1" x14ac:dyDescent="0.2">
      <c r="A322" s="577"/>
      <c r="B322" s="577"/>
      <c r="C322" s="576"/>
      <c r="D322" s="607">
        <v>45811</v>
      </c>
      <c r="E322" s="576" t="s">
        <v>715</v>
      </c>
      <c r="F322" s="576">
        <v>14554864.84</v>
      </c>
      <c r="G322" s="588">
        <v>46205.919999999925</v>
      </c>
      <c r="H322" s="576">
        <v>0</v>
      </c>
      <c r="I322" s="589">
        <v>0</v>
      </c>
    </row>
    <row r="323" spans="1:9" ht="15.75" customHeight="1" x14ac:dyDescent="0.2">
      <c r="A323" s="577"/>
      <c r="B323" s="577"/>
      <c r="C323" s="576"/>
      <c r="D323" s="607">
        <v>45812</v>
      </c>
      <c r="E323" s="576" t="s">
        <v>721</v>
      </c>
      <c r="F323" s="576">
        <v>14601070.76</v>
      </c>
      <c r="G323" s="588">
        <v>46205.919999999925</v>
      </c>
      <c r="H323" s="576">
        <v>323441.43999999948</v>
      </c>
      <c r="I323" s="589">
        <v>646882.87999999896</v>
      </c>
    </row>
    <row r="324" spans="1:9" ht="15.75" customHeight="1" x14ac:dyDescent="0.2">
      <c r="A324" s="577"/>
      <c r="B324" s="577"/>
      <c r="C324" s="576"/>
      <c r="D324" s="607">
        <v>45813</v>
      </c>
      <c r="E324" s="576" t="s">
        <v>720</v>
      </c>
      <c r="F324" s="576">
        <v>14647276.68</v>
      </c>
      <c r="G324" s="588">
        <v>46205.919999999925</v>
      </c>
      <c r="H324" s="576">
        <v>0</v>
      </c>
      <c r="I324" s="589">
        <v>0</v>
      </c>
    </row>
    <row r="325" spans="1:9" ht="15.75" customHeight="1" x14ac:dyDescent="0.2">
      <c r="A325" s="577"/>
      <c r="B325" s="577"/>
      <c r="C325" s="576"/>
      <c r="D325" s="607">
        <v>45814</v>
      </c>
      <c r="E325" s="576" t="s">
        <v>719</v>
      </c>
      <c r="F325" s="576">
        <v>14693482.6</v>
      </c>
      <c r="G325" s="588">
        <v>46205.919999999925</v>
      </c>
      <c r="H325" s="576">
        <v>0</v>
      </c>
      <c r="I325" s="589">
        <v>0</v>
      </c>
    </row>
    <row r="326" spans="1:9" ht="15.75" customHeight="1" x14ac:dyDescent="0.2">
      <c r="A326" s="577"/>
      <c r="B326" s="577"/>
      <c r="C326" s="576"/>
      <c r="D326" s="607">
        <v>45815</v>
      </c>
      <c r="E326" s="576" t="s">
        <v>718</v>
      </c>
      <c r="F326" s="576">
        <v>14739688.52</v>
      </c>
      <c r="G326" s="588">
        <v>46205.919999999925</v>
      </c>
      <c r="H326" s="576">
        <v>0</v>
      </c>
      <c r="I326" s="589">
        <v>0</v>
      </c>
    </row>
    <row r="327" spans="1:9" ht="15.75" customHeight="1" x14ac:dyDescent="0.2">
      <c r="A327" s="577"/>
      <c r="B327" s="577"/>
      <c r="C327" s="576"/>
      <c r="D327" s="607">
        <v>45816</v>
      </c>
      <c r="E327" s="576" t="s">
        <v>717</v>
      </c>
      <c r="F327" s="576">
        <v>14785894.439999999</v>
      </c>
      <c r="G327" s="588">
        <v>46205.919999999925</v>
      </c>
      <c r="H327" s="576">
        <v>0</v>
      </c>
      <c r="I327" s="589">
        <v>0</v>
      </c>
    </row>
    <row r="328" spans="1:9" ht="15.75" customHeight="1" x14ac:dyDescent="0.2">
      <c r="A328" s="577"/>
      <c r="B328" s="577"/>
      <c r="C328" s="576"/>
      <c r="D328" s="607">
        <v>45817</v>
      </c>
      <c r="E328" s="576" t="s">
        <v>716</v>
      </c>
      <c r="F328" s="576">
        <v>14832100.359999999</v>
      </c>
      <c r="G328" s="588">
        <v>46205.919999999925</v>
      </c>
      <c r="H328" s="576">
        <v>0</v>
      </c>
      <c r="I328" s="589">
        <v>0</v>
      </c>
    </row>
    <row r="329" spans="1:9" ht="15.75" customHeight="1" x14ac:dyDescent="0.2">
      <c r="A329" s="577"/>
      <c r="B329" s="577"/>
      <c r="C329" s="576"/>
      <c r="D329" s="607">
        <v>45818</v>
      </c>
      <c r="E329" s="576" t="s">
        <v>715</v>
      </c>
      <c r="F329" s="576">
        <v>14878306.279999999</v>
      </c>
      <c r="G329" s="588">
        <v>46205.919999999925</v>
      </c>
      <c r="H329" s="576">
        <v>0</v>
      </c>
      <c r="I329" s="589">
        <v>0</v>
      </c>
    </row>
    <row r="330" spans="1:9" ht="15.75" customHeight="1" x14ac:dyDescent="0.2">
      <c r="A330" s="577"/>
      <c r="B330" s="577"/>
      <c r="C330" s="576"/>
      <c r="D330" s="607">
        <v>45819</v>
      </c>
      <c r="E330" s="576" t="s">
        <v>721</v>
      </c>
      <c r="F330" s="576">
        <v>14924512.199999999</v>
      </c>
      <c r="G330" s="588">
        <v>46205.919999999925</v>
      </c>
      <c r="H330" s="576">
        <v>323441.43999999948</v>
      </c>
      <c r="I330" s="589">
        <v>0</v>
      </c>
    </row>
    <row r="331" spans="1:9" ht="15.75" customHeight="1" x14ac:dyDescent="0.2">
      <c r="A331" s="577"/>
      <c r="B331" s="577"/>
      <c r="C331" s="576"/>
      <c r="D331" s="607">
        <v>45820</v>
      </c>
      <c r="E331" s="576" t="s">
        <v>720</v>
      </c>
      <c r="F331" s="576">
        <v>14970718.119999999</v>
      </c>
      <c r="G331" s="588">
        <v>46205.919999999925</v>
      </c>
      <c r="H331" s="576">
        <v>0</v>
      </c>
      <c r="I331" s="589">
        <v>0</v>
      </c>
    </row>
    <row r="332" spans="1:9" ht="15.75" customHeight="1" x14ac:dyDescent="0.2">
      <c r="A332" s="577"/>
      <c r="B332" s="577"/>
      <c r="C332" s="576"/>
      <c r="D332" s="607">
        <v>45821</v>
      </c>
      <c r="E332" s="576" t="s">
        <v>719</v>
      </c>
      <c r="F332" s="576">
        <v>15016924.039999999</v>
      </c>
      <c r="G332" s="588">
        <v>46205.919999999925</v>
      </c>
      <c r="H332" s="576">
        <v>0</v>
      </c>
      <c r="I332" s="589">
        <v>0</v>
      </c>
    </row>
    <row r="333" spans="1:9" ht="15.75" customHeight="1" x14ac:dyDescent="0.2">
      <c r="A333" s="577"/>
      <c r="B333" s="577"/>
      <c r="C333" s="576"/>
      <c r="D333" s="607">
        <v>45822</v>
      </c>
      <c r="E333" s="576" t="s">
        <v>718</v>
      </c>
      <c r="F333" s="576">
        <v>15063129.960000001</v>
      </c>
      <c r="G333" s="588">
        <v>46205.920000001788</v>
      </c>
      <c r="H333" s="576">
        <v>0</v>
      </c>
      <c r="I333" s="589">
        <v>0</v>
      </c>
    </row>
    <row r="334" spans="1:9" ht="15.75" customHeight="1" x14ac:dyDescent="0.2">
      <c r="A334" s="577"/>
      <c r="B334" s="577"/>
      <c r="C334" s="576"/>
      <c r="D334" s="607">
        <v>45823</v>
      </c>
      <c r="E334" s="576" t="s">
        <v>717</v>
      </c>
      <c r="F334" s="576">
        <v>15109335.880000001</v>
      </c>
      <c r="G334" s="588">
        <v>46205.919999999925</v>
      </c>
      <c r="H334" s="576">
        <v>0</v>
      </c>
      <c r="I334" s="589">
        <v>0</v>
      </c>
    </row>
    <row r="335" spans="1:9" ht="15.75" customHeight="1" x14ac:dyDescent="0.2">
      <c r="A335" s="577"/>
      <c r="B335" s="577"/>
      <c r="C335" s="576"/>
      <c r="D335" s="607">
        <v>45824</v>
      </c>
      <c r="E335" s="576" t="s">
        <v>716</v>
      </c>
      <c r="F335" s="576">
        <v>15155541.800000001</v>
      </c>
      <c r="G335" s="588">
        <v>46205.919999999925</v>
      </c>
      <c r="H335" s="576">
        <v>0</v>
      </c>
      <c r="I335" s="589">
        <v>0</v>
      </c>
    </row>
    <row r="336" spans="1:9" ht="15.75" customHeight="1" x14ac:dyDescent="0.2">
      <c r="A336" s="577"/>
      <c r="B336" s="577"/>
      <c r="C336" s="576"/>
      <c r="D336" s="607">
        <v>45825</v>
      </c>
      <c r="E336" s="576" t="s">
        <v>715</v>
      </c>
      <c r="F336" s="576">
        <v>15201747.720000001</v>
      </c>
      <c r="G336" s="588">
        <v>46205.919999999925</v>
      </c>
      <c r="H336" s="576">
        <v>0</v>
      </c>
      <c r="I336" s="589">
        <v>0</v>
      </c>
    </row>
    <row r="337" spans="1:9" ht="15.75" customHeight="1" x14ac:dyDescent="0.2">
      <c r="A337" s="577"/>
      <c r="B337" s="577"/>
      <c r="C337" s="576"/>
      <c r="D337" s="607">
        <v>45826</v>
      </c>
      <c r="E337" s="576" t="s">
        <v>721</v>
      </c>
      <c r="F337" s="576">
        <v>15247953.640000001</v>
      </c>
      <c r="G337" s="588">
        <v>46205.919999999925</v>
      </c>
      <c r="H337" s="576">
        <v>323441.44000000134</v>
      </c>
      <c r="I337" s="589">
        <v>646882.88000000082</v>
      </c>
    </row>
    <row r="338" spans="1:9" ht="15.75" customHeight="1" x14ac:dyDescent="0.2">
      <c r="A338" s="577"/>
      <c r="B338" s="577"/>
      <c r="C338" s="576"/>
      <c r="D338" s="607">
        <v>45827</v>
      </c>
      <c r="E338" s="576" t="s">
        <v>720</v>
      </c>
      <c r="F338" s="576">
        <v>15294159.560000001</v>
      </c>
      <c r="G338" s="588">
        <v>46205.919999999925</v>
      </c>
      <c r="H338" s="576">
        <v>0</v>
      </c>
      <c r="I338" s="589">
        <v>0</v>
      </c>
    </row>
    <row r="339" spans="1:9" ht="15.75" customHeight="1" x14ac:dyDescent="0.2">
      <c r="A339" s="577"/>
      <c r="B339" s="577"/>
      <c r="C339" s="576"/>
      <c r="D339" s="607">
        <v>45828</v>
      </c>
      <c r="E339" s="576" t="s">
        <v>719</v>
      </c>
      <c r="F339" s="576">
        <v>15340365.48</v>
      </c>
      <c r="G339" s="588">
        <v>46205.919999999925</v>
      </c>
      <c r="H339" s="576">
        <v>0</v>
      </c>
      <c r="I339" s="589">
        <v>0</v>
      </c>
    </row>
    <row r="340" spans="1:9" ht="15.75" customHeight="1" x14ac:dyDescent="0.2">
      <c r="A340" s="577"/>
      <c r="B340" s="577"/>
      <c r="C340" s="576"/>
      <c r="D340" s="607">
        <v>45829</v>
      </c>
      <c r="E340" s="576" t="s">
        <v>718</v>
      </c>
      <c r="F340" s="576">
        <v>15386571.4</v>
      </c>
      <c r="G340" s="588">
        <v>46205.919999999925</v>
      </c>
      <c r="H340" s="576">
        <v>0</v>
      </c>
      <c r="I340" s="589">
        <v>0</v>
      </c>
    </row>
    <row r="341" spans="1:9" ht="15.75" customHeight="1" x14ac:dyDescent="0.2">
      <c r="A341" s="577"/>
      <c r="B341" s="577"/>
      <c r="C341" s="576"/>
      <c r="D341" s="607">
        <v>45830</v>
      </c>
      <c r="E341" s="576" t="s">
        <v>717</v>
      </c>
      <c r="F341" s="576">
        <v>15432777.32</v>
      </c>
      <c r="G341" s="588">
        <v>46205.919999999925</v>
      </c>
      <c r="H341" s="576">
        <v>0</v>
      </c>
      <c r="I341" s="589">
        <v>0</v>
      </c>
    </row>
    <row r="342" spans="1:9" ht="15.75" customHeight="1" x14ac:dyDescent="0.2">
      <c r="A342" s="577"/>
      <c r="B342" s="577"/>
      <c r="C342" s="576"/>
      <c r="D342" s="607">
        <v>45831</v>
      </c>
      <c r="E342" s="576" t="s">
        <v>716</v>
      </c>
      <c r="F342" s="576">
        <v>15478983.24</v>
      </c>
      <c r="G342" s="588">
        <v>46205.919999999925</v>
      </c>
      <c r="H342" s="576">
        <v>0</v>
      </c>
      <c r="I342" s="589">
        <v>0</v>
      </c>
    </row>
    <row r="343" spans="1:9" ht="15.75" customHeight="1" x14ac:dyDescent="0.2">
      <c r="A343" s="577"/>
      <c r="B343" s="577"/>
      <c r="C343" s="576"/>
      <c r="D343" s="607">
        <v>45832</v>
      </c>
      <c r="E343" s="576" t="s">
        <v>715</v>
      </c>
      <c r="F343" s="576">
        <v>15525189.16</v>
      </c>
      <c r="G343" s="588">
        <v>46205.919999999925</v>
      </c>
      <c r="H343" s="576">
        <v>0</v>
      </c>
      <c r="I343" s="589">
        <v>0</v>
      </c>
    </row>
    <row r="344" spans="1:9" ht="15.75" customHeight="1" x14ac:dyDescent="0.2">
      <c r="A344" s="577"/>
      <c r="B344" s="577"/>
      <c r="C344" s="576"/>
      <c r="D344" s="607">
        <v>45833</v>
      </c>
      <c r="E344" s="576" t="s">
        <v>721</v>
      </c>
      <c r="F344" s="576">
        <v>15571395.08</v>
      </c>
      <c r="G344" s="588">
        <v>46205.919999999925</v>
      </c>
      <c r="H344" s="576">
        <v>323441.43999999948</v>
      </c>
      <c r="I344" s="589">
        <v>0</v>
      </c>
    </row>
    <row r="345" spans="1:9" ht="15.75" customHeight="1" x14ac:dyDescent="0.2">
      <c r="A345" s="577"/>
      <c r="B345" s="577"/>
      <c r="C345" s="576"/>
      <c r="D345" s="607">
        <v>45834</v>
      </c>
      <c r="E345" s="576" t="s">
        <v>720</v>
      </c>
      <c r="F345" s="576">
        <v>15617601</v>
      </c>
      <c r="G345" s="588">
        <v>46205.919999999925</v>
      </c>
      <c r="H345" s="576">
        <v>0</v>
      </c>
      <c r="I345" s="589">
        <v>0</v>
      </c>
    </row>
    <row r="346" spans="1:9" ht="15.75" customHeight="1" x14ac:dyDescent="0.2">
      <c r="A346" s="577"/>
      <c r="B346" s="577"/>
      <c r="C346" s="576"/>
      <c r="D346" s="607">
        <v>45835</v>
      </c>
      <c r="E346" s="576" t="s">
        <v>719</v>
      </c>
      <c r="F346" s="576">
        <v>15663806.92</v>
      </c>
      <c r="G346" s="588">
        <v>46205.919999999925</v>
      </c>
      <c r="H346" s="576">
        <v>0</v>
      </c>
      <c r="I346" s="589">
        <v>0</v>
      </c>
    </row>
    <row r="347" spans="1:9" ht="15.75" customHeight="1" x14ac:dyDescent="0.2">
      <c r="A347" s="577"/>
      <c r="B347" s="577"/>
      <c r="C347" s="576"/>
      <c r="D347" s="607">
        <v>45836</v>
      </c>
      <c r="E347" s="576" t="s">
        <v>718</v>
      </c>
      <c r="F347" s="576">
        <v>15710012.84</v>
      </c>
      <c r="G347" s="588">
        <v>46205.919999999925</v>
      </c>
      <c r="H347" s="576">
        <v>0</v>
      </c>
      <c r="I347" s="589">
        <v>0</v>
      </c>
    </row>
    <row r="348" spans="1:9" ht="15.75" customHeight="1" x14ac:dyDescent="0.2">
      <c r="A348" s="577"/>
      <c r="B348" s="577"/>
      <c r="C348" s="576"/>
      <c r="D348" s="607">
        <v>45837</v>
      </c>
      <c r="E348" s="576" t="s">
        <v>717</v>
      </c>
      <c r="F348" s="576">
        <v>15756218.76</v>
      </c>
      <c r="G348" s="588">
        <v>46205.919999999925</v>
      </c>
      <c r="H348" s="576">
        <v>0</v>
      </c>
      <c r="I348" s="589">
        <v>0</v>
      </c>
    </row>
    <row r="349" spans="1:9" ht="15.75" customHeight="1" x14ac:dyDescent="0.2">
      <c r="A349" s="577"/>
      <c r="B349" s="577"/>
      <c r="C349" s="576"/>
      <c r="D349" s="607">
        <v>45838</v>
      </c>
      <c r="E349" s="576" t="s">
        <v>716</v>
      </c>
      <c r="F349" s="576">
        <v>15802424.68</v>
      </c>
      <c r="G349" s="588">
        <v>46205.919999999925</v>
      </c>
      <c r="H349" s="576">
        <v>0</v>
      </c>
      <c r="I349" s="589">
        <v>0</v>
      </c>
    </row>
    <row r="350" spans="1:9" ht="15.75" customHeight="1" x14ac:dyDescent="0.2">
      <c r="A350" s="577"/>
      <c r="B350" s="577"/>
      <c r="C350" s="576"/>
      <c r="D350" s="607">
        <v>45839</v>
      </c>
      <c r="E350" s="576" t="s">
        <v>715</v>
      </c>
      <c r="F350" s="576">
        <v>15848630.6</v>
      </c>
      <c r="G350" s="588">
        <v>46205.919999999925</v>
      </c>
      <c r="H350" s="576">
        <v>0</v>
      </c>
      <c r="I350" s="589">
        <v>0</v>
      </c>
    </row>
    <row r="351" spans="1:9" ht="15.75" customHeight="1" x14ac:dyDescent="0.2">
      <c r="A351" s="577"/>
      <c r="B351" s="577"/>
      <c r="C351" s="576"/>
      <c r="D351" s="607">
        <v>45840</v>
      </c>
      <c r="E351" s="576" t="s">
        <v>721</v>
      </c>
      <c r="F351" s="576">
        <v>15894836.52</v>
      </c>
      <c r="G351" s="588">
        <v>46205.919999999925</v>
      </c>
      <c r="H351" s="576">
        <v>323441.43999999948</v>
      </c>
      <c r="I351" s="589">
        <v>646882.87999999896</v>
      </c>
    </row>
    <row r="352" spans="1:9" ht="15.75" customHeight="1" x14ac:dyDescent="0.2">
      <c r="A352" s="577"/>
      <c r="B352" s="577"/>
      <c r="C352" s="576"/>
      <c r="D352" s="607">
        <v>45841</v>
      </c>
      <c r="E352" s="576" t="s">
        <v>720</v>
      </c>
      <c r="F352" s="576">
        <v>15941042.439999999</v>
      </c>
      <c r="G352" s="588">
        <v>46205.919999999925</v>
      </c>
      <c r="H352" s="576">
        <v>0</v>
      </c>
      <c r="I352" s="589">
        <v>0</v>
      </c>
    </row>
    <row r="353" spans="1:9" ht="15.75" customHeight="1" x14ac:dyDescent="0.2">
      <c r="A353" s="577"/>
      <c r="B353" s="577"/>
      <c r="C353" s="576"/>
      <c r="D353" s="607">
        <v>45842</v>
      </c>
      <c r="E353" s="576" t="s">
        <v>719</v>
      </c>
      <c r="F353" s="576">
        <v>15987248.359999999</v>
      </c>
      <c r="G353" s="588">
        <v>46205.919999999925</v>
      </c>
      <c r="H353" s="576">
        <v>0</v>
      </c>
      <c r="I353" s="589">
        <v>0</v>
      </c>
    </row>
    <row r="354" spans="1:9" ht="15.75" customHeight="1" x14ac:dyDescent="0.2">
      <c r="A354" s="577"/>
      <c r="B354" s="577"/>
      <c r="C354" s="576"/>
      <c r="D354" s="607">
        <v>45843</v>
      </c>
      <c r="E354" s="576" t="s">
        <v>718</v>
      </c>
      <c r="F354" s="576">
        <v>16033454.279999999</v>
      </c>
      <c r="G354" s="588">
        <v>46205.919999999925</v>
      </c>
      <c r="H354" s="576">
        <v>0</v>
      </c>
      <c r="I354" s="589">
        <v>0</v>
      </c>
    </row>
    <row r="355" spans="1:9" ht="15.75" customHeight="1" x14ac:dyDescent="0.2">
      <c r="A355" s="577"/>
      <c r="B355" s="577"/>
      <c r="C355" s="576"/>
      <c r="D355" s="607">
        <v>45844</v>
      </c>
      <c r="E355" s="576" t="s">
        <v>717</v>
      </c>
      <c r="F355" s="576">
        <v>16079660.199999999</v>
      </c>
      <c r="G355" s="588">
        <v>46205.919999999925</v>
      </c>
      <c r="H355" s="576">
        <v>0</v>
      </c>
      <c r="I355" s="589">
        <v>0</v>
      </c>
    </row>
    <row r="356" spans="1:9" ht="15.75" customHeight="1" x14ac:dyDescent="0.2">
      <c r="A356" s="577"/>
      <c r="B356" s="577"/>
      <c r="C356" s="576"/>
      <c r="D356" s="607">
        <v>45845</v>
      </c>
      <c r="E356" s="576" t="s">
        <v>716</v>
      </c>
      <c r="F356" s="576">
        <v>16125866.119999999</v>
      </c>
      <c r="G356" s="588">
        <v>46205.919999999925</v>
      </c>
      <c r="H356" s="576">
        <v>0</v>
      </c>
      <c r="I356" s="589">
        <v>0</v>
      </c>
    </row>
    <row r="357" spans="1:9" ht="15.75" customHeight="1" x14ac:dyDescent="0.2">
      <c r="A357" s="577"/>
      <c r="B357" s="577"/>
      <c r="C357" s="576"/>
      <c r="D357" s="607">
        <v>45846</v>
      </c>
      <c r="E357" s="576" t="s">
        <v>715</v>
      </c>
      <c r="F357" s="576">
        <v>16172072.039999999</v>
      </c>
      <c r="G357" s="588">
        <v>46205.919999999925</v>
      </c>
      <c r="H357" s="576">
        <v>0</v>
      </c>
      <c r="I357" s="589">
        <v>0</v>
      </c>
    </row>
    <row r="358" spans="1:9" ht="15.75" customHeight="1" x14ac:dyDescent="0.2">
      <c r="A358" s="577"/>
      <c r="B358" s="577"/>
      <c r="C358" s="576"/>
      <c r="D358" s="607">
        <v>45847</v>
      </c>
      <c r="E358" s="576" t="s">
        <v>721</v>
      </c>
      <c r="F358" s="576">
        <v>16218277.960000001</v>
      </c>
      <c r="G358" s="588">
        <v>46205.920000001788</v>
      </c>
      <c r="H358" s="576">
        <v>323441.44000000134</v>
      </c>
      <c r="I358" s="589">
        <v>0</v>
      </c>
    </row>
    <row r="359" spans="1:9" ht="15.75" customHeight="1" x14ac:dyDescent="0.2">
      <c r="A359" s="577"/>
      <c r="B359" s="577"/>
      <c r="C359" s="576"/>
      <c r="D359" s="607">
        <v>45848</v>
      </c>
      <c r="E359" s="576" t="s">
        <v>720</v>
      </c>
      <c r="F359" s="576">
        <v>16264483.880000001</v>
      </c>
      <c r="G359" s="588">
        <v>46205.919999999925</v>
      </c>
      <c r="H359" s="576">
        <v>0</v>
      </c>
      <c r="I359" s="589">
        <v>0</v>
      </c>
    </row>
    <row r="360" spans="1:9" ht="15.75" customHeight="1" x14ac:dyDescent="0.2">
      <c r="A360" s="577"/>
      <c r="B360" s="577"/>
      <c r="C360" s="576"/>
      <c r="D360" s="607">
        <v>45849</v>
      </c>
      <c r="E360" s="576" t="s">
        <v>719</v>
      </c>
      <c r="F360" s="576">
        <v>16310689.800000001</v>
      </c>
      <c r="G360" s="588">
        <v>46205.919999999925</v>
      </c>
      <c r="H360" s="576">
        <v>0</v>
      </c>
      <c r="I360" s="589">
        <v>0</v>
      </c>
    </row>
    <row r="361" spans="1:9" ht="15.75" customHeight="1" x14ac:dyDescent="0.2">
      <c r="A361" s="577"/>
      <c r="B361" s="577"/>
      <c r="C361" s="576"/>
      <c r="D361" s="607">
        <v>45850</v>
      </c>
      <c r="E361" s="576" t="s">
        <v>718</v>
      </c>
      <c r="F361" s="576">
        <v>16356895.720000001</v>
      </c>
      <c r="G361" s="588">
        <v>46205.919999999925</v>
      </c>
      <c r="H361" s="576">
        <v>0</v>
      </c>
      <c r="I361" s="589">
        <v>0</v>
      </c>
    </row>
    <row r="362" spans="1:9" ht="15.75" customHeight="1" x14ac:dyDescent="0.2">
      <c r="A362" s="577"/>
      <c r="B362" s="577"/>
      <c r="C362" s="576"/>
      <c r="D362" s="607">
        <v>45851</v>
      </c>
      <c r="E362" s="576" t="s">
        <v>717</v>
      </c>
      <c r="F362" s="576">
        <v>16403101.640000001</v>
      </c>
      <c r="G362" s="588">
        <v>46205.919999999925</v>
      </c>
      <c r="H362" s="576">
        <v>0</v>
      </c>
      <c r="I362" s="589">
        <v>0</v>
      </c>
    </row>
    <row r="363" spans="1:9" ht="15.75" customHeight="1" x14ac:dyDescent="0.2">
      <c r="A363" s="577"/>
      <c r="B363" s="577"/>
      <c r="C363" s="576"/>
      <c r="D363" s="607">
        <v>45852</v>
      </c>
      <c r="E363" s="576" t="s">
        <v>716</v>
      </c>
      <c r="F363" s="576">
        <v>16449307.560000001</v>
      </c>
      <c r="G363" s="588">
        <v>46205.919999999925</v>
      </c>
      <c r="H363" s="576">
        <v>0</v>
      </c>
      <c r="I363" s="589">
        <v>0</v>
      </c>
    </row>
    <row r="364" spans="1:9" ht="15.75" customHeight="1" x14ac:dyDescent="0.2">
      <c r="A364" s="577"/>
      <c r="B364" s="577"/>
      <c r="C364" s="576"/>
      <c r="D364" s="607">
        <v>45853</v>
      </c>
      <c r="E364" s="576" t="s">
        <v>715</v>
      </c>
      <c r="F364" s="576">
        <v>16495513.48</v>
      </c>
      <c r="G364" s="588">
        <v>46205.919999999925</v>
      </c>
      <c r="H364" s="576">
        <v>0</v>
      </c>
      <c r="I364" s="589">
        <v>0</v>
      </c>
    </row>
    <row r="365" spans="1:9" ht="15.75" customHeight="1" x14ac:dyDescent="0.2">
      <c r="A365" s="577"/>
      <c r="B365" s="577"/>
      <c r="C365" s="576"/>
      <c r="D365" s="607">
        <v>45854</v>
      </c>
      <c r="E365" s="576" t="s">
        <v>721</v>
      </c>
      <c r="F365" s="576">
        <v>16541719.4</v>
      </c>
      <c r="G365" s="588">
        <v>46205.919999999925</v>
      </c>
      <c r="H365" s="576">
        <v>323441.43999999948</v>
      </c>
      <c r="I365" s="589">
        <v>646882.88000000082</v>
      </c>
    </row>
    <row r="366" spans="1:9" ht="15.75" customHeight="1" x14ac:dyDescent="0.2">
      <c r="A366" s="577"/>
      <c r="B366" s="577"/>
      <c r="C366" s="576"/>
      <c r="D366" s="607">
        <v>45855</v>
      </c>
      <c r="E366" s="576" t="s">
        <v>720</v>
      </c>
      <c r="F366" s="576">
        <v>16587925.32</v>
      </c>
      <c r="G366" s="588">
        <v>46205.919999999925</v>
      </c>
      <c r="H366" s="576">
        <v>0</v>
      </c>
      <c r="I366" s="589">
        <v>0</v>
      </c>
    </row>
    <row r="367" spans="1:9" ht="15.75" customHeight="1" x14ac:dyDescent="0.2">
      <c r="A367" s="577"/>
      <c r="B367" s="577"/>
      <c r="C367" s="576"/>
      <c r="D367" s="607">
        <v>45856</v>
      </c>
      <c r="E367" s="576" t="s">
        <v>719</v>
      </c>
      <c r="F367" s="576">
        <v>16634131.24</v>
      </c>
      <c r="G367" s="588">
        <v>46205.919999999925</v>
      </c>
      <c r="H367" s="576">
        <v>0</v>
      </c>
      <c r="I367" s="589">
        <v>0</v>
      </c>
    </row>
    <row r="368" spans="1:9" ht="15.75" customHeight="1" x14ac:dyDescent="0.2">
      <c r="A368" s="577"/>
      <c r="B368" s="577"/>
      <c r="C368" s="576"/>
      <c r="D368" s="607">
        <v>45857</v>
      </c>
      <c r="E368" s="576" t="s">
        <v>718</v>
      </c>
      <c r="F368" s="576">
        <v>16680337.16</v>
      </c>
      <c r="G368" s="588">
        <v>46205.919999999925</v>
      </c>
      <c r="H368" s="576">
        <v>0</v>
      </c>
      <c r="I368" s="589">
        <v>0</v>
      </c>
    </row>
    <row r="369" spans="1:9" ht="15.75" customHeight="1" x14ac:dyDescent="0.2">
      <c r="A369" s="577"/>
      <c r="B369" s="577"/>
      <c r="C369" s="576"/>
      <c r="D369" s="607">
        <v>45858</v>
      </c>
      <c r="E369" s="576" t="s">
        <v>717</v>
      </c>
      <c r="F369" s="576">
        <v>16726543.08</v>
      </c>
      <c r="G369" s="588">
        <v>46205.919999999925</v>
      </c>
      <c r="H369" s="576">
        <v>0</v>
      </c>
      <c r="I369" s="589">
        <v>0</v>
      </c>
    </row>
    <row r="370" spans="1:9" ht="15.75" customHeight="1" x14ac:dyDescent="0.2">
      <c r="A370" s="577"/>
      <c r="B370" s="577"/>
      <c r="C370" s="576"/>
      <c r="D370" s="607">
        <v>45859</v>
      </c>
      <c r="E370" s="576" t="s">
        <v>716</v>
      </c>
      <c r="F370" s="576">
        <v>16772749</v>
      </c>
      <c r="G370" s="588">
        <v>46205.919999999925</v>
      </c>
      <c r="H370" s="576">
        <v>0</v>
      </c>
      <c r="I370" s="589">
        <v>0</v>
      </c>
    </row>
    <row r="371" spans="1:9" ht="15.75" customHeight="1" x14ac:dyDescent="0.2">
      <c r="A371" s="577"/>
      <c r="B371" s="577"/>
      <c r="C371" s="576"/>
      <c r="D371" s="607">
        <v>45860</v>
      </c>
      <c r="E371" s="576" t="s">
        <v>715</v>
      </c>
      <c r="F371" s="576">
        <v>16818954.920000002</v>
      </c>
      <c r="G371" s="588">
        <v>46205.920000001788</v>
      </c>
      <c r="H371" s="576">
        <v>0</v>
      </c>
      <c r="I371" s="589">
        <v>0</v>
      </c>
    </row>
    <row r="372" spans="1:9" ht="15.75" customHeight="1" x14ac:dyDescent="0.2">
      <c r="A372" s="577"/>
      <c r="B372" s="577"/>
      <c r="C372" s="576"/>
      <c r="D372" s="607">
        <v>45861</v>
      </c>
      <c r="E372" s="576" t="s">
        <v>721</v>
      </c>
      <c r="F372" s="576">
        <v>16865160.84</v>
      </c>
      <c r="G372" s="588">
        <v>46205.919999998063</v>
      </c>
      <c r="H372" s="576">
        <v>323441.43999999948</v>
      </c>
      <c r="I372" s="589">
        <v>0</v>
      </c>
    </row>
    <row r="373" spans="1:9" ht="15.75" customHeight="1" x14ac:dyDescent="0.2">
      <c r="A373" s="577"/>
      <c r="B373" s="577"/>
      <c r="C373" s="576"/>
      <c r="D373" s="607">
        <v>45862</v>
      </c>
      <c r="E373" s="576" t="s">
        <v>720</v>
      </c>
      <c r="F373" s="576">
        <v>16911366.760000002</v>
      </c>
      <c r="G373" s="588">
        <v>46205.920000001788</v>
      </c>
      <c r="H373" s="576">
        <v>0</v>
      </c>
      <c r="I373" s="589">
        <v>0</v>
      </c>
    </row>
    <row r="374" spans="1:9" ht="15.75" customHeight="1" x14ac:dyDescent="0.2">
      <c r="A374" s="577"/>
      <c r="B374" s="577"/>
      <c r="C374" s="576"/>
      <c r="D374" s="607">
        <v>45863</v>
      </c>
      <c r="E374" s="576" t="s">
        <v>719</v>
      </c>
      <c r="F374" s="576">
        <v>16957572.68</v>
      </c>
      <c r="G374" s="588">
        <v>46205.919999998063</v>
      </c>
      <c r="H374" s="576">
        <v>0</v>
      </c>
      <c r="I374" s="589">
        <v>0</v>
      </c>
    </row>
    <row r="375" spans="1:9" ht="15.75" customHeight="1" x14ac:dyDescent="0.2">
      <c r="A375" s="577"/>
      <c r="B375" s="577"/>
      <c r="C375" s="576"/>
      <c r="D375" s="607">
        <v>45864</v>
      </c>
      <c r="E375" s="576" t="s">
        <v>718</v>
      </c>
      <c r="F375" s="576">
        <v>17003778.600000001</v>
      </c>
      <c r="G375" s="588">
        <v>46205.920000001788</v>
      </c>
      <c r="H375" s="576">
        <v>0</v>
      </c>
      <c r="I375" s="589">
        <v>0</v>
      </c>
    </row>
    <row r="376" spans="1:9" ht="15.75" customHeight="1" x14ac:dyDescent="0.2">
      <c r="A376" s="577"/>
      <c r="B376" s="577"/>
      <c r="C376" s="576"/>
      <c r="D376" s="607">
        <v>45865</v>
      </c>
      <c r="E376" s="576" t="s">
        <v>717</v>
      </c>
      <c r="F376" s="576">
        <v>17049984.52</v>
      </c>
      <c r="G376" s="588">
        <v>46205.919999998063</v>
      </c>
      <c r="H376" s="576">
        <v>0</v>
      </c>
      <c r="I376" s="589">
        <v>0</v>
      </c>
    </row>
    <row r="377" spans="1:9" ht="15.75" customHeight="1" x14ac:dyDescent="0.2">
      <c r="A377" s="577"/>
      <c r="B377" s="577"/>
      <c r="C377" s="576"/>
      <c r="D377" s="607">
        <v>45866</v>
      </c>
      <c r="E377" s="576" t="s">
        <v>716</v>
      </c>
      <c r="F377" s="576">
        <v>17096190.440000001</v>
      </c>
      <c r="G377" s="588">
        <v>46205.920000001788</v>
      </c>
      <c r="H377" s="576">
        <v>0</v>
      </c>
      <c r="I377" s="589">
        <v>0</v>
      </c>
    </row>
    <row r="378" spans="1:9" ht="15.75" customHeight="1" x14ac:dyDescent="0.2">
      <c r="A378" s="577"/>
      <c r="B378" s="577"/>
      <c r="C378" s="576"/>
      <c r="D378" s="607">
        <v>45867</v>
      </c>
      <c r="E378" s="576" t="s">
        <v>715</v>
      </c>
      <c r="F378" s="576">
        <v>17142396.359999999</v>
      </c>
      <c r="G378" s="588">
        <v>46205.919999998063</v>
      </c>
      <c r="H378" s="576">
        <v>0</v>
      </c>
      <c r="I378" s="589">
        <v>0</v>
      </c>
    </row>
    <row r="379" spans="1:9" ht="15.75" customHeight="1" x14ac:dyDescent="0.2">
      <c r="A379" s="577"/>
      <c r="B379" s="577"/>
      <c r="C379" s="576"/>
      <c r="D379" s="607">
        <v>45868</v>
      </c>
      <c r="E379" s="576" t="s">
        <v>721</v>
      </c>
      <c r="F379" s="576">
        <v>17188602.280000001</v>
      </c>
      <c r="G379" s="588">
        <v>46205.920000001788</v>
      </c>
      <c r="H379" s="576">
        <v>323441.44000000134</v>
      </c>
      <c r="I379" s="589">
        <v>646882.88000000082</v>
      </c>
    </row>
    <row r="380" spans="1:9" ht="15.75" customHeight="1" x14ac:dyDescent="0.2">
      <c r="A380" s="577"/>
      <c r="B380" s="577"/>
      <c r="C380" s="576"/>
      <c r="D380" s="607">
        <v>45869</v>
      </c>
      <c r="E380" s="576" t="s">
        <v>720</v>
      </c>
      <c r="F380" s="576">
        <v>17234808.199999999</v>
      </c>
      <c r="G380" s="588">
        <v>46205.919999998063</v>
      </c>
      <c r="H380" s="576">
        <v>0</v>
      </c>
      <c r="I380" s="589">
        <v>0</v>
      </c>
    </row>
    <row r="381" spans="1:9" ht="15.75" customHeight="1" x14ac:dyDescent="0.2">
      <c r="A381" s="577"/>
      <c r="B381" s="577"/>
      <c r="C381" s="576"/>
      <c r="D381" s="607">
        <v>45870</v>
      </c>
      <c r="E381" s="576" t="s">
        <v>719</v>
      </c>
      <c r="F381" s="576">
        <v>17281014.120000001</v>
      </c>
      <c r="G381" s="588">
        <v>46205.920000001788</v>
      </c>
      <c r="H381" s="576">
        <v>0</v>
      </c>
      <c r="I381" s="589">
        <v>0</v>
      </c>
    </row>
    <row r="382" spans="1:9" ht="15.75" customHeight="1" x14ac:dyDescent="0.2">
      <c r="A382" s="577"/>
      <c r="B382" s="577"/>
      <c r="C382" s="576"/>
      <c r="D382" s="607">
        <v>45871</v>
      </c>
      <c r="E382" s="576" t="s">
        <v>718</v>
      </c>
      <c r="F382" s="576">
        <v>17327220.050000001</v>
      </c>
      <c r="G382" s="588">
        <v>46205.929999999702</v>
      </c>
      <c r="H382" s="576">
        <v>0</v>
      </c>
      <c r="I382" s="589">
        <v>0</v>
      </c>
    </row>
    <row r="383" spans="1:9" ht="15.75" customHeight="1" x14ac:dyDescent="0.2">
      <c r="A383" s="577"/>
      <c r="B383" s="577"/>
      <c r="C383" s="576"/>
      <c r="D383" s="607">
        <v>45872</v>
      </c>
      <c r="E383" s="576" t="s">
        <v>717</v>
      </c>
      <c r="F383" s="576">
        <v>17373425.969999999</v>
      </c>
      <c r="G383" s="588">
        <v>46205.919999998063</v>
      </c>
      <c r="H383" s="576">
        <v>0</v>
      </c>
      <c r="I383" s="589">
        <v>0</v>
      </c>
    </row>
    <row r="384" spans="1:9" ht="15.75" customHeight="1" x14ac:dyDescent="0.2">
      <c r="A384" s="577"/>
      <c r="B384" s="577"/>
      <c r="C384" s="576"/>
      <c r="D384" s="607">
        <v>45873</v>
      </c>
      <c r="E384" s="576" t="s">
        <v>716</v>
      </c>
      <c r="F384" s="576">
        <v>17419631.890000001</v>
      </c>
      <c r="G384" s="588">
        <v>46205.920000001788</v>
      </c>
      <c r="H384" s="576">
        <v>0</v>
      </c>
      <c r="I384" s="589">
        <v>0</v>
      </c>
    </row>
    <row r="385" spans="1:9" ht="15.75" customHeight="1" x14ac:dyDescent="0.2">
      <c r="A385" s="577"/>
      <c r="B385" s="577"/>
      <c r="C385" s="576"/>
      <c r="D385" s="607">
        <v>45874</v>
      </c>
      <c r="E385" s="576" t="s">
        <v>715</v>
      </c>
      <c r="F385" s="576">
        <v>17465837.809999999</v>
      </c>
      <c r="G385" s="588">
        <v>46205.919999998063</v>
      </c>
      <c r="H385" s="576">
        <v>0</v>
      </c>
      <c r="I385" s="589">
        <v>0</v>
      </c>
    </row>
    <row r="386" spans="1:9" ht="15.75" customHeight="1" x14ac:dyDescent="0.2">
      <c r="A386" s="577"/>
      <c r="B386" s="577"/>
      <c r="C386" s="576"/>
      <c r="D386" s="607">
        <v>45875</v>
      </c>
      <c r="E386" s="576" t="s">
        <v>721</v>
      </c>
      <c r="F386" s="576">
        <v>17512043.73</v>
      </c>
      <c r="G386" s="588">
        <v>46205.920000001788</v>
      </c>
      <c r="H386" s="576">
        <v>323441.44999999925</v>
      </c>
      <c r="I386" s="589">
        <v>0</v>
      </c>
    </row>
    <row r="387" spans="1:9" ht="15.75" customHeight="1" x14ac:dyDescent="0.2">
      <c r="A387" s="577"/>
      <c r="B387" s="577"/>
      <c r="C387" s="576"/>
      <c r="D387" s="607">
        <v>45876</v>
      </c>
      <c r="E387" s="576" t="s">
        <v>720</v>
      </c>
      <c r="F387" s="576">
        <v>17558249.649999999</v>
      </c>
      <c r="G387" s="588">
        <v>46205.919999998063</v>
      </c>
      <c r="H387" s="576">
        <v>0</v>
      </c>
      <c r="I387" s="589">
        <v>0</v>
      </c>
    </row>
    <row r="388" spans="1:9" ht="15.75" customHeight="1" x14ac:dyDescent="0.2">
      <c r="A388" s="577"/>
      <c r="B388" s="577"/>
      <c r="C388" s="576"/>
      <c r="D388" s="607">
        <v>45877</v>
      </c>
      <c r="E388" s="576" t="s">
        <v>719</v>
      </c>
      <c r="F388" s="576">
        <v>17604455.57</v>
      </c>
      <c r="G388" s="588">
        <v>46205.920000001788</v>
      </c>
      <c r="H388" s="576">
        <v>0</v>
      </c>
      <c r="I388" s="589">
        <v>0</v>
      </c>
    </row>
    <row r="389" spans="1:9" ht="15.75" customHeight="1" x14ac:dyDescent="0.2">
      <c r="A389" s="577"/>
      <c r="B389" s="577"/>
      <c r="C389" s="576"/>
      <c r="D389" s="607">
        <v>45878</v>
      </c>
      <c r="E389" s="576" t="s">
        <v>718</v>
      </c>
      <c r="F389" s="576">
        <v>17650661.489999998</v>
      </c>
      <c r="G389" s="588">
        <v>46205.919999998063</v>
      </c>
      <c r="H389" s="576">
        <v>0</v>
      </c>
      <c r="I389" s="589">
        <v>0</v>
      </c>
    </row>
    <row r="390" spans="1:9" ht="15.75" customHeight="1" x14ac:dyDescent="0.2">
      <c r="A390" s="577"/>
      <c r="B390" s="577"/>
      <c r="C390" s="576"/>
      <c r="D390" s="607">
        <v>45879</v>
      </c>
      <c r="E390" s="576" t="s">
        <v>717</v>
      </c>
      <c r="F390" s="576">
        <v>17696867.41</v>
      </c>
      <c r="G390" s="588">
        <v>46205.920000001788</v>
      </c>
      <c r="H390" s="576">
        <v>0</v>
      </c>
      <c r="I390" s="589">
        <v>0</v>
      </c>
    </row>
    <row r="391" spans="1:9" ht="15.75" customHeight="1" x14ac:dyDescent="0.2">
      <c r="A391" s="577"/>
      <c r="B391" s="577"/>
      <c r="C391" s="576"/>
      <c r="D391" s="607">
        <v>45880</v>
      </c>
      <c r="E391" s="576" t="s">
        <v>716</v>
      </c>
      <c r="F391" s="576">
        <v>17743073.329999998</v>
      </c>
      <c r="G391" s="588">
        <v>46205.919999998063</v>
      </c>
      <c r="H391" s="576">
        <v>0</v>
      </c>
      <c r="I391" s="589">
        <v>0</v>
      </c>
    </row>
    <row r="392" spans="1:9" ht="15.75" customHeight="1" x14ac:dyDescent="0.2">
      <c r="A392" s="577"/>
      <c r="B392" s="577"/>
      <c r="C392" s="576"/>
      <c r="D392" s="607">
        <v>45881</v>
      </c>
      <c r="E392" s="576" t="s">
        <v>715</v>
      </c>
      <c r="F392" s="576">
        <v>17789279.25</v>
      </c>
      <c r="G392" s="588">
        <v>46205.920000001788</v>
      </c>
      <c r="H392" s="576">
        <v>0</v>
      </c>
      <c r="I392" s="589">
        <v>0</v>
      </c>
    </row>
    <row r="393" spans="1:9" ht="15.75" customHeight="1" x14ac:dyDescent="0.2">
      <c r="A393" s="577"/>
      <c r="B393" s="577"/>
      <c r="C393" s="576"/>
      <c r="D393" s="607">
        <v>45882</v>
      </c>
      <c r="E393" s="576" t="s">
        <v>721</v>
      </c>
      <c r="F393" s="576">
        <v>17835485.170000002</v>
      </c>
      <c r="G393" s="588">
        <v>46205.920000001788</v>
      </c>
      <c r="H393" s="576">
        <v>323441.44000000134</v>
      </c>
      <c r="I393" s="589">
        <v>646882.8900000006</v>
      </c>
    </row>
    <row r="394" spans="1:9" ht="15.75" customHeight="1" x14ac:dyDescent="0.2">
      <c r="A394" s="577"/>
      <c r="B394" s="577"/>
      <c r="C394" s="576"/>
      <c r="D394" s="607">
        <v>45883</v>
      </c>
      <c r="E394" s="576" t="s">
        <v>720</v>
      </c>
      <c r="F394" s="576">
        <v>17881691.09</v>
      </c>
      <c r="G394" s="588">
        <v>46205.919999998063</v>
      </c>
      <c r="H394" s="576">
        <v>0</v>
      </c>
      <c r="I394" s="589">
        <v>0</v>
      </c>
    </row>
    <row r="395" spans="1:9" ht="15.75" customHeight="1" x14ac:dyDescent="0.2">
      <c r="A395" s="577"/>
      <c r="B395" s="577"/>
      <c r="C395" s="576"/>
      <c r="D395" s="607">
        <v>45884</v>
      </c>
      <c r="E395" s="576" t="s">
        <v>719</v>
      </c>
      <c r="F395" s="576">
        <v>17927897.010000002</v>
      </c>
      <c r="G395" s="588">
        <v>46205.920000001788</v>
      </c>
      <c r="H395" s="576">
        <v>0</v>
      </c>
      <c r="I395" s="589">
        <v>0</v>
      </c>
    </row>
    <row r="396" spans="1:9" ht="15.75" customHeight="1" x14ac:dyDescent="0.2">
      <c r="A396" s="577"/>
      <c r="B396" s="577"/>
      <c r="C396" s="576"/>
      <c r="D396" s="607">
        <v>45885</v>
      </c>
      <c r="E396" s="576" t="s">
        <v>718</v>
      </c>
      <c r="F396" s="576">
        <v>17974102.93</v>
      </c>
      <c r="G396" s="588">
        <v>46205.919999998063</v>
      </c>
      <c r="H396" s="576">
        <v>0</v>
      </c>
      <c r="I396" s="589">
        <v>0</v>
      </c>
    </row>
    <row r="397" spans="1:9" ht="15.75" customHeight="1" x14ac:dyDescent="0.2">
      <c r="A397" s="577"/>
      <c r="B397" s="577"/>
      <c r="C397" s="576"/>
      <c r="D397" s="607">
        <v>45886</v>
      </c>
      <c r="E397" s="576" t="s">
        <v>717</v>
      </c>
      <c r="F397" s="576">
        <v>18020308.850000001</v>
      </c>
      <c r="G397" s="588">
        <v>46205.920000001788</v>
      </c>
      <c r="H397" s="576">
        <v>0</v>
      </c>
      <c r="I397" s="589">
        <v>0</v>
      </c>
    </row>
    <row r="398" spans="1:9" ht="15.75" customHeight="1" x14ac:dyDescent="0.2">
      <c r="A398" s="577"/>
      <c r="B398" s="577"/>
      <c r="C398" s="576"/>
      <c r="D398" s="607">
        <v>45887</v>
      </c>
      <c r="E398" s="576" t="s">
        <v>716</v>
      </c>
      <c r="F398" s="576">
        <v>18066514.77</v>
      </c>
      <c r="G398" s="588">
        <v>46205.919999998063</v>
      </c>
      <c r="H398" s="576">
        <v>0</v>
      </c>
      <c r="I398" s="589">
        <v>0</v>
      </c>
    </row>
    <row r="399" spans="1:9" ht="15.75" customHeight="1" x14ac:dyDescent="0.2">
      <c r="A399" s="577"/>
      <c r="B399" s="577"/>
      <c r="C399" s="576"/>
      <c r="D399" s="607">
        <v>45888</v>
      </c>
      <c r="E399" s="576" t="s">
        <v>715</v>
      </c>
      <c r="F399" s="576">
        <v>18112720.690000001</v>
      </c>
      <c r="G399" s="588">
        <v>46205.920000001788</v>
      </c>
      <c r="H399" s="576">
        <v>0</v>
      </c>
      <c r="I399" s="589">
        <v>0</v>
      </c>
    </row>
    <row r="400" spans="1:9" ht="15.75" customHeight="1" x14ac:dyDescent="0.2">
      <c r="A400" s="577"/>
      <c r="B400" s="577"/>
      <c r="C400" s="576"/>
      <c r="D400" s="607">
        <v>45889</v>
      </c>
      <c r="E400" s="576" t="s">
        <v>721</v>
      </c>
      <c r="F400" s="576">
        <v>18158926.609999999</v>
      </c>
      <c r="G400" s="588">
        <v>46205.919999998063</v>
      </c>
      <c r="H400" s="576">
        <v>323441.43999999762</v>
      </c>
      <c r="I400" s="589">
        <v>0</v>
      </c>
    </row>
    <row r="401" spans="1:9" ht="15.75" customHeight="1" x14ac:dyDescent="0.2">
      <c r="A401" s="577"/>
      <c r="B401" s="577"/>
      <c r="C401" s="576"/>
      <c r="D401" s="607">
        <v>45890</v>
      </c>
      <c r="E401" s="576" t="s">
        <v>720</v>
      </c>
      <c r="F401" s="576">
        <v>18205132.530000001</v>
      </c>
      <c r="G401" s="588">
        <v>46205.920000001788</v>
      </c>
      <c r="H401" s="576">
        <v>0</v>
      </c>
      <c r="I401" s="589">
        <v>0</v>
      </c>
    </row>
    <row r="402" spans="1:9" ht="15.75" customHeight="1" x14ac:dyDescent="0.2">
      <c r="A402" s="577"/>
      <c r="B402" s="577"/>
      <c r="C402" s="576"/>
      <c r="D402" s="607">
        <v>45891</v>
      </c>
      <c r="E402" s="576" t="s">
        <v>719</v>
      </c>
      <c r="F402" s="576">
        <v>18251338.449999999</v>
      </c>
      <c r="G402" s="588">
        <v>46205.919999998063</v>
      </c>
      <c r="H402" s="576">
        <v>0</v>
      </c>
      <c r="I402" s="589">
        <v>0</v>
      </c>
    </row>
    <row r="403" spans="1:9" ht="15.75" customHeight="1" x14ac:dyDescent="0.2">
      <c r="A403" s="577"/>
      <c r="B403" s="577"/>
      <c r="C403" s="576"/>
      <c r="D403" s="607">
        <v>45892</v>
      </c>
      <c r="E403" s="576" t="s">
        <v>718</v>
      </c>
      <c r="F403" s="576">
        <v>18297544.370000001</v>
      </c>
      <c r="G403" s="588">
        <v>46205.920000001788</v>
      </c>
      <c r="H403" s="576">
        <v>0</v>
      </c>
      <c r="I403" s="589">
        <v>0</v>
      </c>
    </row>
    <row r="404" spans="1:9" ht="15.75" customHeight="1" x14ac:dyDescent="0.2">
      <c r="A404" s="577"/>
      <c r="B404" s="577"/>
      <c r="C404" s="576"/>
      <c r="D404" s="607">
        <v>45893</v>
      </c>
      <c r="E404" s="576" t="s">
        <v>717</v>
      </c>
      <c r="F404" s="576">
        <v>18343750.289999999</v>
      </c>
      <c r="G404" s="588">
        <v>46205.919999998063</v>
      </c>
      <c r="H404" s="576">
        <v>0</v>
      </c>
      <c r="I404" s="589">
        <v>0</v>
      </c>
    </row>
    <row r="405" spans="1:9" ht="15.75" customHeight="1" x14ac:dyDescent="0.2">
      <c r="A405" s="577"/>
      <c r="B405" s="577"/>
      <c r="C405" s="576"/>
      <c r="D405" s="607">
        <v>45894</v>
      </c>
      <c r="E405" s="576" t="s">
        <v>716</v>
      </c>
      <c r="F405" s="576">
        <v>18389956.210000001</v>
      </c>
      <c r="G405" s="588">
        <v>46205.920000001788</v>
      </c>
      <c r="H405" s="576">
        <v>0</v>
      </c>
      <c r="I405" s="589">
        <v>0</v>
      </c>
    </row>
    <row r="406" spans="1:9" ht="15.75" customHeight="1" x14ac:dyDescent="0.2">
      <c r="A406" s="577"/>
      <c r="B406" s="577"/>
      <c r="C406" s="576"/>
      <c r="D406" s="607">
        <v>45895</v>
      </c>
      <c r="E406" s="576" t="s">
        <v>715</v>
      </c>
      <c r="F406" s="576">
        <v>18436162.129999999</v>
      </c>
      <c r="G406" s="588">
        <v>46205.919999998063</v>
      </c>
      <c r="H406" s="576">
        <v>0</v>
      </c>
      <c r="I406" s="589">
        <v>0</v>
      </c>
    </row>
    <row r="407" spans="1:9" ht="15.75" customHeight="1" x14ac:dyDescent="0.2">
      <c r="A407" s="577"/>
      <c r="B407" s="577"/>
      <c r="C407" s="576"/>
      <c r="D407" s="607">
        <v>45896</v>
      </c>
      <c r="E407" s="576" t="s">
        <v>721</v>
      </c>
      <c r="F407" s="576">
        <v>18482368.050000001</v>
      </c>
      <c r="G407" s="588">
        <v>46205.920000001788</v>
      </c>
      <c r="H407" s="576">
        <v>323441.44000000134</v>
      </c>
      <c r="I407" s="589">
        <v>646882.87999999896</v>
      </c>
    </row>
    <row r="408" spans="1:9" ht="15.75" customHeight="1" x14ac:dyDescent="0.2">
      <c r="A408" s="577"/>
      <c r="B408" s="577"/>
      <c r="C408" s="576"/>
      <c r="D408" s="607">
        <v>45897</v>
      </c>
      <c r="E408" s="576" t="s">
        <v>720</v>
      </c>
      <c r="F408" s="576">
        <v>18528573.969999999</v>
      </c>
      <c r="G408" s="588">
        <v>46205.919999998063</v>
      </c>
      <c r="H408" s="576">
        <v>0</v>
      </c>
      <c r="I408" s="589">
        <v>0</v>
      </c>
    </row>
    <row r="409" spans="1:9" ht="15.75" customHeight="1" x14ac:dyDescent="0.2">
      <c r="A409" s="577"/>
      <c r="B409" s="577"/>
      <c r="C409" s="576"/>
      <c r="D409" s="607">
        <v>45898</v>
      </c>
      <c r="E409" s="576" t="s">
        <v>719</v>
      </c>
      <c r="F409" s="576">
        <v>18574779.890000001</v>
      </c>
      <c r="G409" s="588">
        <v>46205.920000001788</v>
      </c>
      <c r="H409" s="576">
        <v>0</v>
      </c>
      <c r="I409" s="589">
        <v>0</v>
      </c>
    </row>
    <row r="410" spans="1:9" ht="15.75" customHeight="1" x14ac:dyDescent="0.2">
      <c r="A410" s="577"/>
      <c r="B410" s="577"/>
      <c r="C410" s="576"/>
      <c r="D410" s="607">
        <v>45899</v>
      </c>
      <c r="E410" s="576" t="s">
        <v>718</v>
      </c>
      <c r="F410" s="576">
        <v>18620985.809999999</v>
      </c>
      <c r="G410" s="588">
        <v>46205.919999998063</v>
      </c>
      <c r="H410" s="576">
        <v>0</v>
      </c>
      <c r="I410" s="589">
        <v>0</v>
      </c>
    </row>
    <row r="411" spans="1:9" ht="15.75" customHeight="1" x14ac:dyDescent="0.2">
      <c r="A411" s="577"/>
      <c r="B411" s="577"/>
      <c r="C411" s="576"/>
      <c r="D411" s="607">
        <v>45900</v>
      </c>
      <c r="E411" s="576" t="s">
        <v>717</v>
      </c>
      <c r="F411" s="576">
        <v>18667191.73</v>
      </c>
      <c r="G411" s="588">
        <v>46205.920000001788</v>
      </c>
      <c r="H411" s="576">
        <v>0</v>
      </c>
      <c r="I411" s="589">
        <v>0</v>
      </c>
    </row>
    <row r="412" spans="1:9" ht="15.75" customHeight="1" x14ac:dyDescent="0.2">
      <c r="A412" s="577"/>
      <c r="B412" s="577"/>
      <c r="C412" s="576"/>
      <c r="D412" s="607">
        <v>45901</v>
      </c>
      <c r="E412" s="576" t="s">
        <v>716</v>
      </c>
      <c r="F412" s="576">
        <v>18713397.649999999</v>
      </c>
      <c r="G412" s="588">
        <v>46205.919999998063</v>
      </c>
      <c r="H412" s="576">
        <v>0</v>
      </c>
      <c r="I412" s="589">
        <v>0</v>
      </c>
    </row>
    <row r="413" spans="1:9" ht="15.75" customHeight="1" x14ac:dyDescent="0.2">
      <c r="A413" s="577"/>
      <c r="B413" s="577"/>
      <c r="C413" s="576"/>
      <c r="D413" s="607">
        <v>45902</v>
      </c>
      <c r="E413" s="576" t="s">
        <v>715</v>
      </c>
      <c r="F413" s="576">
        <v>18759603.57</v>
      </c>
      <c r="G413" s="588">
        <v>46205.920000001788</v>
      </c>
      <c r="H413" s="576">
        <v>0</v>
      </c>
      <c r="I413" s="589">
        <v>0</v>
      </c>
    </row>
    <row r="414" spans="1:9" ht="15.75" customHeight="1" x14ac:dyDescent="0.2">
      <c r="A414" s="577"/>
      <c r="B414" s="577"/>
      <c r="C414" s="576"/>
      <c r="D414" s="607">
        <v>45903</v>
      </c>
      <c r="E414" s="576" t="s">
        <v>721</v>
      </c>
      <c r="F414" s="576">
        <v>18805809.489999998</v>
      </c>
      <c r="G414" s="588">
        <v>46205.919999998063</v>
      </c>
      <c r="H414" s="576">
        <v>323441.43999999762</v>
      </c>
      <c r="I414" s="589">
        <v>0</v>
      </c>
    </row>
    <row r="415" spans="1:9" ht="15.75" customHeight="1" x14ac:dyDescent="0.2">
      <c r="A415" s="577"/>
      <c r="B415" s="577"/>
      <c r="C415" s="576"/>
      <c r="D415" s="607">
        <v>45904</v>
      </c>
      <c r="E415" s="576" t="s">
        <v>720</v>
      </c>
      <c r="F415" s="576">
        <v>18852015.41</v>
      </c>
      <c r="G415" s="588">
        <v>46205.920000001788</v>
      </c>
      <c r="H415" s="576">
        <v>0</v>
      </c>
      <c r="I415" s="589">
        <v>0</v>
      </c>
    </row>
    <row r="416" spans="1:9" ht="15.75" customHeight="1" x14ac:dyDescent="0.2">
      <c r="A416" s="577"/>
      <c r="B416" s="577"/>
      <c r="C416" s="576"/>
      <c r="D416" s="607">
        <v>45905</v>
      </c>
      <c r="E416" s="576" t="s">
        <v>719</v>
      </c>
      <c r="F416" s="576">
        <v>18898221.329999998</v>
      </c>
      <c r="G416" s="588">
        <v>46205.919999998063</v>
      </c>
      <c r="H416" s="576">
        <v>0</v>
      </c>
      <c r="I416" s="589">
        <v>0</v>
      </c>
    </row>
    <row r="417" spans="1:9" ht="15.75" customHeight="1" x14ac:dyDescent="0.2">
      <c r="A417" s="577"/>
      <c r="B417" s="577"/>
      <c r="C417" s="576"/>
      <c r="D417" s="607">
        <v>45906</v>
      </c>
      <c r="E417" s="576" t="s">
        <v>718</v>
      </c>
      <c r="F417" s="576">
        <v>18944427.25</v>
      </c>
      <c r="G417" s="588">
        <v>46205.920000001788</v>
      </c>
      <c r="H417" s="576">
        <v>0</v>
      </c>
      <c r="I417" s="589">
        <v>0</v>
      </c>
    </row>
    <row r="418" spans="1:9" ht="15.75" customHeight="1" x14ac:dyDescent="0.2">
      <c r="A418" s="577"/>
      <c r="B418" s="577"/>
      <c r="C418" s="576"/>
      <c r="D418" s="607">
        <v>45907</v>
      </c>
      <c r="E418" s="576" t="s">
        <v>717</v>
      </c>
      <c r="F418" s="576">
        <v>18990633.170000002</v>
      </c>
      <c r="G418" s="588">
        <v>46205.920000001788</v>
      </c>
      <c r="H418" s="576">
        <v>0</v>
      </c>
      <c r="I418" s="589">
        <v>0</v>
      </c>
    </row>
    <row r="419" spans="1:9" ht="15.75" customHeight="1" x14ac:dyDescent="0.2">
      <c r="A419" s="577"/>
      <c r="B419" s="577"/>
      <c r="C419" s="576"/>
      <c r="D419" s="607">
        <v>45908</v>
      </c>
      <c r="E419" s="576" t="s">
        <v>716</v>
      </c>
      <c r="F419" s="576">
        <v>19036839.09</v>
      </c>
      <c r="G419" s="588">
        <v>46205.919999998063</v>
      </c>
      <c r="H419" s="576">
        <v>0</v>
      </c>
      <c r="I419" s="589">
        <v>0</v>
      </c>
    </row>
    <row r="420" spans="1:9" ht="15.75" customHeight="1" x14ac:dyDescent="0.2">
      <c r="A420" s="577"/>
      <c r="B420" s="577"/>
      <c r="C420" s="576"/>
      <c r="D420" s="607">
        <v>45909</v>
      </c>
      <c r="E420" s="576" t="s">
        <v>715</v>
      </c>
      <c r="F420" s="576">
        <v>19083045.010000002</v>
      </c>
      <c r="G420" s="588">
        <v>46205.920000001788</v>
      </c>
      <c r="H420" s="576">
        <v>0</v>
      </c>
      <c r="I420" s="589">
        <v>0</v>
      </c>
    </row>
    <row r="421" spans="1:9" ht="15.75" customHeight="1" x14ac:dyDescent="0.2">
      <c r="A421" s="577"/>
      <c r="B421" s="577"/>
      <c r="C421" s="576"/>
      <c r="D421" s="607">
        <v>45910</v>
      </c>
      <c r="E421" s="576" t="s">
        <v>721</v>
      </c>
      <c r="F421" s="576">
        <v>19129250.93</v>
      </c>
      <c r="G421" s="588">
        <v>46205.919999998063</v>
      </c>
      <c r="H421" s="576">
        <v>323441.44000000134</v>
      </c>
      <c r="I421" s="589">
        <v>646882.87999999896</v>
      </c>
    </row>
    <row r="422" spans="1:9" ht="15.75" customHeight="1" x14ac:dyDescent="0.2">
      <c r="A422" s="577"/>
      <c r="B422" s="577"/>
      <c r="C422" s="576"/>
      <c r="D422" s="607">
        <v>45911</v>
      </c>
      <c r="E422" s="576" t="s">
        <v>720</v>
      </c>
      <c r="F422" s="576">
        <v>19175456.850000001</v>
      </c>
      <c r="G422" s="588">
        <v>46205.920000001788</v>
      </c>
      <c r="H422" s="576">
        <v>0</v>
      </c>
      <c r="I422" s="589">
        <v>0</v>
      </c>
    </row>
    <row r="423" spans="1:9" ht="15.75" customHeight="1" x14ac:dyDescent="0.2">
      <c r="A423" s="577"/>
      <c r="B423" s="577"/>
      <c r="C423" s="576"/>
      <c r="D423" s="607">
        <v>45912</v>
      </c>
      <c r="E423" s="576" t="s">
        <v>719</v>
      </c>
      <c r="F423" s="576">
        <v>19221662.77</v>
      </c>
      <c r="G423" s="588">
        <v>46205.919999998063</v>
      </c>
      <c r="H423" s="576">
        <v>0</v>
      </c>
      <c r="I423" s="589">
        <v>0</v>
      </c>
    </row>
    <row r="424" spans="1:9" ht="15.75" customHeight="1" x14ac:dyDescent="0.2">
      <c r="A424" s="577"/>
      <c r="B424" s="577"/>
      <c r="C424" s="576"/>
      <c r="D424" s="607">
        <v>45913</v>
      </c>
      <c r="E424" s="576" t="s">
        <v>718</v>
      </c>
      <c r="F424" s="576">
        <v>19267868.690000001</v>
      </c>
      <c r="G424" s="588">
        <v>46205.920000001788</v>
      </c>
      <c r="H424" s="576">
        <v>0</v>
      </c>
      <c r="I424" s="589">
        <v>0</v>
      </c>
    </row>
    <row r="425" spans="1:9" ht="15.75" customHeight="1" x14ac:dyDescent="0.2">
      <c r="A425" s="577"/>
      <c r="B425" s="577"/>
      <c r="C425" s="576"/>
      <c r="D425" s="607">
        <v>45914</v>
      </c>
      <c r="E425" s="576" t="s">
        <v>717</v>
      </c>
      <c r="F425" s="576">
        <v>19314074.609999999</v>
      </c>
      <c r="G425" s="588">
        <v>46205.919999998063</v>
      </c>
      <c r="H425" s="576">
        <v>0</v>
      </c>
      <c r="I425" s="589">
        <v>0</v>
      </c>
    </row>
    <row r="426" spans="1:9" ht="15.75" customHeight="1" x14ac:dyDescent="0.2">
      <c r="A426" s="577"/>
      <c r="B426" s="577"/>
      <c r="C426" s="576"/>
      <c r="D426" s="607">
        <v>45915</v>
      </c>
      <c r="E426" s="576" t="s">
        <v>716</v>
      </c>
      <c r="F426" s="576">
        <v>19360280.530000001</v>
      </c>
      <c r="G426" s="588">
        <v>46205.920000001788</v>
      </c>
      <c r="H426" s="576">
        <v>0</v>
      </c>
      <c r="I426" s="589">
        <v>0</v>
      </c>
    </row>
    <row r="427" spans="1:9" ht="15.75" customHeight="1" x14ac:dyDescent="0.2">
      <c r="A427" s="577"/>
      <c r="B427" s="577"/>
      <c r="C427" s="576"/>
      <c r="D427" s="607">
        <v>45916</v>
      </c>
      <c r="E427" s="576" t="s">
        <v>715</v>
      </c>
      <c r="F427" s="576">
        <v>19406486.449999999</v>
      </c>
      <c r="G427" s="588">
        <v>46205.919999998063</v>
      </c>
      <c r="H427" s="576">
        <v>0</v>
      </c>
      <c r="I427" s="589">
        <v>0</v>
      </c>
    </row>
    <row r="428" spans="1:9" ht="15.75" customHeight="1" x14ac:dyDescent="0.2">
      <c r="A428" s="577"/>
      <c r="B428" s="577"/>
      <c r="C428" s="576"/>
      <c r="D428" s="607">
        <v>45917</v>
      </c>
      <c r="E428" s="576" t="s">
        <v>721</v>
      </c>
      <c r="F428" s="576">
        <v>19452692.370000001</v>
      </c>
      <c r="G428" s="588">
        <v>46205.920000001788</v>
      </c>
      <c r="H428" s="576">
        <v>323441.44000000134</v>
      </c>
      <c r="I428" s="589">
        <v>0</v>
      </c>
    </row>
    <row r="429" spans="1:9" ht="15.75" customHeight="1" x14ac:dyDescent="0.2">
      <c r="A429" s="577"/>
      <c r="B429" s="577"/>
      <c r="C429" s="576"/>
      <c r="D429" s="607">
        <v>45918</v>
      </c>
      <c r="E429" s="576" t="s">
        <v>720</v>
      </c>
      <c r="F429" s="576">
        <v>19498898.289999999</v>
      </c>
      <c r="G429" s="588">
        <v>46205.919999998063</v>
      </c>
      <c r="H429" s="576">
        <v>0</v>
      </c>
      <c r="I429" s="589">
        <v>0</v>
      </c>
    </row>
    <row r="430" spans="1:9" ht="15.75" customHeight="1" x14ac:dyDescent="0.2">
      <c r="A430" s="577"/>
      <c r="B430" s="577"/>
      <c r="C430" s="576"/>
      <c r="D430" s="607">
        <v>45919</v>
      </c>
      <c r="E430" s="576" t="s">
        <v>719</v>
      </c>
      <c r="F430" s="576">
        <v>19545104.210000001</v>
      </c>
      <c r="G430" s="588">
        <v>46205.920000001788</v>
      </c>
      <c r="H430" s="576">
        <v>0</v>
      </c>
      <c r="I430" s="589">
        <v>0</v>
      </c>
    </row>
    <row r="431" spans="1:9" ht="15.75" customHeight="1" x14ac:dyDescent="0.2">
      <c r="A431" s="577"/>
      <c r="B431" s="577"/>
      <c r="C431" s="576"/>
      <c r="D431" s="607">
        <v>45920</v>
      </c>
      <c r="E431" s="576" t="s">
        <v>718</v>
      </c>
      <c r="F431" s="576">
        <v>19591310.129999999</v>
      </c>
      <c r="G431" s="588">
        <v>46205.919999998063</v>
      </c>
      <c r="H431" s="576">
        <v>0</v>
      </c>
      <c r="I431" s="589">
        <v>0</v>
      </c>
    </row>
    <row r="432" spans="1:9" ht="15.75" customHeight="1" x14ac:dyDescent="0.2">
      <c r="A432" s="577"/>
      <c r="B432" s="577"/>
      <c r="C432" s="576"/>
      <c r="D432" s="607">
        <v>45921</v>
      </c>
      <c r="E432" s="576" t="s">
        <v>717</v>
      </c>
      <c r="F432" s="576">
        <v>19637516.050000001</v>
      </c>
      <c r="G432" s="588">
        <v>46205.920000001788</v>
      </c>
      <c r="H432" s="576">
        <v>0</v>
      </c>
      <c r="I432" s="589">
        <v>0</v>
      </c>
    </row>
    <row r="433" spans="1:9" ht="15.75" customHeight="1" x14ac:dyDescent="0.2">
      <c r="A433" s="577"/>
      <c r="B433" s="577"/>
      <c r="C433" s="576"/>
      <c r="D433" s="607">
        <v>45922</v>
      </c>
      <c r="E433" s="576" t="s">
        <v>716</v>
      </c>
      <c r="F433" s="576">
        <v>19683721.969999999</v>
      </c>
      <c r="G433" s="588">
        <v>46205.919999998063</v>
      </c>
      <c r="H433" s="576">
        <v>0</v>
      </c>
      <c r="I433" s="589">
        <v>0</v>
      </c>
    </row>
    <row r="434" spans="1:9" ht="15.75" customHeight="1" x14ac:dyDescent="0.2">
      <c r="A434" s="577"/>
      <c r="B434" s="577"/>
      <c r="C434" s="576"/>
      <c r="D434" s="607">
        <v>45923</v>
      </c>
      <c r="E434" s="576" t="s">
        <v>715</v>
      </c>
      <c r="F434" s="576">
        <v>19729927.890000001</v>
      </c>
      <c r="G434" s="588">
        <v>46205.920000001788</v>
      </c>
      <c r="H434" s="576">
        <v>0</v>
      </c>
      <c r="I434" s="589">
        <v>0</v>
      </c>
    </row>
    <row r="435" spans="1:9" ht="15.75" customHeight="1" x14ac:dyDescent="0.2">
      <c r="A435" s="577"/>
      <c r="B435" s="577"/>
      <c r="C435" s="576"/>
      <c r="D435" s="607">
        <v>45924</v>
      </c>
      <c r="E435" s="576" t="s">
        <v>721</v>
      </c>
      <c r="F435" s="576">
        <v>19776133.809999999</v>
      </c>
      <c r="G435" s="588">
        <v>46205.919999998063</v>
      </c>
      <c r="H435" s="576">
        <v>323441.43999999762</v>
      </c>
      <c r="I435" s="589">
        <v>646882.87999999896</v>
      </c>
    </row>
    <row r="436" spans="1:9" ht="15.75" customHeight="1" x14ac:dyDescent="0.2">
      <c r="A436" s="577"/>
      <c r="B436" s="577"/>
      <c r="C436" s="576"/>
      <c r="D436" s="607">
        <v>45925</v>
      </c>
      <c r="E436" s="576" t="s">
        <v>720</v>
      </c>
      <c r="F436" s="576">
        <v>19822339.73</v>
      </c>
      <c r="G436" s="588">
        <v>46205.920000001788</v>
      </c>
      <c r="H436" s="576">
        <v>0</v>
      </c>
      <c r="I436" s="589">
        <v>0</v>
      </c>
    </row>
    <row r="437" spans="1:9" ht="15.75" customHeight="1" x14ac:dyDescent="0.2">
      <c r="A437" s="577"/>
      <c r="B437" s="577"/>
      <c r="C437" s="576"/>
      <c r="D437" s="607">
        <v>45926</v>
      </c>
      <c r="E437" s="576" t="s">
        <v>719</v>
      </c>
      <c r="F437" s="576">
        <v>19868545.649999999</v>
      </c>
      <c r="G437" s="588">
        <v>46205.919999998063</v>
      </c>
      <c r="H437" s="576">
        <v>0</v>
      </c>
      <c r="I437" s="589">
        <v>0</v>
      </c>
    </row>
    <row r="438" spans="1:9" ht="15.75" customHeight="1" x14ac:dyDescent="0.2">
      <c r="A438" s="577"/>
      <c r="B438" s="577"/>
      <c r="C438" s="576"/>
      <c r="D438" s="607">
        <v>45927</v>
      </c>
      <c r="E438" s="576" t="s">
        <v>718</v>
      </c>
      <c r="F438" s="576">
        <v>19914751.57</v>
      </c>
      <c r="G438" s="588">
        <v>46205.920000001788</v>
      </c>
      <c r="H438" s="576">
        <v>0</v>
      </c>
      <c r="I438" s="589">
        <v>0</v>
      </c>
    </row>
    <row r="439" spans="1:9" ht="15.75" customHeight="1" x14ac:dyDescent="0.2">
      <c r="A439" s="577"/>
      <c r="B439" s="577"/>
      <c r="C439" s="576"/>
      <c r="D439" s="607">
        <v>45928</v>
      </c>
      <c r="E439" s="576" t="s">
        <v>717</v>
      </c>
      <c r="F439" s="576">
        <v>19960957.489999998</v>
      </c>
      <c r="G439" s="588">
        <v>46205.919999998063</v>
      </c>
      <c r="H439" s="576">
        <v>0</v>
      </c>
      <c r="I439" s="589">
        <v>0</v>
      </c>
    </row>
    <row r="440" spans="1:9" ht="15.75" customHeight="1" x14ac:dyDescent="0.2">
      <c r="A440" s="577"/>
      <c r="B440" s="577"/>
      <c r="C440" s="576"/>
      <c r="D440" s="607">
        <v>45929</v>
      </c>
      <c r="E440" s="576" t="s">
        <v>716</v>
      </c>
      <c r="F440" s="576">
        <v>20007163.41</v>
      </c>
      <c r="G440" s="588">
        <v>46205.920000001788</v>
      </c>
      <c r="H440" s="576">
        <v>0</v>
      </c>
      <c r="I440" s="589">
        <v>0</v>
      </c>
    </row>
    <row r="441" spans="1:9" ht="15.75" customHeight="1" x14ac:dyDescent="0.2">
      <c r="A441" s="577"/>
      <c r="B441" s="577"/>
      <c r="C441" s="576"/>
      <c r="D441" s="607">
        <v>45930</v>
      </c>
      <c r="E441" s="576" t="s">
        <v>715</v>
      </c>
      <c r="F441" s="576">
        <v>20053369.329999998</v>
      </c>
      <c r="G441" s="588">
        <v>46205.919999998063</v>
      </c>
      <c r="H441" s="576">
        <v>0</v>
      </c>
      <c r="I441" s="589">
        <v>0</v>
      </c>
    </row>
    <row r="442" spans="1:9" ht="15.75" customHeight="1" x14ac:dyDescent="0.2">
      <c r="A442" s="577"/>
      <c r="B442" s="577"/>
      <c r="C442" s="576"/>
      <c r="D442" s="607">
        <v>45931</v>
      </c>
      <c r="E442" s="576" t="s">
        <v>721</v>
      </c>
      <c r="F442" s="576">
        <v>20099575.25</v>
      </c>
      <c r="G442" s="588">
        <v>46205.920000001788</v>
      </c>
      <c r="H442" s="576">
        <v>323441.44000000134</v>
      </c>
      <c r="I442" s="589">
        <v>0</v>
      </c>
    </row>
    <row r="443" spans="1:9" ht="15.75" customHeight="1" x14ac:dyDescent="0.2">
      <c r="A443" s="577"/>
      <c r="B443" s="577"/>
      <c r="C443" s="576"/>
      <c r="D443" s="607">
        <v>45932</v>
      </c>
      <c r="E443" s="576" t="s">
        <v>720</v>
      </c>
      <c r="F443" s="576">
        <v>20145781.170000002</v>
      </c>
      <c r="G443" s="588">
        <v>46205.920000001788</v>
      </c>
      <c r="H443" s="576">
        <v>0</v>
      </c>
      <c r="I443" s="589">
        <v>0</v>
      </c>
    </row>
    <row r="444" spans="1:9" ht="15.75" customHeight="1" x14ac:dyDescent="0.2">
      <c r="A444" s="577"/>
      <c r="B444" s="577"/>
      <c r="C444" s="576"/>
      <c r="D444" s="607">
        <v>45933</v>
      </c>
      <c r="E444" s="576" t="s">
        <v>719</v>
      </c>
      <c r="F444" s="576">
        <v>20191987.09</v>
      </c>
      <c r="G444" s="588">
        <v>46205.919999998063</v>
      </c>
      <c r="H444" s="576">
        <v>0</v>
      </c>
      <c r="I444" s="589">
        <v>0</v>
      </c>
    </row>
    <row r="445" spans="1:9" ht="15.75" customHeight="1" x14ac:dyDescent="0.2">
      <c r="A445" s="577"/>
      <c r="B445" s="577"/>
      <c r="C445" s="576"/>
      <c r="D445" s="607">
        <v>45934</v>
      </c>
      <c r="E445" s="576" t="s">
        <v>718</v>
      </c>
      <c r="F445" s="576">
        <v>20238193.010000002</v>
      </c>
      <c r="G445" s="588">
        <v>46205.920000001788</v>
      </c>
      <c r="H445" s="576">
        <v>0</v>
      </c>
      <c r="I445" s="589">
        <v>0</v>
      </c>
    </row>
    <row r="446" spans="1:9" ht="15.75" customHeight="1" x14ac:dyDescent="0.2">
      <c r="A446" s="577"/>
      <c r="B446" s="577"/>
      <c r="C446" s="576"/>
      <c r="D446" s="607">
        <v>45935</v>
      </c>
      <c r="E446" s="576" t="s">
        <v>717</v>
      </c>
      <c r="F446" s="576">
        <v>20284398.93</v>
      </c>
      <c r="G446" s="588">
        <v>46205.919999998063</v>
      </c>
      <c r="H446" s="576">
        <v>0</v>
      </c>
      <c r="I446" s="589">
        <v>0</v>
      </c>
    </row>
    <row r="447" spans="1:9" ht="15.75" customHeight="1" x14ac:dyDescent="0.2">
      <c r="A447" s="577"/>
      <c r="B447" s="577"/>
      <c r="C447" s="576"/>
      <c r="D447" s="607">
        <v>45936</v>
      </c>
      <c r="E447" s="576" t="s">
        <v>716</v>
      </c>
      <c r="F447" s="576">
        <v>20330604.850000001</v>
      </c>
      <c r="G447" s="588">
        <v>46205.920000001788</v>
      </c>
      <c r="H447" s="576">
        <v>0</v>
      </c>
      <c r="I447" s="589">
        <v>0</v>
      </c>
    </row>
    <row r="448" spans="1:9" ht="15.75" customHeight="1" x14ac:dyDescent="0.2">
      <c r="A448" s="577"/>
      <c r="B448" s="577"/>
      <c r="C448" s="576"/>
      <c r="D448" s="607">
        <v>45937</v>
      </c>
      <c r="E448" s="576" t="s">
        <v>715</v>
      </c>
      <c r="F448" s="576">
        <v>20376810.77</v>
      </c>
      <c r="G448" s="588">
        <v>46205.919999998063</v>
      </c>
      <c r="H448" s="576">
        <v>0</v>
      </c>
      <c r="I448" s="589">
        <v>0</v>
      </c>
    </row>
    <row r="449" spans="1:9" ht="15.75" customHeight="1" x14ac:dyDescent="0.2">
      <c r="A449" s="577"/>
      <c r="B449" s="577"/>
      <c r="C449" s="576"/>
      <c r="D449" s="607">
        <v>45938</v>
      </c>
      <c r="E449" s="576" t="s">
        <v>721</v>
      </c>
      <c r="F449" s="576">
        <v>20423016.690000001</v>
      </c>
      <c r="G449" s="588">
        <v>46205.920000001788</v>
      </c>
      <c r="H449" s="576">
        <v>323441.44000000134</v>
      </c>
      <c r="I449" s="589">
        <v>646882.88000000268</v>
      </c>
    </row>
    <row r="450" spans="1:9" ht="15.75" customHeight="1" x14ac:dyDescent="0.2">
      <c r="A450" s="577"/>
      <c r="B450" s="577"/>
      <c r="C450" s="576"/>
      <c r="D450" s="607">
        <v>45939</v>
      </c>
      <c r="E450" s="576" t="s">
        <v>720</v>
      </c>
      <c r="F450" s="576">
        <v>20469222.609999999</v>
      </c>
      <c r="G450" s="588">
        <v>46205.919999998063</v>
      </c>
      <c r="H450" s="576">
        <v>0</v>
      </c>
      <c r="I450" s="589">
        <v>0</v>
      </c>
    </row>
    <row r="451" spans="1:9" ht="15.75" customHeight="1" x14ac:dyDescent="0.2">
      <c r="A451" s="577"/>
      <c r="B451" s="577"/>
      <c r="C451" s="576"/>
      <c r="D451" s="607">
        <v>45940</v>
      </c>
      <c r="E451" s="576" t="s">
        <v>719</v>
      </c>
      <c r="F451" s="576">
        <v>20515428.530000001</v>
      </c>
      <c r="G451" s="588">
        <v>46205.920000001788</v>
      </c>
      <c r="H451" s="576">
        <v>0</v>
      </c>
      <c r="I451" s="589">
        <v>0</v>
      </c>
    </row>
    <row r="452" spans="1:9" ht="15.75" customHeight="1" x14ac:dyDescent="0.2">
      <c r="A452" s="577"/>
      <c r="B452" s="577"/>
      <c r="C452" s="576"/>
      <c r="D452" s="607">
        <v>45941</v>
      </c>
      <c r="E452" s="576" t="s">
        <v>718</v>
      </c>
      <c r="F452" s="576">
        <v>20561634.449999999</v>
      </c>
      <c r="G452" s="588">
        <v>46205.919999998063</v>
      </c>
      <c r="H452" s="576">
        <v>0</v>
      </c>
      <c r="I452" s="589">
        <v>0</v>
      </c>
    </row>
    <row r="453" spans="1:9" ht="15.75" customHeight="1" x14ac:dyDescent="0.2">
      <c r="A453" s="577"/>
      <c r="B453" s="577"/>
      <c r="C453" s="576"/>
      <c r="D453" s="607">
        <v>45942</v>
      </c>
      <c r="E453" s="576" t="s">
        <v>717</v>
      </c>
      <c r="F453" s="576">
        <v>20607840.370000001</v>
      </c>
      <c r="G453" s="588">
        <v>46205.920000001788</v>
      </c>
      <c r="H453" s="576">
        <v>0</v>
      </c>
      <c r="I453" s="589">
        <v>0</v>
      </c>
    </row>
    <row r="454" spans="1:9" ht="15.75" customHeight="1" x14ac:dyDescent="0.2">
      <c r="A454" s="577"/>
      <c r="B454" s="577"/>
      <c r="C454" s="576"/>
      <c r="D454" s="607">
        <v>45943</v>
      </c>
      <c r="E454" s="576" t="s">
        <v>716</v>
      </c>
      <c r="F454" s="576">
        <v>20654046.289999999</v>
      </c>
      <c r="G454" s="588">
        <v>46205.919999998063</v>
      </c>
      <c r="H454" s="576">
        <v>0</v>
      </c>
      <c r="I454" s="589">
        <v>0</v>
      </c>
    </row>
    <row r="455" spans="1:9" ht="15.75" customHeight="1" x14ac:dyDescent="0.2">
      <c r="A455" s="577"/>
      <c r="B455" s="577"/>
      <c r="C455" s="576"/>
      <c r="D455" s="607">
        <v>45944</v>
      </c>
      <c r="E455" s="576" t="s">
        <v>715</v>
      </c>
      <c r="F455" s="576">
        <v>20700252.210000001</v>
      </c>
      <c r="G455" s="588">
        <v>46205.920000001788</v>
      </c>
      <c r="H455" s="576">
        <v>0</v>
      </c>
      <c r="I455" s="589">
        <v>0</v>
      </c>
    </row>
    <row r="456" spans="1:9" ht="15.75" customHeight="1" x14ac:dyDescent="0.2">
      <c r="A456" s="577"/>
      <c r="B456" s="577"/>
      <c r="C456" s="576"/>
      <c r="D456" s="607">
        <v>45945</v>
      </c>
      <c r="E456" s="576" t="s">
        <v>721</v>
      </c>
      <c r="F456" s="576">
        <v>20746458.129999999</v>
      </c>
      <c r="G456" s="588">
        <v>46205.919999998063</v>
      </c>
      <c r="H456" s="576">
        <v>323441.43999999762</v>
      </c>
      <c r="I456" s="589">
        <v>0</v>
      </c>
    </row>
    <row r="457" spans="1:9" ht="15.75" customHeight="1" x14ac:dyDescent="0.2">
      <c r="A457" s="577"/>
      <c r="B457" s="577"/>
      <c r="C457" s="576"/>
      <c r="D457" s="607">
        <v>45946</v>
      </c>
      <c r="E457" s="576" t="s">
        <v>720</v>
      </c>
      <c r="F457" s="576">
        <v>20792664.059999999</v>
      </c>
      <c r="G457" s="588">
        <v>46205.929999999702</v>
      </c>
      <c r="H457" s="576">
        <v>0</v>
      </c>
      <c r="I457" s="589">
        <v>0</v>
      </c>
    </row>
    <row r="458" spans="1:9" ht="15.75" customHeight="1" x14ac:dyDescent="0.2">
      <c r="A458" s="577"/>
      <c r="B458" s="577"/>
      <c r="C458" s="576"/>
      <c r="D458" s="607">
        <v>45947</v>
      </c>
      <c r="E458" s="576" t="s">
        <v>719</v>
      </c>
      <c r="F458" s="576">
        <v>20838869.98</v>
      </c>
      <c r="G458" s="588">
        <v>46205.920000001788</v>
      </c>
      <c r="H458" s="576">
        <v>0</v>
      </c>
      <c r="I458" s="589">
        <v>0</v>
      </c>
    </row>
    <row r="459" spans="1:9" ht="15.75" customHeight="1" x14ac:dyDescent="0.2">
      <c r="A459" s="577"/>
      <c r="B459" s="577"/>
      <c r="C459" s="576"/>
      <c r="D459" s="607">
        <v>45948</v>
      </c>
      <c r="E459" s="576" t="s">
        <v>718</v>
      </c>
      <c r="F459" s="576">
        <v>20885075.899999999</v>
      </c>
      <c r="G459" s="588">
        <v>46205.919999998063</v>
      </c>
      <c r="H459" s="576">
        <v>0</v>
      </c>
      <c r="I459" s="589">
        <v>0</v>
      </c>
    </row>
    <row r="460" spans="1:9" ht="15.75" customHeight="1" x14ac:dyDescent="0.2">
      <c r="A460" s="577"/>
      <c r="B460" s="577"/>
      <c r="C460" s="576"/>
      <c r="D460" s="607">
        <v>45949</v>
      </c>
      <c r="E460" s="576" t="s">
        <v>717</v>
      </c>
      <c r="F460" s="576">
        <v>20931281.82</v>
      </c>
      <c r="G460" s="588">
        <v>46205.920000001788</v>
      </c>
      <c r="H460" s="576">
        <v>0</v>
      </c>
      <c r="I460" s="589">
        <v>0</v>
      </c>
    </row>
    <row r="461" spans="1:9" ht="15.75" customHeight="1" x14ac:dyDescent="0.2">
      <c r="A461" s="577"/>
      <c r="B461" s="577"/>
      <c r="C461" s="576"/>
      <c r="D461" s="607">
        <v>45950</v>
      </c>
      <c r="E461" s="576" t="s">
        <v>716</v>
      </c>
      <c r="F461" s="576">
        <v>20977487.739999998</v>
      </c>
      <c r="G461" s="588">
        <v>46205.919999998063</v>
      </c>
      <c r="H461" s="576">
        <v>0</v>
      </c>
      <c r="I461" s="589">
        <v>0</v>
      </c>
    </row>
    <row r="462" spans="1:9" ht="15.75" customHeight="1" x14ac:dyDescent="0.2">
      <c r="A462" s="577"/>
      <c r="B462" s="577"/>
      <c r="C462" s="576"/>
      <c r="D462" s="607">
        <v>45951</v>
      </c>
      <c r="E462" s="576" t="s">
        <v>715</v>
      </c>
      <c r="F462" s="576">
        <v>21023693.66</v>
      </c>
      <c r="G462" s="588">
        <v>46205.920000001788</v>
      </c>
      <c r="H462" s="576">
        <v>0</v>
      </c>
      <c r="I462" s="589">
        <v>0</v>
      </c>
    </row>
    <row r="463" spans="1:9" ht="15.75" customHeight="1" x14ac:dyDescent="0.2">
      <c r="A463" s="577"/>
      <c r="B463" s="577"/>
      <c r="C463" s="576"/>
      <c r="D463" s="607">
        <v>45952</v>
      </c>
      <c r="E463" s="576" t="s">
        <v>721</v>
      </c>
      <c r="F463" s="576">
        <v>21069899.579999998</v>
      </c>
      <c r="G463" s="588">
        <v>46205.919999998063</v>
      </c>
      <c r="H463" s="576">
        <v>323441.44999999925</v>
      </c>
      <c r="I463" s="589">
        <v>646882.88999999687</v>
      </c>
    </row>
    <row r="464" spans="1:9" ht="15.75" customHeight="1" x14ac:dyDescent="0.2">
      <c r="A464" s="577"/>
      <c r="B464" s="577"/>
      <c r="C464" s="576"/>
      <c r="D464" s="607">
        <v>45953</v>
      </c>
      <c r="E464" s="576" t="s">
        <v>720</v>
      </c>
      <c r="F464" s="576">
        <v>21116105.5</v>
      </c>
      <c r="G464" s="588">
        <v>46205.920000001788</v>
      </c>
      <c r="H464" s="576">
        <v>0</v>
      </c>
      <c r="I464" s="589">
        <v>0</v>
      </c>
    </row>
    <row r="465" spans="1:9" ht="15.75" customHeight="1" x14ac:dyDescent="0.2">
      <c r="A465" s="577"/>
      <c r="B465" s="577"/>
      <c r="C465" s="576"/>
      <c r="D465" s="607">
        <v>45954</v>
      </c>
      <c r="E465" s="576" t="s">
        <v>719</v>
      </c>
      <c r="F465" s="576">
        <v>21162311.420000002</v>
      </c>
      <c r="G465" s="588">
        <v>46205.920000001788</v>
      </c>
      <c r="H465" s="576">
        <v>0</v>
      </c>
      <c r="I465" s="589">
        <v>0</v>
      </c>
    </row>
    <row r="466" spans="1:9" ht="15.75" customHeight="1" x14ac:dyDescent="0.2">
      <c r="A466" s="577"/>
      <c r="B466" s="577"/>
      <c r="C466" s="576"/>
      <c r="D466" s="607">
        <v>45955</v>
      </c>
      <c r="E466" s="576" t="s">
        <v>718</v>
      </c>
      <c r="F466" s="576">
        <v>21208517.34</v>
      </c>
      <c r="G466" s="588">
        <v>46205.919999998063</v>
      </c>
      <c r="H466" s="576">
        <v>0</v>
      </c>
      <c r="I466" s="589">
        <v>0</v>
      </c>
    </row>
    <row r="467" spans="1:9" ht="15.75" customHeight="1" x14ac:dyDescent="0.2">
      <c r="A467" s="577"/>
      <c r="B467" s="577"/>
      <c r="C467" s="576"/>
      <c r="D467" s="607">
        <v>45956</v>
      </c>
      <c r="E467" s="576" t="s">
        <v>717</v>
      </c>
      <c r="F467" s="576">
        <v>21254723.260000002</v>
      </c>
      <c r="G467" s="588">
        <v>46205.920000001788</v>
      </c>
      <c r="H467" s="576">
        <v>0</v>
      </c>
      <c r="I467" s="589">
        <v>0</v>
      </c>
    </row>
    <row r="468" spans="1:9" ht="15.75" customHeight="1" x14ac:dyDescent="0.2">
      <c r="A468" s="577"/>
      <c r="B468" s="577"/>
      <c r="C468" s="576"/>
      <c r="D468" s="607">
        <v>45957</v>
      </c>
      <c r="E468" s="576" t="s">
        <v>716</v>
      </c>
      <c r="F468" s="576">
        <v>21300929.18</v>
      </c>
      <c r="G468" s="588">
        <v>46205.919999998063</v>
      </c>
      <c r="H468" s="576">
        <v>0</v>
      </c>
      <c r="I468" s="589">
        <v>0</v>
      </c>
    </row>
    <row r="469" spans="1:9" ht="15.75" customHeight="1" x14ac:dyDescent="0.2">
      <c r="A469" s="577"/>
      <c r="B469" s="577"/>
      <c r="C469" s="576"/>
      <c r="D469" s="607">
        <v>45958</v>
      </c>
      <c r="E469" s="576" t="s">
        <v>715</v>
      </c>
      <c r="F469" s="576">
        <v>21347135.100000001</v>
      </c>
      <c r="G469" s="588">
        <v>46205.920000001788</v>
      </c>
      <c r="H469" s="576">
        <v>0</v>
      </c>
      <c r="I469" s="589">
        <v>0</v>
      </c>
    </row>
    <row r="470" spans="1:9" ht="15.75" customHeight="1" x14ac:dyDescent="0.2">
      <c r="A470" s="577"/>
      <c r="B470" s="577"/>
      <c r="C470" s="576"/>
      <c r="D470" s="607">
        <v>45959</v>
      </c>
      <c r="E470" s="576" t="s">
        <v>721</v>
      </c>
      <c r="F470" s="576">
        <v>21393341.02</v>
      </c>
      <c r="G470" s="588">
        <v>46205.919999998063</v>
      </c>
      <c r="H470" s="576">
        <v>323441.44000000134</v>
      </c>
      <c r="I470" s="589">
        <v>0</v>
      </c>
    </row>
    <row r="471" spans="1:9" ht="15.75" customHeight="1" x14ac:dyDescent="0.2">
      <c r="A471" s="577"/>
      <c r="B471" s="577"/>
      <c r="C471" s="576"/>
      <c r="D471" s="607">
        <v>45960</v>
      </c>
      <c r="E471" s="576" t="s">
        <v>720</v>
      </c>
      <c r="F471" s="576">
        <v>21439546.940000001</v>
      </c>
      <c r="G471" s="588">
        <v>46205.920000001788</v>
      </c>
      <c r="H471" s="576">
        <v>0</v>
      </c>
      <c r="I471" s="589">
        <v>0</v>
      </c>
    </row>
    <row r="472" spans="1:9" ht="15.75" customHeight="1" x14ac:dyDescent="0.2">
      <c r="A472" s="577"/>
      <c r="B472" s="577"/>
      <c r="C472" s="576"/>
      <c r="D472" s="607">
        <v>45961</v>
      </c>
      <c r="E472" s="576" t="s">
        <v>719</v>
      </c>
      <c r="F472" s="576">
        <v>21485752.859999999</v>
      </c>
      <c r="G472" s="588">
        <v>46205.919999998063</v>
      </c>
      <c r="H472" s="576">
        <v>0</v>
      </c>
      <c r="I472" s="589">
        <v>0</v>
      </c>
    </row>
    <row r="473" spans="1:9" ht="15.75" customHeight="1" x14ac:dyDescent="0.2">
      <c r="A473" s="577"/>
      <c r="B473" s="577"/>
      <c r="C473" s="576"/>
      <c r="D473" s="607">
        <v>45962</v>
      </c>
      <c r="E473" s="576" t="s">
        <v>718</v>
      </c>
      <c r="F473" s="576">
        <v>21531958.780000001</v>
      </c>
      <c r="G473" s="588">
        <v>46205.920000001788</v>
      </c>
      <c r="H473" s="576">
        <v>0</v>
      </c>
      <c r="I473" s="589">
        <v>0</v>
      </c>
    </row>
    <row r="474" spans="1:9" ht="15.75" customHeight="1" x14ac:dyDescent="0.2">
      <c r="A474" s="577"/>
      <c r="B474" s="577"/>
      <c r="C474" s="576"/>
      <c r="D474" s="607">
        <v>45963</v>
      </c>
      <c r="E474" s="576" t="s">
        <v>717</v>
      </c>
      <c r="F474" s="576">
        <v>21578164.699999999</v>
      </c>
      <c r="G474" s="588">
        <v>46205.919999998063</v>
      </c>
      <c r="H474" s="576">
        <v>0</v>
      </c>
      <c r="I474" s="589">
        <v>0</v>
      </c>
    </row>
    <row r="475" spans="1:9" ht="15.75" customHeight="1" x14ac:dyDescent="0.2">
      <c r="A475" s="577"/>
      <c r="B475" s="577"/>
      <c r="C475" s="576"/>
      <c r="D475" s="607">
        <v>45964</v>
      </c>
      <c r="E475" s="576" t="s">
        <v>716</v>
      </c>
      <c r="F475" s="576">
        <v>21624370.620000001</v>
      </c>
      <c r="G475" s="588">
        <v>46205.920000001788</v>
      </c>
      <c r="H475" s="576">
        <v>0</v>
      </c>
      <c r="I475" s="589">
        <v>0</v>
      </c>
    </row>
    <row r="476" spans="1:9" ht="15.75" customHeight="1" x14ac:dyDescent="0.2">
      <c r="A476" s="577"/>
      <c r="B476" s="577"/>
      <c r="C476" s="576"/>
      <c r="D476" s="607">
        <v>45965</v>
      </c>
      <c r="E476" s="576" t="s">
        <v>715</v>
      </c>
      <c r="F476" s="576">
        <v>21670576.539999999</v>
      </c>
      <c r="G476" s="588">
        <v>46205.919999998063</v>
      </c>
      <c r="H476" s="576">
        <v>0</v>
      </c>
      <c r="I476" s="589">
        <v>0</v>
      </c>
    </row>
    <row r="477" spans="1:9" ht="15.75" customHeight="1" x14ac:dyDescent="0.2">
      <c r="A477" s="577"/>
      <c r="B477" s="577"/>
      <c r="C477" s="576"/>
      <c r="D477" s="607">
        <v>45966</v>
      </c>
      <c r="E477" s="576" t="s">
        <v>721</v>
      </c>
      <c r="F477" s="576">
        <v>21716782.460000001</v>
      </c>
      <c r="G477" s="588">
        <v>46205.920000001788</v>
      </c>
      <c r="H477" s="576">
        <v>323441.44000000134</v>
      </c>
      <c r="I477" s="589">
        <v>646882.88000000268</v>
      </c>
    </row>
    <row r="478" spans="1:9" ht="15.75" customHeight="1" x14ac:dyDescent="0.2">
      <c r="A478" s="577"/>
      <c r="B478" s="577"/>
      <c r="C478" s="576"/>
      <c r="D478" s="607">
        <v>45967</v>
      </c>
      <c r="E478" s="576" t="s">
        <v>720</v>
      </c>
      <c r="F478" s="576">
        <v>21762988.379999999</v>
      </c>
      <c r="G478" s="588">
        <v>46205.919999998063</v>
      </c>
      <c r="H478" s="576">
        <v>0</v>
      </c>
      <c r="I478" s="589">
        <v>0</v>
      </c>
    </row>
    <row r="479" spans="1:9" ht="15.75" customHeight="1" x14ac:dyDescent="0.2">
      <c r="A479" s="577"/>
      <c r="B479" s="577"/>
      <c r="C479" s="576"/>
      <c r="D479" s="607">
        <v>45968</v>
      </c>
      <c r="E479" s="576" t="s">
        <v>719</v>
      </c>
      <c r="F479" s="576">
        <v>21809194.300000001</v>
      </c>
      <c r="G479" s="588">
        <v>46205.920000001788</v>
      </c>
      <c r="H479" s="576">
        <v>0</v>
      </c>
      <c r="I479" s="589">
        <v>0</v>
      </c>
    </row>
    <row r="480" spans="1:9" ht="15.75" customHeight="1" x14ac:dyDescent="0.2">
      <c r="A480" s="577"/>
      <c r="B480" s="577"/>
      <c r="C480" s="576"/>
      <c r="D480" s="607">
        <v>45969</v>
      </c>
      <c r="E480" s="576" t="s">
        <v>718</v>
      </c>
      <c r="F480" s="576">
        <v>21855400.219999999</v>
      </c>
      <c r="G480" s="588">
        <v>46205.919999998063</v>
      </c>
      <c r="H480" s="576">
        <v>0</v>
      </c>
      <c r="I480" s="589">
        <v>0</v>
      </c>
    </row>
    <row r="481" spans="1:9" ht="15.75" customHeight="1" x14ac:dyDescent="0.2">
      <c r="A481" s="577"/>
      <c r="B481" s="577"/>
      <c r="C481" s="576"/>
      <c r="D481" s="607">
        <v>45970</v>
      </c>
      <c r="E481" s="576" t="s">
        <v>717</v>
      </c>
      <c r="F481" s="576">
        <v>21901606.140000001</v>
      </c>
      <c r="G481" s="588">
        <v>46205.920000001788</v>
      </c>
      <c r="H481" s="576">
        <v>0</v>
      </c>
      <c r="I481" s="589">
        <v>0</v>
      </c>
    </row>
    <row r="482" spans="1:9" ht="15.75" customHeight="1" x14ac:dyDescent="0.2">
      <c r="A482" s="577"/>
      <c r="B482" s="577"/>
      <c r="C482" s="576"/>
      <c r="D482" s="607">
        <v>45971</v>
      </c>
      <c r="E482" s="576" t="s">
        <v>716</v>
      </c>
      <c r="F482" s="576">
        <v>21947812.059999999</v>
      </c>
      <c r="G482" s="588">
        <v>46205.919999998063</v>
      </c>
      <c r="H482" s="576">
        <v>0</v>
      </c>
      <c r="I482" s="589">
        <v>0</v>
      </c>
    </row>
    <row r="483" spans="1:9" ht="15.75" customHeight="1" x14ac:dyDescent="0.2">
      <c r="A483" s="577"/>
      <c r="B483" s="577"/>
      <c r="C483" s="576"/>
      <c r="D483" s="607">
        <v>45972</v>
      </c>
      <c r="E483" s="576" t="s">
        <v>715</v>
      </c>
      <c r="F483" s="576">
        <v>21994017.98</v>
      </c>
      <c r="G483" s="588">
        <v>46205.920000001788</v>
      </c>
      <c r="H483" s="576">
        <v>0</v>
      </c>
      <c r="I483" s="589">
        <v>0</v>
      </c>
    </row>
    <row r="484" spans="1:9" ht="15.75" customHeight="1" x14ac:dyDescent="0.2">
      <c r="A484" s="577"/>
      <c r="B484" s="577"/>
      <c r="C484" s="576"/>
      <c r="D484" s="607">
        <v>45973</v>
      </c>
      <c r="E484" s="576" t="s">
        <v>721</v>
      </c>
      <c r="F484" s="576">
        <v>22040223.899999999</v>
      </c>
      <c r="G484" s="588">
        <v>46205.919999998063</v>
      </c>
      <c r="H484" s="576">
        <v>323441.43999999762</v>
      </c>
      <c r="I484" s="589">
        <v>0</v>
      </c>
    </row>
    <row r="485" spans="1:9" ht="15.75" customHeight="1" x14ac:dyDescent="0.2">
      <c r="A485" s="577"/>
      <c r="B485" s="577"/>
      <c r="C485" s="576"/>
      <c r="D485" s="607">
        <v>45974</v>
      </c>
      <c r="E485" s="576" t="s">
        <v>720</v>
      </c>
      <c r="F485" s="576">
        <v>22086429.82</v>
      </c>
      <c r="G485" s="588">
        <v>46205.920000001788</v>
      </c>
      <c r="H485" s="576">
        <v>0</v>
      </c>
      <c r="I485" s="589">
        <v>0</v>
      </c>
    </row>
    <row r="486" spans="1:9" ht="15.75" customHeight="1" x14ac:dyDescent="0.2">
      <c r="A486" s="577"/>
      <c r="B486" s="577"/>
      <c r="C486" s="576"/>
      <c r="D486" s="607">
        <v>45975</v>
      </c>
      <c r="E486" s="576" t="s">
        <v>719</v>
      </c>
      <c r="F486" s="576">
        <v>22132635.739999998</v>
      </c>
      <c r="G486" s="588">
        <v>46205.919999998063</v>
      </c>
      <c r="H486" s="576">
        <v>0</v>
      </c>
      <c r="I486" s="589">
        <v>0</v>
      </c>
    </row>
    <row r="487" spans="1:9" ht="15.75" customHeight="1" x14ac:dyDescent="0.2">
      <c r="A487" s="577"/>
      <c r="B487" s="577"/>
      <c r="C487" s="576"/>
      <c r="D487" s="607">
        <v>45976</v>
      </c>
      <c r="E487" s="576" t="s">
        <v>718</v>
      </c>
      <c r="F487" s="576">
        <v>22178841.66</v>
      </c>
      <c r="G487" s="588">
        <v>46205.920000001788</v>
      </c>
      <c r="H487" s="576">
        <v>0</v>
      </c>
      <c r="I487" s="589">
        <v>0</v>
      </c>
    </row>
    <row r="488" spans="1:9" ht="15.75" customHeight="1" x14ac:dyDescent="0.2">
      <c r="A488" s="577"/>
      <c r="B488" s="577"/>
      <c r="C488" s="576"/>
      <c r="D488" s="607">
        <v>45977</v>
      </c>
      <c r="E488" s="576" t="s">
        <v>717</v>
      </c>
      <c r="F488" s="576">
        <v>22225047.579999998</v>
      </c>
      <c r="G488" s="588">
        <v>46205.919999998063</v>
      </c>
      <c r="H488" s="576">
        <v>0</v>
      </c>
      <c r="I488" s="589">
        <v>0</v>
      </c>
    </row>
    <row r="489" spans="1:9" ht="15.75" customHeight="1" x14ac:dyDescent="0.2">
      <c r="A489" s="577"/>
      <c r="B489" s="577"/>
      <c r="C489" s="576"/>
      <c r="D489" s="607">
        <v>45978</v>
      </c>
      <c r="E489" s="576" t="s">
        <v>716</v>
      </c>
      <c r="F489" s="576">
        <v>22271253.5</v>
      </c>
      <c r="G489" s="588">
        <v>46205.920000001788</v>
      </c>
      <c r="H489" s="576">
        <v>0</v>
      </c>
      <c r="I489" s="589">
        <v>0</v>
      </c>
    </row>
    <row r="490" spans="1:9" ht="15.75" customHeight="1" x14ac:dyDescent="0.2">
      <c r="A490" s="577"/>
      <c r="B490" s="577"/>
      <c r="C490" s="576"/>
      <c r="D490" s="607">
        <v>45979</v>
      </c>
      <c r="E490" s="576" t="s">
        <v>715</v>
      </c>
      <c r="F490" s="576">
        <v>22317459.420000002</v>
      </c>
      <c r="G490" s="588">
        <v>46205.920000001788</v>
      </c>
      <c r="H490" s="576">
        <v>0</v>
      </c>
      <c r="I490" s="589">
        <v>0</v>
      </c>
    </row>
    <row r="491" spans="1:9" ht="15.75" customHeight="1" x14ac:dyDescent="0.2">
      <c r="A491" s="577"/>
      <c r="B491" s="577"/>
      <c r="C491" s="576"/>
      <c r="D491" s="607">
        <v>45980</v>
      </c>
      <c r="E491" s="576" t="s">
        <v>721</v>
      </c>
      <c r="F491" s="576">
        <v>22363665.34</v>
      </c>
      <c r="G491" s="588">
        <v>46205.919999998063</v>
      </c>
      <c r="H491" s="576">
        <v>323441.44000000134</v>
      </c>
      <c r="I491" s="589">
        <v>646882.87999999896</v>
      </c>
    </row>
    <row r="492" spans="1:9" ht="15.75" customHeight="1" x14ac:dyDescent="0.2">
      <c r="A492" s="577"/>
      <c r="B492" s="577"/>
      <c r="C492" s="576"/>
      <c r="D492" s="607">
        <v>45981</v>
      </c>
      <c r="E492" s="576" t="s">
        <v>720</v>
      </c>
      <c r="F492" s="576">
        <v>22409871.260000002</v>
      </c>
      <c r="G492" s="588">
        <v>46205.920000001788</v>
      </c>
      <c r="H492" s="576">
        <v>0</v>
      </c>
      <c r="I492" s="589">
        <v>0</v>
      </c>
    </row>
    <row r="493" spans="1:9" ht="15.75" customHeight="1" x14ac:dyDescent="0.2">
      <c r="A493" s="577"/>
      <c r="B493" s="577"/>
      <c r="C493" s="576"/>
      <c r="D493" s="607">
        <v>45982</v>
      </c>
      <c r="E493" s="576" t="s">
        <v>719</v>
      </c>
      <c r="F493" s="576">
        <v>22456077.18</v>
      </c>
      <c r="G493" s="588">
        <v>46205.919999998063</v>
      </c>
      <c r="H493" s="576">
        <v>0</v>
      </c>
      <c r="I493" s="589">
        <v>0</v>
      </c>
    </row>
    <row r="494" spans="1:9" ht="15.75" customHeight="1" x14ac:dyDescent="0.2">
      <c r="A494" s="577"/>
      <c r="B494" s="577"/>
      <c r="C494" s="576"/>
      <c r="D494" s="607">
        <v>45983</v>
      </c>
      <c r="E494" s="576" t="s">
        <v>718</v>
      </c>
      <c r="F494" s="576">
        <v>22502283.100000001</v>
      </c>
      <c r="G494" s="588">
        <v>46205.920000001788</v>
      </c>
      <c r="H494" s="576">
        <v>0</v>
      </c>
      <c r="I494" s="589">
        <v>0</v>
      </c>
    </row>
    <row r="495" spans="1:9" ht="15.75" customHeight="1" x14ac:dyDescent="0.2">
      <c r="A495" s="577"/>
      <c r="B495" s="577"/>
      <c r="C495" s="576"/>
      <c r="D495" s="607">
        <v>45984</v>
      </c>
      <c r="E495" s="576" t="s">
        <v>717</v>
      </c>
      <c r="F495" s="576">
        <v>22548489.02</v>
      </c>
      <c r="G495" s="588">
        <v>46205.919999998063</v>
      </c>
      <c r="H495" s="576">
        <v>0</v>
      </c>
      <c r="I495" s="589">
        <v>0</v>
      </c>
    </row>
    <row r="496" spans="1:9" ht="15.75" customHeight="1" x14ac:dyDescent="0.2">
      <c r="A496" s="577"/>
      <c r="B496" s="577"/>
      <c r="C496" s="576"/>
      <c r="D496" s="607">
        <v>45985</v>
      </c>
      <c r="E496" s="576" t="s">
        <v>716</v>
      </c>
      <c r="F496" s="576">
        <v>22594694.940000001</v>
      </c>
      <c r="G496" s="588">
        <v>46205.920000001788</v>
      </c>
      <c r="H496" s="576">
        <v>0</v>
      </c>
      <c r="I496" s="589">
        <v>0</v>
      </c>
    </row>
    <row r="497" spans="1:9" ht="15.75" customHeight="1" x14ac:dyDescent="0.2">
      <c r="A497" s="577"/>
      <c r="B497" s="577"/>
      <c r="C497" s="576"/>
      <c r="D497" s="607">
        <v>45986</v>
      </c>
      <c r="E497" s="576" t="s">
        <v>715</v>
      </c>
      <c r="F497" s="576">
        <v>22640900.859999999</v>
      </c>
      <c r="G497" s="588">
        <v>46205.919999998063</v>
      </c>
      <c r="H497" s="576">
        <v>0</v>
      </c>
      <c r="I497" s="589">
        <v>0</v>
      </c>
    </row>
    <row r="498" spans="1:9" ht="15.75" customHeight="1" x14ac:dyDescent="0.2">
      <c r="A498" s="577"/>
      <c r="B498" s="577"/>
      <c r="C498" s="576"/>
      <c r="D498" s="607">
        <v>45987</v>
      </c>
      <c r="E498" s="576" t="s">
        <v>721</v>
      </c>
      <c r="F498" s="576">
        <v>22687106.780000001</v>
      </c>
      <c r="G498" s="588">
        <v>46205.920000001788</v>
      </c>
      <c r="H498" s="576">
        <v>323441.44000000134</v>
      </c>
      <c r="I498" s="589">
        <v>0</v>
      </c>
    </row>
    <row r="499" spans="1:9" ht="15.75" customHeight="1" x14ac:dyDescent="0.2">
      <c r="A499" s="577"/>
      <c r="B499" s="577"/>
      <c r="C499" s="576"/>
      <c r="D499" s="607">
        <v>45988</v>
      </c>
      <c r="E499" s="576" t="s">
        <v>720</v>
      </c>
      <c r="F499" s="576">
        <v>22733312.699999999</v>
      </c>
      <c r="G499" s="588">
        <v>46205.919999998063</v>
      </c>
      <c r="H499" s="576">
        <v>0</v>
      </c>
      <c r="I499" s="589">
        <v>0</v>
      </c>
    </row>
    <row r="500" spans="1:9" ht="15.75" customHeight="1" x14ac:dyDescent="0.2">
      <c r="A500" s="577"/>
      <c r="B500" s="577"/>
      <c r="C500" s="576"/>
      <c r="D500" s="607">
        <v>45989</v>
      </c>
      <c r="E500" s="576" t="s">
        <v>719</v>
      </c>
      <c r="F500" s="576">
        <v>22779518.620000001</v>
      </c>
      <c r="G500" s="588">
        <v>46205.920000001788</v>
      </c>
      <c r="H500" s="576">
        <v>0</v>
      </c>
      <c r="I500" s="589">
        <v>0</v>
      </c>
    </row>
    <row r="501" spans="1:9" ht="15.75" customHeight="1" x14ac:dyDescent="0.2">
      <c r="A501" s="577"/>
      <c r="B501" s="577"/>
      <c r="C501" s="576"/>
      <c r="D501" s="607">
        <v>45990</v>
      </c>
      <c r="E501" s="576" t="s">
        <v>718</v>
      </c>
      <c r="F501" s="576">
        <v>22825724.539999999</v>
      </c>
      <c r="G501" s="588">
        <v>46205.919999998063</v>
      </c>
      <c r="H501" s="576">
        <v>0</v>
      </c>
      <c r="I501" s="589">
        <v>0</v>
      </c>
    </row>
    <row r="502" spans="1:9" ht="15.75" customHeight="1" x14ac:dyDescent="0.2">
      <c r="A502" s="577"/>
      <c r="B502" s="577"/>
      <c r="C502" s="576"/>
      <c r="D502" s="607">
        <v>45991</v>
      </c>
      <c r="E502" s="576" t="s">
        <v>717</v>
      </c>
      <c r="F502" s="576">
        <v>22871930.460000001</v>
      </c>
      <c r="G502" s="588">
        <v>46205.920000001788</v>
      </c>
      <c r="H502" s="576">
        <v>0</v>
      </c>
      <c r="I502" s="589">
        <v>0</v>
      </c>
    </row>
    <row r="503" spans="1:9" ht="15.75" customHeight="1" x14ac:dyDescent="0.2">
      <c r="A503" s="577"/>
      <c r="B503" s="577"/>
      <c r="C503" s="576"/>
      <c r="D503" s="607">
        <v>45992</v>
      </c>
      <c r="E503" s="576" t="s">
        <v>716</v>
      </c>
      <c r="F503" s="576">
        <v>22918136.379999999</v>
      </c>
      <c r="G503" s="588">
        <v>46205.919999998063</v>
      </c>
      <c r="H503" s="576">
        <v>0</v>
      </c>
      <c r="I503" s="589">
        <v>0</v>
      </c>
    </row>
    <row r="504" spans="1:9" ht="15.75" customHeight="1" x14ac:dyDescent="0.2">
      <c r="A504" s="577"/>
      <c r="B504" s="577"/>
      <c r="C504" s="576"/>
      <c r="D504" s="607">
        <v>45993</v>
      </c>
      <c r="E504" s="576" t="s">
        <v>715</v>
      </c>
      <c r="F504" s="576">
        <v>22964342.300000001</v>
      </c>
      <c r="G504" s="588">
        <v>46205.920000001788</v>
      </c>
      <c r="H504" s="576">
        <v>0</v>
      </c>
      <c r="I504" s="589">
        <v>0</v>
      </c>
    </row>
    <row r="505" spans="1:9" ht="15.75" customHeight="1" x14ac:dyDescent="0.2">
      <c r="A505" s="577"/>
      <c r="B505" s="577"/>
      <c r="C505" s="576"/>
      <c r="D505" s="607">
        <v>45994</v>
      </c>
      <c r="E505" s="576" t="s">
        <v>721</v>
      </c>
      <c r="F505" s="576">
        <v>23010548.219999999</v>
      </c>
      <c r="G505" s="588">
        <v>46205.919999998063</v>
      </c>
      <c r="H505" s="576">
        <v>323441.43999999762</v>
      </c>
      <c r="I505" s="589">
        <v>646882.87999999896</v>
      </c>
    </row>
    <row r="506" spans="1:9" ht="15.75" customHeight="1" x14ac:dyDescent="0.2">
      <c r="A506" s="577"/>
      <c r="B506" s="577"/>
      <c r="C506" s="576"/>
      <c r="D506" s="607">
        <v>45995</v>
      </c>
      <c r="E506" s="576" t="s">
        <v>720</v>
      </c>
      <c r="F506" s="576">
        <v>23056754.140000001</v>
      </c>
      <c r="G506" s="588">
        <v>46205.920000001788</v>
      </c>
      <c r="H506" s="576">
        <v>0</v>
      </c>
      <c r="I506" s="589">
        <v>0</v>
      </c>
    </row>
    <row r="507" spans="1:9" ht="15.75" customHeight="1" x14ac:dyDescent="0.2">
      <c r="A507" s="577"/>
      <c r="B507" s="577"/>
      <c r="C507" s="576"/>
      <c r="D507" s="607">
        <v>45996</v>
      </c>
      <c r="E507" s="576" t="s">
        <v>719</v>
      </c>
      <c r="F507" s="576">
        <v>23102960.059999999</v>
      </c>
      <c r="G507" s="588">
        <v>46205.919999998063</v>
      </c>
      <c r="H507" s="576">
        <v>0</v>
      </c>
      <c r="I507" s="589">
        <v>0</v>
      </c>
    </row>
    <row r="508" spans="1:9" ht="15.75" customHeight="1" x14ac:dyDescent="0.2">
      <c r="A508" s="577"/>
      <c r="B508" s="577"/>
      <c r="C508" s="576"/>
      <c r="D508" s="607">
        <v>45997</v>
      </c>
      <c r="E508" s="576" t="s">
        <v>718</v>
      </c>
      <c r="F508" s="576">
        <v>23149165.98</v>
      </c>
      <c r="G508" s="588">
        <v>46205.920000001788</v>
      </c>
      <c r="H508" s="576">
        <v>0</v>
      </c>
      <c r="I508" s="589">
        <v>0</v>
      </c>
    </row>
    <row r="509" spans="1:9" ht="15.75" customHeight="1" x14ac:dyDescent="0.2">
      <c r="A509" s="577"/>
      <c r="B509" s="577"/>
      <c r="C509" s="576"/>
      <c r="D509" s="607">
        <v>45998</v>
      </c>
      <c r="E509" s="576" t="s">
        <v>717</v>
      </c>
      <c r="F509" s="576">
        <v>23195371.899999999</v>
      </c>
      <c r="G509" s="588">
        <v>46205.919999998063</v>
      </c>
      <c r="H509" s="576">
        <v>0</v>
      </c>
      <c r="I509" s="589">
        <v>0</v>
      </c>
    </row>
    <row r="510" spans="1:9" ht="15.75" customHeight="1" x14ac:dyDescent="0.2">
      <c r="A510" s="577"/>
      <c r="B510" s="577"/>
      <c r="C510" s="576"/>
      <c r="D510" s="607">
        <v>45999</v>
      </c>
      <c r="E510" s="576" t="s">
        <v>716</v>
      </c>
      <c r="F510" s="576">
        <v>23241577.82</v>
      </c>
      <c r="G510" s="588">
        <v>46205.920000001788</v>
      </c>
      <c r="H510" s="576">
        <v>0</v>
      </c>
      <c r="I510" s="589">
        <v>0</v>
      </c>
    </row>
    <row r="511" spans="1:9" ht="15.75" customHeight="1" x14ac:dyDescent="0.2">
      <c r="A511" s="577"/>
      <c r="B511" s="577"/>
      <c r="C511" s="576"/>
      <c r="D511" s="607">
        <v>46000</v>
      </c>
      <c r="E511" s="576" t="s">
        <v>715</v>
      </c>
      <c r="F511" s="576">
        <v>23287783.739999998</v>
      </c>
      <c r="G511" s="588">
        <v>46205.919999998063</v>
      </c>
      <c r="H511" s="576">
        <v>0</v>
      </c>
      <c r="I511" s="589">
        <v>0</v>
      </c>
    </row>
    <row r="512" spans="1:9" ht="15.75" customHeight="1" x14ac:dyDescent="0.2">
      <c r="A512" s="577"/>
      <c r="B512" s="577"/>
      <c r="C512" s="576"/>
      <c r="D512" s="607">
        <v>46001</v>
      </c>
      <c r="E512" s="576" t="s">
        <v>721</v>
      </c>
      <c r="F512" s="576">
        <v>23333989.66</v>
      </c>
      <c r="G512" s="588">
        <v>46205.920000001788</v>
      </c>
      <c r="H512" s="576">
        <v>323441.44000000134</v>
      </c>
      <c r="I512" s="589">
        <v>0</v>
      </c>
    </row>
    <row r="513" spans="1:9" ht="15.75" customHeight="1" x14ac:dyDescent="0.2">
      <c r="A513" s="577"/>
      <c r="B513" s="577"/>
      <c r="C513" s="576"/>
      <c r="D513" s="607">
        <v>46002</v>
      </c>
      <c r="E513" s="576" t="s">
        <v>720</v>
      </c>
      <c r="F513" s="576">
        <v>23380195.579999998</v>
      </c>
      <c r="G513" s="588">
        <v>46205.919999998063</v>
      </c>
      <c r="H513" s="576">
        <v>0</v>
      </c>
      <c r="I513" s="589">
        <v>0</v>
      </c>
    </row>
    <row r="514" spans="1:9" ht="15.75" customHeight="1" x14ac:dyDescent="0.2">
      <c r="A514" s="577"/>
      <c r="B514" s="577"/>
      <c r="C514" s="576"/>
      <c r="D514" s="607">
        <v>46003</v>
      </c>
      <c r="E514" s="576" t="s">
        <v>719</v>
      </c>
      <c r="F514" s="576">
        <v>23426401.5</v>
      </c>
      <c r="G514" s="588">
        <v>46205.920000001788</v>
      </c>
      <c r="H514" s="576">
        <v>0</v>
      </c>
      <c r="I514" s="589">
        <v>0</v>
      </c>
    </row>
    <row r="515" spans="1:9" ht="15.75" customHeight="1" x14ac:dyDescent="0.2">
      <c r="A515" s="577"/>
      <c r="B515" s="577"/>
      <c r="C515" s="576"/>
      <c r="D515" s="607">
        <v>46004</v>
      </c>
      <c r="E515" s="576" t="s">
        <v>718</v>
      </c>
      <c r="F515" s="576">
        <v>23472607.420000002</v>
      </c>
      <c r="G515" s="588">
        <v>46205.920000001788</v>
      </c>
      <c r="H515" s="576">
        <v>0</v>
      </c>
      <c r="I515" s="589">
        <v>0</v>
      </c>
    </row>
    <row r="516" spans="1:9" ht="15.75" customHeight="1" x14ac:dyDescent="0.2">
      <c r="A516" s="577"/>
      <c r="B516" s="577"/>
      <c r="C516" s="576"/>
      <c r="D516" s="607">
        <v>46005</v>
      </c>
      <c r="E516" s="576" t="s">
        <v>717</v>
      </c>
      <c r="F516" s="576">
        <v>23518813.34</v>
      </c>
      <c r="G516" s="588">
        <v>46205.919999998063</v>
      </c>
      <c r="H516" s="576">
        <v>0</v>
      </c>
      <c r="I516" s="589">
        <v>0</v>
      </c>
    </row>
    <row r="517" spans="1:9" ht="15.75" customHeight="1" x14ac:dyDescent="0.2">
      <c r="A517" s="577"/>
      <c r="B517" s="577"/>
      <c r="C517" s="576"/>
      <c r="D517" s="607">
        <v>46006</v>
      </c>
      <c r="E517" s="576" t="s">
        <v>716</v>
      </c>
      <c r="F517" s="576">
        <v>23565019.260000002</v>
      </c>
      <c r="G517" s="588">
        <v>46205.920000001788</v>
      </c>
      <c r="H517" s="576">
        <v>0</v>
      </c>
      <c r="I517" s="589">
        <v>0</v>
      </c>
    </row>
    <row r="518" spans="1:9" ht="15.75" customHeight="1" x14ac:dyDescent="0.2">
      <c r="A518" s="577"/>
      <c r="B518" s="577"/>
      <c r="C518" s="576"/>
      <c r="D518" s="607">
        <v>46007</v>
      </c>
      <c r="E518" s="576" t="s">
        <v>715</v>
      </c>
      <c r="F518" s="576">
        <v>23611225.18</v>
      </c>
      <c r="G518" s="588">
        <v>46205.919999998063</v>
      </c>
      <c r="H518" s="576">
        <v>0</v>
      </c>
      <c r="I518" s="589">
        <v>0</v>
      </c>
    </row>
    <row r="519" spans="1:9" ht="15.75" customHeight="1" x14ac:dyDescent="0.2">
      <c r="A519" s="577"/>
      <c r="B519" s="577"/>
      <c r="C519" s="576"/>
      <c r="D519" s="607">
        <v>46008</v>
      </c>
      <c r="E519" s="576" t="s">
        <v>721</v>
      </c>
      <c r="F519" s="576">
        <v>23657431.100000001</v>
      </c>
      <c r="G519" s="588">
        <v>46205.920000001788</v>
      </c>
      <c r="H519" s="576">
        <v>323441.44000000134</v>
      </c>
      <c r="I519" s="589">
        <v>646882.88000000268</v>
      </c>
    </row>
    <row r="520" spans="1:9" ht="15.75" customHeight="1" x14ac:dyDescent="0.2">
      <c r="A520" s="577"/>
      <c r="B520" s="577"/>
      <c r="C520" s="576"/>
      <c r="D520" s="607">
        <v>46009</v>
      </c>
      <c r="E520" s="576" t="s">
        <v>720</v>
      </c>
      <c r="F520" s="576">
        <v>23703637.02</v>
      </c>
      <c r="G520" s="588">
        <v>46205.919999998063</v>
      </c>
      <c r="H520" s="576">
        <v>0</v>
      </c>
      <c r="I520" s="589">
        <v>0</v>
      </c>
    </row>
    <row r="521" spans="1:9" ht="15.75" customHeight="1" x14ac:dyDescent="0.2">
      <c r="A521" s="577"/>
      <c r="B521" s="577"/>
      <c r="C521" s="576"/>
      <c r="D521" s="607">
        <v>46010</v>
      </c>
      <c r="E521" s="576" t="s">
        <v>719</v>
      </c>
      <c r="F521" s="576">
        <v>23749842.940000001</v>
      </c>
      <c r="G521" s="588">
        <v>46205.920000001788</v>
      </c>
      <c r="H521" s="576">
        <v>0</v>
      </c>
      <c r="I521" s="589">
        <v>0</v>
      </c>
    </row>
    <row r="522" spans="1:9" ht="15.75" customHeight="1" x14ac:dyDescent="0.2">
      <c r="A522" s="577"/>
      <c r="B522" s="577"/>
      <c r="C522" s="576"/>
      <c r="D522" s="607">
        <v>46011</v>
      </c>
      <c r="E522" s="576" t="s">
        <v>718</v>
      </c>
      <c r="F522" s="576">
        <v>23796048.859999999</v>
      </c>
      <c r="G522" s="588">
        <v>46205.919999998063</v>
      </c>
      <c r="H522" s="576">
        <v>0</v>
      </c>
      <c r="I522" s="589">
        <v>0</v>
      </c>
    </row>
    <row r="523" spans="1:9" ht="15.75" customHeight="1" x14ac:dyDescent="0.2">
      <c r="A523" s="577"/>
      <c r="B523" s="577"/>
      <c r="C523" s="576"/>
      <c r="D523" s="607">
        <v>46012</v>
      </c>
      <c r="E523" s="576" t="s">
        <v>717</v>
      </c>
      <c r="F523" s="576">
        <v>23842254.780000001</v>
      </c>
      <c r="G523" s="588">
        <v>46205.920000001788</v>
      </c>
      <c r="H523" s="576">
        <v>0</v>
      </c>
      <c r="I523" s="589">
        <v>0</v>
      </c>
    </row>
    <row r="524" spans="1:9" ht="15.75" customHeight="1" x14ac:dyDescent="0.2">
      <c r="A524" s="577"/>
      <c r="B524" s="577"/>
      <c r="C524" s="576"/>
      <c r="D524" s="607">
        <v>46013</v>
      </c>
      <c r="E524" s="576" t="s">
        <v>716</v>
      </c>
      <c r="F524" s="576">
        <v>23888460.699999999</v>
      </c>
      <c r="G524" s="588">
        <v>46205.919999998063</v>
      </c>
      <c r="H524" s="576">
        <v>0</v>
      </c>
      <c r="I524" s="589">
        <v>0</v>
      </c>
    </row>
    <row r="525" spans="1:9" ht="15.75" customHeight="1" x14ac:dyDescent="0.2">
      <c r="A525" s="577"/>
      <c r="B525" s="577"/>
      <c r="C525" s="576"/>
      <c r="D525" s="607">
        <v>46014</v>
      </c>
      <c r="E525" s="576" t="s">
        <v>715</v>
      </c>
      <c r="F525" s="576">
        <v>23934666.620000001</v>
      </c>
      <c r="G525" s="588">
        <v>46205.920000001788</v>
      </c>
      <c r="H525" s="576">
        <v>0</v>
      </c>
      <c r="I525" s="589">
        <v>0</v>
      </c>
    </row>
    <row r="526" spans="1:9" ht="15.75" customHeight="1" x14ac:dyDescent="0.2">
      <c r="A526" s="577"/>
      <c r="B526" s="577"/>
      <c r="C526" s="576"/>
      <c r="D526" s="607">
        <v>46015</v>
      </c>
      <c r="E526" s="576" t="s">
        <v>721</v>
      </c>
      <c r="F526" s="576">
        <v>23980872.539999999</v>
      </c>
      <c r="G526" s="588">
        <v>46205.919999998063</v>
      </c>
      <c r="H526" s="576">
        <v>323441.43999999762</v>
      </c>
      <c r="I526" s="589">
        <v>0</v>
      </c>
    </row>
    <row r="527" spans="1:9" ht="15.75" customHeight="1" x14ac:dyDescent="0.2">
      <c r="A527" s="577"/>
      <c r="B527" s="577"/>
      <c r="C527" s="576"/>
      <c r="D527" s="607">
        <v>46016</v>
      </c>
      <c r="E527" s="576" t="s">
        <v>720</v>
      </c>
      <c r="F527" s="576">
        <v>24027078.460000001</v>
      </c>
      <c r="G527" s="588">
        <v>46205.920000001788</v>
      </c>
      <c r="H527" s="576">
        <v>0</v>
      </c>
      <c r="I527" s="589">
        <v>0</v>
      </c>
    </row>
    <row r="528" spans="1:9" ht="15.75" customHeight="1" x14ac:dyDescent="0.2">
      <c r="A528" s="577"/>
      <c r="B528" s="577"/>
      <c r="C528" s="576"/>
      <c r="D528" s="607">
        <v>46017</v>
      </c>
      <c r="E528" s="576" t="s">
        <v>719</v>
      </c>
      <c r="F528" s="576">
        <v>24073284.379999999</v>
      </c>
      <c r="G528" s="588">
        <v>46205.919999998063</v>
      </c>
      <c r="H528" s="576">
        <v>0</v>
      </c>
      <c r="I528" s="589">
        <v>0</v>
      </c>
    </row>
    <row r="529" spans="1:9" ht="15.75" customHeight="1" x14ac:dyDescent="0.2">
      <c r="A529" s="577"/>
      <c r="B529" s="577"/>
      <c r="C529" s="576"/>
      <c r="D529" s="607">
        <v>46018</v>
      </c>
      <c r="E529" s="576" t="s">
        <v>718</v>
      </c>
      <c r="F529" s="576">
        <v>24119490.300000001</v>
      </c>
      <c r="G529" s="588">
        <v>46205.920000001788</v>
      </c>
      <c r="H529" s="576">
        <v>0</v>
      </c>
      <c r="I529" s="589">
        <v>0</v>
      </c>
    </row>
    <row r="530" spans="1:9" ht="15.75" customHeight="1" x14ac:dyDescent="0.2">
      <c r="A530" s="577"/>
      <c r="B530" s="577"/>
      <c r="C530" s="576"/>
      <c r="D530" s="607">
        <v>46019</v>
      </c>
      <c r="E530" s="576" t="s">
        <v>717</v>
      </c>
      <c r="F530" s="576">
        <v>24165696.219999999</v>
      </c>
      <c r="G530" s="588">
        <v>46205.919999998063</v>
      </c>
      <c r="H530" s="576">
        <v>0</v>
      </c>
      <c r="I530" s="589">
        <v>0</v>
      </c>
    </row>
    <row r="531" spans="1:9" ht="15.75" customHeight="1" x14ac:dyDescent="0.2">
      <c r="A531" s="577"/>
      <c r="B531" s="577"/>
      <c r="C531" s="576"/>
      <c r="D531" s="607">
        <v>46020</v>
      </c>
      <c r="E531" s="576" t="s">
        <v>716</v>
      </c>
      <c r="F531" s="576">
        <v>24211902.140000001</v>
      </c>
      <c r="G531" s="588">
        <v>46205.920000001788</v>
      </c>
      <c r="H531" s="576">
        <v>0</v>
      </c>
      <c r="I531" s="589">
        <v>0</v>
      </c>
    </row>
    <row r="532" spans="1:9" ht="15.75" customHeight="1" x14ac:dyDescent="0.2">
      <c r="A532" s="577"/>
      <c r="B532" s="577"/>
      <c r="C532" s="576"/>
      <c r="D532" s="607">
        <v>46021</v>
      </c>
      <c r="E532" s="576" t="s">
        <v>715</v>
      </c>
      <c r="F532" s="576">
        <v>24258108.07</v>
      </c>
      <c r="G532" s="588">
        <v>46205.929999999702</v>
      </c>
      <c r="H532" s="576">
        <v>0</v>
      </c>
      <c r="I532" s="589">
        <v>0</v>
      </c>
    </row>
    <row r="533" spans="1:9" ht="15.75" customHeight="1" x14ac:dyDescent="0.2">
      <c r="A533" s="577"/>
      <c r="B533" s="577"/>
      <c r="C533" s="576"/>
      <c r="D533" s="607">
        <v>46022</v>
      </c>
      <c r="E533" s="576" t="s">
        <v>721</v>
      </c>
      <c r="F533" s="576">
        <v>24304313.989999998</v>
      </c>
      <c r="G533" s="588">
        <v>46205.919999998063</v>
      </c>
      <c r="H533" s="576">
        <v>323441.44999999925</v>
      </c>
      <c r="I533" s="589">
        <v>646882.88999999687</v>
      </c>
    </row>
    <row r="534" spans="1:9" ht="15.75" customHeight="1" x14ac:dyDescent="0.2">
      <c r="A534" s="577"/>
      <c r="B534" s="577"/>
      <c r="C534" s="576"/>
      <c r="D534" s="607">
        <v>46023</v>
      </c>
      <c r="E534" s="576" t="s">
        <v>720</v>
      </c>
      <c r="F534" s="576">
        <v>24350519.91</v>
      </c>
      <c r="G534" s="588">
        <v>46205.920000001788</v>
      </c>
      <c r="H534" s="576">
        <v>0</v>
      </c>
      <c r="I534" s="589">
        <v>0</v>
      </c>
    </row>
    <row r="535" spans="1:9" ht="15.75" customHeight="1" x14ac:dyDescent="0.2">
      <c r="A535" s="577"/>
      <c r="B535" s="577"/>
      <c r="C535" s="576"/>
      <c r="D535" s="607">
        <v>46024</v>
      </c>
      <c r="E535" s="576" t="s">
        <v>719</v>
      </c>
      <c r="F535" s="576">
        <v>24396725.829999998</v>
      </c>
      <c r="G535" s="588">
        <v>46205.919999998063</v>
      </c>
      <c r="H535" s="576">
        <v>0</v>
      </c>
      <c r="I535" s="589">
        <v>0</v>
      </c>
    </row>
    <row r="536" spans="1:9" ht="15.75" customHeight="1" x14ac:dyDescent="0.2">
      <c r="A536" s="577"/>
      <c r="B536" s="577"/>
      <c r="C536" s="576"/>
      <c r="D536" s="607">
        <v>46025</v>
      </c>
      <c r="E536" s="576" t="s">
        <v>718</v>
      </c>
      <c r="F536" s="576">
        <v>24442931.75</v>
      </c>
      <c r="G536" s="588">
        <v>46205.920000001788</v>
      </c>
      <c r="H536" s="576">
        <v>0</v>
      </c>
      <c r="I536" s="589">
        <v>0</v>
      </c>
    </row>
    <row r="537" spans="1:9" ht="15.75" customHeight="1" x14ac:dyDescent="0.2">
      <c r="A537" s="577"/>
      <c r="B537" s="577"/>
      <c r="C537" s="576"/>
      <c r="D537" s="607">
        <v>46026</v>
      </c>
      <c r="E537" s="576" t="s">
        <v>717</v>
      </c>
      <c r="F537" s="576">
        <v>24489137.670000002</v>
      </c>
      <c r="G537" s="588">
        <v>46205.920000001788</v>
      </c>
      <c r="H537" s="576">
        <v>0</v>
      </c>
      <c r="I537" s="589">
        <v>0</v>
      </c>
    </row>
    <row r="538" spans="1:9" ht="15.75" customHeight="1" x14ac:dyDescent="0.2">
      <c r="A538" s="577"/>
      <c r="B538" s="577"/>
      <c r="C538" s="576"/>
      <c r="D538" s="607">
        <v>46027</v>
      </c>
      <c r="E538" s="576" t="s">
        <v>716</v>
      </c>
      <c r="F538" s="576">
        <v>24535343.59</v>
      </c>
      <c r="G538" s="588">
        <v>46205.919999998063</v>
      </c>
      <c r="H538" s="576">
        <v>0</v>
      </c>
      <c r="I538" s="589">
        <v>0</v>
      </c>
    </row>
    <row r="539" spans="1:9" ht="15.75" customHeight="1" x14ac:dyDescent="0.2">
      <c r="A539" s="577"/>
      <c r="B539" s="577"/>
      <c r="C539" s="576"/>
      <c r="D539" s="607">
        <v>46028</v>
      </c>
      <c r="E539" s="576" t="s">
        <v>715</v>
      </c>
      <c r="F539" s="576">
        <v>24581549.510000002</v>
      </c>
      <c r="G539" s="588">
        <v>46205.920000001788</v>
      </c>
      <c r="H539" s="576">
        <v>0</v>
      </c>
      <c r="I539" s="589">
        <v>0</v>
      </c>
    </row>
    <row r="540" spans="1:9" ht="15.75" customHeight="1" x14ac:dyDescent="0.2">
      <c r="A540" s="577"/>
      <c r="B540" s="577"/>
      <c r="C540" s="576"/>
      <c r="D540" s="607">
        <v>46029</v>
      </c>
      <c r="E540" s="576" t="s">
        <v>721</v>
      </c>
      <c r="F540" s="576">
        <v>24627755.43</v>
      </c>
      <c r="G540" s="588">
        <v>46205.919999998063</v>
      </c>
      <c r="H540" s="576">
        <v>323441.44000000134</v>
      </c>
      <c r="I540" s="589">
        <v>0</v>
      </c>
    </row>
    <row r="541" spans="1:9" ht="15.75" customHeight="1" x14ac:dyDescent="0.2">
      <c r="A541" s="577"/>
      <c r="B541" s="577"/>
      <c r="C541" s="576"/>
      <c r="D541" s="607">
        <v>46030</v>
      </c>
      <c r="E541" s="576" t="s">
        <v>720</v>
      </c>
      <c r="F541" s="576">
        <v>24673961.350000001</v>
      </c>
      <c r="G541" s="588">
        <v>46205.920000001788</v>
      </c>
      <c r="H541" s="576">
        <v>0</v>
      </c>
      <c r="I541" s="589">
        <v>0</v>
      </c>
    </row>
    <row r="542" spans="1:9" ht="15.75" customHeight="1" x14ac:dyDescent="0.2">
      <c r="A542" s="577"/>
      <c r="B542" s="577"/>
      <c r="C542" s="576"/>
      <c r="D542" s="607">
        <v>46031</v>
      </c>
      <c r="E542" s="576" t="s">
        <v>719</v>
      </c>
      <c r="F542" s="576">
        <v>24720167.27</v>
      </c>
      <c r="G542" s="588">
        <v>46205.919999998063</v>
      </c>
      <c r="H542" s="576">
        <v>0</v>
      </c>
      <c r="I542" s="589">
        <v>0</v>
      </c>
    </row>
    <row r="543" spans="1:9" ht="15.75" customHeight="1" x14ac:dyDescent="0.2">
      <c r="A543" s="577"/>
      <c r="B543" s="577"/>
      <c r="C543" s="576"/>
      <c r="D543" s="607">
        <v>46032</v>
      </c>
      <c r="E543" s="576" t="s">
        <v>718</v>
      </c>
      <c r="F543" s="576">
        <v>24766373.190000001</v>
      </c>
      <c r="G543" s="588">
        <v>46205.920000001788</v>
      </c>
      <c r="H543" s="576">
        <v>0</v>
      </c>
      <c r="I543" s="589">
        <v>0</v>
      </c>
    </row>
    <row r="544" spans="1:9" ht="15.75" customHeight="1" x14ac:dyDescent="0.2">
      <c r="A544" s="577"/>
      <c r="B544" s="577"/>
      <c r="C544" s="576"/>
      <c r="D544" s="607">
        <v>46033</v>
      </c>
      <c r="E544" s="576" t="s">
        <v>717</v>
      </c>
      <c r="F544" s="576">
        <v>24812579.109999999</v>
      </c>
      <c r="G544" s="588">
        <v>46205.919999998063</v>
      </c>
      <c r="H544" s="576">
        <v>0</v>
      </c>
      <c r="I544" s="589">
        <v>0</v>
      </c>
    </row>
    <row r="545" spans="1:9" ht="15.75" customHeight="1" x14ac:dyDescent="0.2">
      <c r="A545" s="577"/>
      <c r="B545" s="577"/>
      <c r="C545" s="576"/>
      <c r="D545" s="607">
        <v>46034</v>
      </c>
      <c r="E545" s="576" t="s">
        <v>716</v>
      </c>
      <c r="F545" s="576">
        <v>24858785.030000001</v>
      </c>
      <c r="G545" s="588">
        <v>46205.920000001788</v>
      </c>
      <c r="H545" s="576">
        <v>0</v>
      </c>
      <c r="I545" s="589">
        <v>0</v>
      </c>
    </row>
    <row r="546" spans="1:9" ht="15.75" customHeight="1" x14ac:dyDescent="0.2">
      <c r="A546" s="577"/>
      <c r="B546" s="577"/>
      <c r="C546" s="576"/>
      <c r="D546" s="607">
        <v>46035</v>
      </c>
      <c r="E546" s="576" t="s">
        <v>715</v>
      </c>
      <c r="F546" s="576">
        <v>24904990.949999999</v>
      </c>
      <c r="G546" s="588">
        <v>46205.919999998063</v>
      </c>
      <c r="H546" s="576">
        <v>0</v>
      </c>
      <c r="I546" s="589">
        <v>0</v>
      </c>
    </row>
    <row r="547" spans="1:9" ht="15.75" customHeight="1" x14ac:dyDescent="0.2">
      <c r="A547" s="577"/>
      <c r="B547" s="577"/>
      <c r="C547" s="576"/>
      <c r="D547" s="607">
        <v>46036</v>
      </c>
      <c r="E547" s="576" t="s">
        <v>721</v>
      </c>
      <c r="F547" s="576">
        <v>24951196.870000001</v>
      </c>
      <c r="G547" s="588">
        <v>46205.920000001788</v>
      </c>
      <c r="H547" s="576">
        <v>323441.44000000134</v>
      </c>
      <c r="I547" s="589">
        <v>646882.88000000268</v>
      </c>
    </row>
    <row r="548" spans="1:9" ht="15.75" customHeight="1" x14ac:dyDescent="0.2">
      <c r="A548" s="577"/>
      <c r="B548" s="577"/>
      <c r="C548" s="576"/>
      <c r="D548" s="607">
        <v>46037</v>
      </c>
      <c r="E548" s="576" t="s">
        <v>720</v>
      </c>
      <c r="F548" s="576">
        <v>24997402.789999999</v>
      </c>
      <c r="G548" s="588">
        <v>46205.919999998063</v>
      </c>
      <c r="H548" s="576">
        <v>0</v>
      </c>
      <c r="I548" s="589">
        <v>0</v>
      </c>
    </row>
    <row r="549" spans="1:9" ht="15.75" customHeight="1" x14ac:dyDescent="0.2">
      <c r="A549" s="577"/>
      <c r="B549" s="577"/>
      <c r="C549" s="576"/>
      <c r="D549" s="607">
        <v>46038</v>
      </c>
      <c r="E549" s="576" t="s">
        <v>719</v>
      </c>
      <c r="F549" s="576">
        <v>25043608.710000001</v>
      </c>
      <c r="G549" s="588">
        <v>46205.920000001788</v>
      </c>
      <c r="H549" s="576">
        <v>0</v>
      </c>
      <c r="I549" s="589">
        <v>0</v>
      </c>
    </row>
    <row r="550" spans="1:9" ht="15.75" customHeight="1" x14ac:dyDescent="0.2">
      <c r="A550" s="577"/>
      <c r="B550" s="577"/>
      <c r="C550" s="576"/>
      <c r="D550" s="607">
        <v>46039</v>
      </c>
      <c r="E550" s="576" t="s">
        <v>718</v>
      </c>
      <c r="F550" s="576">
        <v>25089814.629999999</v>
      </c>
      <c r="G550" s="588">
        <v>46205.919999998063</v>
      </c>
      <c r="H550" s="576">
        <v>0</v>
      </c>
      <c r="I550" s="589">
        <v>0</v>
      </c>
    </row>
    <row r="551" spans="1:9" ht="15.75" customHeight="1" x14ac:dyDescent="0.2">
      <c r="A551" s="577"/>
      <c r="B551" s="577"/>
      <c r="C551" s="576"/>
      <c r="D551" s="607">
        <v>46040</v>
      </c>
      <c r="E551" s="576" t="s">
        <v>717</v>
      </c>
      <c r="F551" s="576">
        <v>25136020.550000001</v>
      </c>
      <c r="G551" s="588">
        <v>46205.920000001788</v>
      </c>
      <c r="H551" s="576">
        <v>0</v>
      </c>
      <c r="I551" s="589">
        <v>0</v>
      </c>
    </row>
    <row r="552" spans="1:9" ht="15.75" customHeight="1" x14ac:dyDescent="0.2">
      <c r="A552" s="577"/>
      <c r="B552" s="577"/>
      <c r="C552" s="576"/>
      <c r="D552" s="607">
        <v>46041</v>
      </c>
      <c r="E552" s="576" t="s">
        <v>716</v>
      </c>
      <c r="F552" s="576">
        <v>25182226.469999999</v>
      </c>
      <c r="G552" s="588">
        <v>46205.919999998063</v>
      </c>
      <c r="H552" s="576">
        <v>0</v>
      </c>
      <c r="I552" s="589">
        <v>0</v>
      </c>
    </row>
    <row r="553" spans="1:9" ht="15.75" customHeight="1" x14ac:dyDescent="0.2">
      <c r="A553" s="577"/>
      <c r="B553" s="577"/>
      <c r="C553" s="576"/>
      <c r="D553" s="607">
        <v>46042</v>
      </c>
      <c r="E553" s="576" t="s">
        <v>715</v>
      </c>
      <c r="F553" s="576">
        <v>25228432.390000001</v>
      </c>
      <c r="G553" s="588">
        <v>46205.920000001788</v>
      </c>
      <c r="H553" s="576">
        <v>0</v>
      </c>
      <c r="I553" s="589">
        <v>0</v>
      </c>
    </row>
    <row r="554" spans="1:9" ht="15.75" customHeight="1" x14ac:dyDescent="0.2">
      <c r="A554" s="577"/>
      <c r="B554" s="577"/>
      <c r="C554" s="576"/>
      <c r="D554" s="607">
        <v>46043</v>
      </c>
      <c r="E554" s="576" t="s">
        <v>721</v>
      </c>
      <c r="F554" s="576">
        <v>25274638.309999999</v>
      </c>
      <c r="G554" s="588">
        <v>46205.919999998063</v>
      </c>
      <c r="H554" s="576">
        <v>323441.43999999762</v>
      </c>
      <c r="I554" s="589">
        <v>0</v>
      </c>
    </row>
    <row r="555" spans="1:9" ht="15.75" customHeight="1" x14ac:dyDescent="0.2">
      <c r="A555" s="577"/>
      <c r="B555" s="577"/>
      <c r="C555" s="576"/>
      <c r="D555" s="607">
        <v>46044</v>
      </c>
      <c r="E555" s="576" t="s">
        <v>720</v>
      </c>
      <c r="F555" s="576">
        <v>25320844.23</v>
      </c>
      <c r="G555" s="588">
        <v>46205.920000001788</v>
      </c>
      <c r="H555" s="576">
        <v>0</v>
      </c>
      <c r="I555" s="589">
        <v>0</v>
      </c>
    </row>
    <row r="556" spans="1:9" ht="15.75" customHeight="1" x14ac:dyDescent="0.2">
      <c r="A556" s="577"/>
      <c r="B556" s="577"/>
      <c r="C556" s="576"/>
      <c r="D556" s="607">
        <v>46045</v>
      </c>
      <c r="E556" s="576" t="s">
        <v>719</v>
      </c>
      <c r="F556" s="576">
        <v>25367050.149999999</v>
      </c>
      <c r="G556" s="588">
        <v>46205.919999998063</v>
      </c>
      <c r="H556" s="576">
        <v>0</v>
      </c>
      <c r="I556" s="589">
        <v>0</v>
      </c>
    </row>
    <row r="557" spans="1:9" ht="15.75" customHeight="1" x14ac:dyDescent="0.2">
      <c r="A557" s="577"/>
      <c r="B557" s="577"/>
      <c r="C557" s="576"/>
      <c r="D557" s="607">
        <v>46046</v>
      </c>
      <c r="E557" s="576" t="s">
        <v>718</v>
      </c>
      <c r="F557" s="576">
        <v>25413256.07</v>
      </c>
      <c r="G557" s="588">
        <v>46205.920000001788</v>
      </c>
      <c r="H557" s="576">
        <v>0</v>
      </c>
      <c r="I557" s="589">
        <v>0</v>
      </c>
    </row>
    <row r="558" spans="1:9" ht="15.75" customHeight="1" x14ac:dyDescent="0.2">
      <c r="A558" s="577"/>
      <c r="B558" s="577"/>
      <c r="C558" s="576"/>
      <c r="D558" s="607">
        <v>46047</v>
      </c>
      <c r="E558" s="576" t="s">
        <v>717</v>
      </c>
      <c r="F558" s="576">
        <v>25459461.989999998</v>
      </c>
      <c r="G558" s="588">
        <v>46205.919999998063</v>
      </c>
      <c r="H558" s="576">
        <v>0</v>
      </c>
      <c r="I558" s="589">
        <v>0</v>
      </c>
    </row>
    <row r="559" spans="1:9" ht="15.75" customHeight="1" x14ac:dyDescent="0.2">
      <c r="A559" s="577"/>
      <c r="B559" s="577"/>
      <c r="C559" s="576"/>
      <c r="D559" s="607">
        <v>46048</v>
      </c>
      <c r="E559" s="576" t="s">
        <v>716</v>
      </c>
      <c r="F559" s="576">
        <v>25505667.91</v>
      </c>
      <c r="G559" s="588">
        <v>46205.920000001788</v>
      </c>
      <c r="H559" s="576">
        <v>0</v>
      </c>
      <c r="I559" s="589">
        <v>0</v>
      </c>
    </row>
    <row r="560" spans="1:9" ht="15.75" customHeight="1" x14ac:dyDescent="0.2">
      <c r="A560" s="577"/>
      <c r="B560" s="577"/>
      <c r="C560" s="576"/>
      <c r="D560" s="607">
        <v>46049</v>
      </c>
      <c r="E560" s="576" t="s">
        <v>715</v>
      </c>
      <c r="F560" s="576">
        <v>25551873.829999998</v>
      </c>
      <c r="G560" s="588">
        <v>46205.919999998063</v>
      </c>
      <c r="H560" s="576">
        <v>0</v>
      </c>
      <c r="I560" s="589">
        <v>0</v>
      </c>
    </row>
    <row r="561" spans="1:9" ht="15.75" customHeight="1" x14ac:dyDescent="0.2">
      <c r="A561" s="577"/>
      <c r="B561" s="577"/>
      <c r="C561" s="576"/>
      <c r="D561" s="607">
        <v>46050</v>
      </c>
      <c r="E561" s="576" t="s">
        <v>721</v>
      </c>
      <c r="F561" s="576">
        <v>25598079.75</v>
      </c>
      <c r="G561" s="588">
        <v>46205.920000001788</v>
      </c>
      <c r="H561" s="576">
        <v>323441.44000000134</v>
      </c>
      <c r="I561" s="589">
        <v>646882.87999999896</v>
      </c>
    </row>
    <row r="562" spans="1:9" ht="15.75" customHeight="1" x14ac:dyDescent="0.2">
      <c r="A562" s="577"/>
      <c r="B562" s="577"/>
      <c r="C562" s="576"/>
      <c r="D562" s="607">
        <v>46051</v>
      </c>
      <c r="E562" s="576" t="s">
        <v>720</v>
      </c>
      <c r="F562" s="576">
        <v>25644285.670000002</v>
      </c>
      <c r="G562" s="588">
        <v>46205.920000001788</v>
      </c>
      <c r="H562" s="576">
        <v>0</v>
      </c>
      <c r="I562" s="589">
        <v>0</v>
      </c>
    </row>
    <row r="563" spans="1:9" ht="15.75" customHeight="1" x14ac:dyDescent="0.2">
      <c r="A563" s="577"/>
      <c r="B563" s="577"/>
      <c r="C563" s="576"/>
      <c r="D563" s="607">
        <v>46052</v>
      </c>
      <c r="E563" s="576" t="s">
        <v>719</v>
      </c>
      <c r="F563" s="576">
        <v>25690491.59</v>
      </c>
      <c r="G563" s="588">
        <v>46205.919999998063</v>
      </c>
      <c r="H563" s="576">
        <v>0</v>
      </c>
      <c r="I563" s="589">
        <v>0</v>
      </c>
    </row>
    <row r="564" spans="1:9" ht="15.75" customHeight="1" x14ac:dyDescent="0.2">
      <c r="A564" s="577"/>
      <c r="B564" s="577"/>
      <c r="C564" s="576"/>
      <c r="D564" s="607">
        <v>46053</v>
      </c>
      <c r="E564" s="576" t="s">
        <v>718</v>
      </c>
      <c r="F564" s="576">
        <v>25736697.510000002</v>
      </c>
      <c r="G564" s="588">
        <v>46205.920000001788</v>
      </c>
      <c r="H564" s="576">
        <v>0</v>
      </c>
      <c r="I564" s="589">
        <v>0</v>
      </c>
    </row>
    <row r="565" spans="1:9" ht="15.75" customHeight="1" x14ac:dyDescent="0.2">
      <c r="A565" s="577"/>
      <c r="B565" s="577"/>
      <c r="C565" s="576"/>
      <c r="D565" s="607">
        <v>46054</v>
      </c>
      <c r="E565" s="576" t="s">
        <v>717</v>
      </c>
      <c r="F565" s="576">
        <v>25782903.43</v>
      </c>
      <c r="G565" s="588">
        <v>46205.919999998063</v>
      </c>
      <c r="H565" s="576">
        <v>0</v>
      </c>
      <c r="I565" s="589">
        <v>0</v>
      </c>
    </row>
    <row r="566" spans="1:9" ht="15.75" customHeight="1" x14ac:dyDescent="0.2">
      <c r="A566" s="577"/>
      <c r="B566" s="577"/>
      <c r="C566" s="576"/>
      <c r="D566" s="607">
        <v>46055</v>
      </c>
      <c r="E566" s="576" t="s">
        <v>716</v>
      </c>
      <c r="F566" s="576">
        <v>25829109.350000001</v>
      </c>
      <c r="G566" s="588">
        <v>46205.920000001788</v>
      </c>
      <c r="H566" s="576">
        <v>0</v>
      </c>
      <c r="I566" s="589">
        <v>0</v>
      </c>
    </row>
    <row r="567" spans="1:9" ht="15.75" customHeight="1" x14ac:dyDescent="0.2">
      <c r="A567" s="577"/>
      <c r="B567" s="577"/>
      <c r="C567" s="576"/>
      <c r="D567" s="607">
        <v>46056</v>
      </c>
      <c r="E567" s="576" t="s">
        <v>715</v>
      </c>
      <c r="F567" s="576">
        <v>25875315.27</v>
      </c>
      <c r="G567" s="588">
        <v>46205.919999998063</v>
      </c>
      <c r="H567" s="576">
        <v>0</v>
      </c>
      <c r="I567" s="589">
        <v>0</v>
      </c>
    </row>
    <row r="568" spans="1:9" ht="15.75" customHeight="1" x14ac:dyDescent="0.2">
      <c r="A568" s="577"/>
      <c r="B568" s="577"/>
      <c r="C568" s="576"/>
      <c r="D568" s="607">
        <v>46057</v>
      </c>
      <c r="E568" s="576" t="s">
        <v>721</v>
      </c>
      <c r="F568" s="576">
        <v>25921521.190000001</v>
      </c>
      <c r="G568" s="588">
        <v>46205.920000001788</v>
      </c>
      <c r="H568" s="576">
        <v>323441.44000000134</v>
      </c>
      <c r="I568" s="589">
        <v>0</v>
      </c>
    </row>
    <row r="569" spans="1:9" ht="15.75" customHeight="1" x14ac:dyDescent="0.2">
      <c r="A569" s="577"/>
      <c r="B569" s="577"/>
      <c r="C569" s="576"/>
      <c r="D569" s="607">
        <v>46058</v>
      </c>
      <c r="E569" s="576" t="s">
        <v>720</v>
      </c>
      <c r="F569" s="576">
        <v>25967727.109999999</v>
      </c>
      <c r="G569" s="588">
        <v>46205.919999998063</v>
      </c>
      <c r="H569" s="576">
        <v>0</v>
      </c>
      <c r="I569" s="589">
        <v>0</v>
      </c>
    </row>
    <row r="570" spans="1:9" ht="15.75" customHeight="1" x14ac:dyDescent="0.2">
      <c r="A570" s="577"/>
      <c r="B570" s="577"/>
      <c r="C570" s="576"/>
      <c r="D570" s="607">
        <v>46059</v>
      </c>
      <c r="E570" s="576" t="s">
        <v>719</v>
      </c>
      <c r="F570" s="576">
        <v>26013933.030000001</v>
      </c>
      <c r="G570" s="588">
        <v>46205.920000001788</v>
      </c>
      <c r="H570" s="576">
        <v>0</v>
      </c>
      <c r="I570" s="589">
        <v>0</v>
      </c>
    </row>
    <row r="571" spans="1:9" ht="15.75" customHeight="1" x14ac:dyDescent="0.2">
      <c r="A571" s="577"/>
      <c r="B571" s="577"/>
      <c r="C571" s="576"/>
      <c r="D571" s="607">
        <v>46060</v>
      </c>
      <c r="E571" s="576" t="s">
        <v>718</v>
      </c>
      <c r="F571" s="576">
        <v>26060138.949999999</v>
      </c>
      <c r="G571" s="588">
        <v>46205.919999998063</v>
      </c>
      <c r="H571" s="576">
        <v>0</v>
      </c>
      <c r="I571" s="589">
        <v>0</v>
      </c>
    </row>
    <row r="572" spans="1:9" ht="15.75" customHeight="1" x14ac:dyDescent="0.2">
      <c r="A572" s="577"/>
      <c r="B572" s="577"/>
      <c r="C572" s="576"/>
      <c r="D572" s="607">
        <v>46061</v>
      </c>
      <c r="E572" s="576" t="s">
        <v>717</v>
      </c>
      <c r="F572" s="576">
        <v>26106344.870000001</v>
      </c>
      <c r="G572" s="588">
        <v>46205.920000001788</v>
      </c>
      <c r="H572" s="576">
        <v>0</v>
      </c>
      <c r="I572" s="589">
        <v>0</v>
      </c>
    </row>
    <row r="573" spans="1:9" ht="15.75" customHeight="1" x14ac:dyDescent="0.2">
      <c r="A573" s="577"/>
      <c r="B573" s="577"/>
      <c r="C573" s="576"/>
      <c r="D573" s="607">
        <v>46062</v>
      </c>
      <c r="E573" s="576" t="s">
        <v>716</v>
      </c>
      <c r="F573" s="576">
        <v>26152550.789999999</v>
      </c>
      <c r="G573" s="588">
        <v>46205.919999998063</v>
      </c>
      <c r="H573" s="576">
        <v>0</v>
      </c>
      <c r="I573" s="589">
        <v>0</v>
      </c>
    </row>
    <row r="574" spans="1:9" ht="15.75" customHeight="1" x14ac:dyDescent="0.2">
      <c r="A574" s="577"/>
      <c r="B574" s="577"/>
      <c r="C574" s="576"/>
      <c r="D574" s="607">
        <v>46063</v>
      </c>
      <c r="E574" s="576" t="s">
        <v>715</v>
      </c>
      <c r="F574" s="576">
        <v>26198756.710000001</v>
      </c>
      <c r="G574" s="588">
        <v>46205.920000001788</v>
      </c>
      <c r="H574" s="576">
        <v>0</v>
      </c>
      <c r="I574" s="589">
        <v>0</v>
      </c>
    </row>
    <row r="575" spans="1:9" ht="15.75" customHeight="1" x14ac:dyDescent="0.2">
      <c r="A575" s="577"/>
      <c r="B575" s="577"/>
      <c r="C575" s="576"/>
      <c r="D575" s="607">
        <v>46064</v>
      </c>
      <c r="E575" s="576" t="s">
        <v>721</v>
      </c>
      <c r="F575" s="576">
        <v>26244962.629999999</v>
      </c>
      <c r="G575" s="588">
        <v>46205.919999998063</v>
      </c>
      <c r="H575" s="576">
        <v>323441.43999999762</v>
      </c>
      <c r="I575" s="589">
        <v>646882.87999999896</v>
      </c>
    </row>
    <row r="576" spans="1:9" ht="15.75" customHeight="1" x14ac:dyDescent="0.2">
      <c r="A576" s="577"/>
      <c r="B576" s="577"/>
      <c r="C576" s="576"/>
      <c r="D576" s="607">
        <v>46065</v>
      </c>
      <c r="E576" s="576" t="s">
        <v>720</v>
      </c>
      <c r="F576" s="576">
        <v>26291168.550000001</v>
      </c>
      <c r="G576" s="588">
        <v>46205.920000001788</v>
      </c>
      <c r="H576" s="576">
        <v>0</v>
      </c>
      <c r="I576" s="589">
        <v>0</v>
      </c>
    </row>
    <row r="577" spans="1:9" ht="15.75" customHeight="1" x14ac:dyDescent="0.2">
      <c r="A577" s="577"/>
      <c r="B577" s="577"/>
      <c r="C577" s="576"/>
      <c r="D577" s="607">
        <v>46066</v>
      </c>
      <c r="E577" s="576" t="s">
        <v>719</v>
      </c>
      <c r="F577" s="576">
        <v>26337374.469999999</v>
      </c>
      <c r="G577" s="588">
        <v>46205.919999998063</v>
      </c>
      <c r="H577" s="576">
        <v>0</v>
      </c>
      <c r="I577" s="589">
        <v>0</v>
      </c>
    </row>
    <row r="578" spans="1:9" ht="15.75" customHeight="1" x14ac:dyDescent="0.2">
      <c r="A578" s="577"/>
      <c r="B578" s="577"/>
      <c r="C578" s="576"/>
      <c r="D578" s="607">
        <v>46067</v>
      </c>
      <c r="E578" s="576" t="s">
        <v>718</v>
      </c>
      <c r="F578" s="576">
        <v>26383580.390000001</v>
      </c>
      <c r="G578" s="588">
        <v>46205.920000001788</v>
      </c>
      <c r="H578" s="576">
        <v>0</v>
      </c>
      <c r="I578" s="589">
        <v>0</v>
      </c>
    </row>
    <row r="579" spans="1:9" ht="15.75" customHeight="1" x14ac:dyDescent="0.2">
      <c r="A579" s="577"/>
      <c r="B579" s="577"/>
      <c r="C579" s="576"/>
      <c r="D579" s="607">
        <v>46068</v>
      </c>
      <c r="E579" s="576" t="s">
        <v>717</v>
      </c>
      <c r="F579" s="576">
        <v>26429786.309999999</v>
      </c>
      <c r="G579" s="588">
        <v>46205.919999998063</v>
      </c>
      <c r="H579" s="576">
        <v>0</v>
      </c>
      <c r="I579" s="589">
        <v>0</v>
      </c>
    </row>
    <row r="580" spans="1:9" ht="15.75" customHeight="1" x14ac:dyDescent="0.2">
      <c r="A580" s="577"/>
      <c r="B580" s="577"/>
      <c r="C580" s="576"/>
      <c r="D580" s="607">
        <v>46069</v>
      </c>
      <c r="E580" s="576" t="s">
        <v>716</v>
      </c>
      <c r="F580" s="576">
        <v>26475992.23</v>
      </c>
      <c r="G580" s="588">
        <v>46205.920000001788</v>
      </c>
      <c r="H580" s="576">
        <v>0</v>
      </c>
      <c r="I580" s="589">
        <v>0</v>
      </c>
    </row>
    <row r="581" spans="1:9" ht="15.75" customHeight="1" x14ac:dyDescent="0.2">
      <c r="A581" s="577"/>
      <c r="B581" s="577"/>
      <c r="C581" s="576"/>
      <c r="D581" s="607">
        <v>46070</v>
      </c>
      <c r="E581" s="576" t="s">
        <v>715</v>
      </c>
      <c r="F581" s="576">
        <v>26522198.149999999</v>
      </c>
      <c r="G581" s="588">
        <v>46205.919999998063</v>
      </c>
      <c r="H581" s="576">
        <v>0</v>
      </c>
      <c r="I581" s="589">
        <v>0</v>
      </c>
    </row>
    <row r="582" spans="1:9" ht="15.75" customHeight="1" x14ac:dyDescent="0.2">
      <c r="A582" s="577"/>
      <c r="B582" s="577"/>
      <c r="C582" s="576"/>
      <c r="D582" s="607">
        <v>46071</v>
      </c>
      <c r="E582" s="576" t="s">
        <v>721</v>
      </c>
      <c r="F582" s="576">
        <v>26568404.07</v>
      </c>
      <c r="G582" s="588">
        <v>46205.920000001788</v>
      </c>
      <c r="H582" s="576">
        <v>323441.44000000134</v>
      </c>
      <c r="I582" s="589">
        <v>0</v>
      </c>
    </row>
    <row r="583" spans="1:9" ht="15.75" customHeight="1" x14ac:dyDescent="0.2">
      <c r="A583" s="577"/>
      <c r="B583" s="577"/>
      <c r="C583" s="576"/>
      <c r="D583" s="607">
        <v>46072</v>
      </c>
      <c r="E583" s="576" t="s">
        <v>720</v>
      </c>
      <c r="F583" s="576">
        <v>26614609.989999998</v>
      </c>
      <c r="G583" s="588">
        <v>46205.919999998063</v>
      </c>
      <c r="H583" s="576">
        <v>0</v>
      </c>
      <c r="I583" s="589">
        <v>0</v>
      </c>
    </row>
    <row r="584" spans="1:9" ht="15.75" customHeight="1" x14ac:dyDescent="0.2">
      <c r="A584" s="577"/>
      <c r="B584" s="577"/>
      <c r="C584" s="576"/>
      <c r="D584" s="607">
        <v>46073</v>
      </c>
      <c r="E584" s="576" t="s">
        <v>719</v>
      </c>
      <c r="F584" s="576">
        <v>26660815.91</v>
      </c>
      <c r="G584" s="588">
        <v>46205.920000001788</v>
      </c>
      <c r="H584" s="576">
        <v>0</v>
      </c>
      <c r="I584" s="589">
        <v>0</v>
      </c>
    </row>
    <row r="585" spans="1:9" ht="15.75" customHeight="1" x14ac:dyDescent="0.2">
      <c r="A585" s="577"/>
      <c r="B585" s="577"/>
      <c r="C585" s="576"/>
      <c r="D585" s="607">
        <v>46074</v>
      </c>
      <c r="E585" s="576" t="s">
        <v>718</v>
      </c>
      <c r="F585" s="576">
        <v>26707021.829999998</v>
      </c>
      <c r="G585" s="588">
        <v>46205.919999998063</v>
      </c>
      <c r="H585" s="576">
        <v>0</v>
      </c>
      <c r="I585" s="589">
        <v>0</v>
      </c>
    </row>
    <row r="586" spans="1:9" ht="15.75" customHeight="1" x14ac:dyDescent="0.2">
      <c r="A586" s="577"/>
      <c r="B586" s="577"/>
      <c r="C586" s="576"/>
      <c r="D586" s="607">
        <v>46075</v>
      </c>
      <c r="E586" s="576" t="s">
        <v>717</v>
      </c>
      <c r="F586" s="576">
        <v>26753227.75</v>
      </c>
      <c r="G586" s="588">
        <v>46205.920000001788</v>
      </c>
      <c r="H586" s="576">
        <v>0</v>
      </c>
      <c r="I586" s="589">
        <v>0</v>
      </c>
    </row>
    <row r="587" spans="1:9" ht="15.75" customHeight="1" x14ac:dyDescent="0.2">
      <c r="A587" s="577"/>
      <c r="B587" s="577"/>
      <c r="C587" s="576"/>
      <c r="D587" s="607">
        <v>46076</v>
      </c>
      <c r="E587" s="576" t="s">
        <v>716</v>
      </c>
      <c r="F587" s="576">
        <v>26799433.670000002</v>
      </c>
      <c r="G587" s="588">
        <v>46205.920000001788</v>
      </c>
      <c r="H587" s="576">
        <v>0</v>
      </c>
      <c r="I587" s="589">
        <v>0</v>
      </c>
    </row>
    <row r="588" spans="1:9" ht="15.75" customHeight="1" x14ac:dyDescent="0.2">
      <c r="A588" s="577"/>
      <c r="B588" s="577"/>
      <c r="C588" s="576"/>
      <c r="D588" s="607">
        <v>46077</v>
      </c>
      <c r="E588" s="576" t="s">
        <v>715</v>
      </c>
      <c r="F588" s="576">
        <v>26845639.59</v>
      </c>
      <c r="G588" s="588">
        <v>46205.919999998063</v>
      </c>
      <c r="H588" s="576">
        <v>0</v>
      </c>
      <c r="I588" s="589">
        <v>0</v>
      </c>
    </row>
    <row r="589" spans="1:9" ht="15.75" customHeight="1" x14ac:dyDescent="0.2">
      <c r="A589" s="577"/>
      <c r="B589" s="577"/>
      <c r="C589" s="576"/>
      <c r="D589" s="607">
        <v>46078</v>
      </c>
      <c r="E589" s="576" t="s">
        <v>721</v>
      </c>
      <c r="F589" s="576">
        <v>26891845.510000002</v>
      </c>
      <c r="G589" s="588">
        <v>46205.920000001788</v>
      </c>
      <c r="H589" s="576">
        <v>323441.44000000134</v>
      </c>
      <c r="I589" s="589">
        <v>646882.88000000268</v>
      </c>
    </row>
    <row r="590" spans="1:9" ht="15.75" customHeight="1" x14ac:dyDescent="0.2">
      <c r="A590" s="577"/>
      <c r="B590" s="577"/>
      <c r="C590" s="576"/>
      <c r="D590" s="607">
        <v>46079</v>
      </c>
      <c r="E590" s="576" t="s">
        <v>720</v>
      </c>
      <c r="F590" s="576">
        <v>26938051.43</v>
      </c>
      <c r="G590" s="588">
        <v>46205.919999998063</v>
      </c>
      <c r="H590" s="576">
        <v>0</v>
      </c>
      <c r="I590" s="589">
        <v>0</v>
      </c>
    </row>
    <row r="591" spans="1:9" ht="15.75" customHeight="1" x14ac:dyDescent="0.2">
      <c r="A591" s="577"/>
      <c r="B591" s="577"/>
      <c r="C591" s="576"/>
      <c r="D591" s="607">
        <v>46080</v>
      </c>
      <c r="E591" s="576" t="s">
        <v>719</v>
      </c>
      <c r="F591" s="576">
        <v>26984257.350000001</v>
      </c>
      <c r="G591" s="588">
        <v>46205.920000001788</v>
      </c>
      <c r="H591" s="576">
        <v>0</v>
      </c>
      <c r="I591" s="589">
        <v>0</v>
      </c>
    </row>
    <row r="592" spans="1:9" ht="15.75" customHeight="1" x14ac:dyDescent="0.2">
      <c r="A592" s="577"/>
      <c r="B592" s="577"/>
      <c r="C592" s="576"/>
      <c r="D592" s="607">
        <v>46081</v>
      </c>
      <c r="E592" s="576" t="s">
        <v>718</v>
      </c>
      <c r="F592" s="576">
        <v>27030463.27</v>
      </c>
      <c r="G592" s="588">
        <v>46205.919999998063</v>
      </c>
      <c r="H592" s="576">
        <v>0</v>
      </c>
      <c r="I592" s="589">
        <v>0</v>
      </c>
    </row>
    <row r="593" spans="1:9" ht="15.75" customHeight="1" x14ac:dyDescent="0.2">
      <c r="A593" s="577"/>
      <c r="B593" s="577"/>
      <c r="C593" s="576"/>
      <c r="D593" s="607">
        <v>46082</v>
      </c>
      <c r="E593" s="576" t="s">
        <v>717</v>
      </c>
      <c r="F593" s="576">
        <v>27076669.190000001</v>
      </c>
      <c r="G593" s="588">
        <v>46205.920000001788</v>
      </c>
      <c r="H593" s="576">
        <v>0</v>
      </c>
      <c r="I593" s="589">
        <v>0</v>
      </c>
    </row>
    <row r="594" spans="1:9" ht="15.75" customHeight="1" x14ac:dyDescent="0.2">
      <c r="A594" s="577"/>
      <c r="B594" s="577"/>
      <c r="C594" s="576"/>
      <c r="D594" s="607">
        <v>46083</v>
      </c>
      <c r="E594" s="576" t="s">
        <v>716</v>
      </c>
      <c r="F594" s="576">
        <v>27122875.109999999</v>
      </c>
      <c r="G594" s="588">
        <v>46205.919999998063</v>
      </c>
      <c r="H594" s="576">
        <v>0</v>
      </c>
      <c r="I594" s="589">
        <v>0</v>
      </c>
    </row>
    <row r="595" spans="1:9" ht="15.75" customHeight="1" x14ac:dyDescent="0.2">
      <c r="A595" s="577"/>
      <c r="B595" s="577"/>
      <c r="C595" s="576"/>
      <c r="D595" s="607">
        <v>46084</v>
      </c>
      <c r="E595" s="576" t="s">
        <v>715</v>
      </c>
      <c r="F595" s="576">
        <v>27169081.030000001</v>
      </c>
      <c r="G595" s="588">
        <v>46205.920000001788</v>
      </c>
      <c r="H595" s="576">
        <v>0</v>
      </c>
      <c r="I595" s="589">
        <v>0</v>
      </c>
    </row>
    <row r="596" spans="1:9" ht="15.75" customHeight="1" x14ac:dyDescent="0.2">
      <c r="A596" s="577"/>
      <c r="B596" s="577"/>
      <c r="C596" s="576"/>
      <c r="D596" s="607">
        <v>46085</v>
      </c>
      <c r="E596" s="576" t="s">
        <v>721</v>
      </c>
      <c r="F596" s="576">
        <v>27215286.949999999</v>
      </c>
      <c r="G596" s="588">
        <v>46205.919999998063</v>
      </c>
      <c r="H596" s="576">
        <v>323441.43999999762</v>
      </c>
      <c r="I596" s="589">
        <v>0</v>
      </c>
    </row>
    <row r="597" spans="1:9" ht="15.75" customHeight="1" x14ac:dyDescent="0.2">
      <c r="A597" s="577"/>
      <c r="B597" s="577"/>
      <c r="C597" s="576"/>
      <c r="D597" s="607">
        <v>46086</v>
      </c>
      <c r="E597" s="576" t="s">
        <v>720</v>
      </c>
      <c r="F597" s="576">
        <v>27261492.870000001</v>
      </c>
      <c r="G597" s="588">
        <v>46205.920000001788</v>
      </c>
      <c r="H597" s="576">
        <v>0</v>
      </c>
      <c r="I597" s="589">
        <v>0</v>
      </c>
    </row>
    <row r="598" spans="1:9" ht="15.75" customHeight="1" x14ac:dyDescent="0.2">
      <c r="A598" s="577"/>
      <c r="B598" s="577"/>
      <c r="C598" s="576"/>
      <c r="D598" s="607">
        <v>46087</v>
      </c>
      <c r="E598" s="576" t="s">
        <v>719</v>
      </c>
      <c r="F598" s="576">
        <v>27307698.789999999</v>
      </c>
      <c r="G598" s="588">
        <v>46205.919999998063</v>
      </c>
      <c r="H598" s="576">
        <v>0</v>
      </c>
      <c r="I598" s="589">
        <v>0</v>
      </c>
    </row>
    <row r="599" spans="1:9" ht="15.75" customHeight="1" x14ac:dyDescent="0.2">
      <c r="A599" s="577"/>
      <c r="B599" s="577"/>
      <c r="C599" s="576"/>
      <c r="D599" s="607">
        <v>46088</v>
      </c>
      <c r="E599" s="576" t="s">
        <v>718</v>
      </c>
      <c r="F599" s="576">
        <v>27353904.710000001</v>
      </c>
      <c r="G599" s="588">
        <v>46205.920000001788</v>
      </c>
      <c r="H599" s="576">
        <v>0</v>
      </c>
      <c r="I599" s="589">
        <v>0</v>
      </c>
    </row>
    <row r="600" spans="1:9" ht="15.75" customHeight="1" x14ac:dyDescent="0.2">
      <c r="A600" s="577"/>
      <c r="B600" s="577"/>
      <c r="C600" s="576"/>
      <c r="D600" s="607">
        <v>46089</v>
      </c>
      <c r="E600" s="576" t="s">
        <v>717</v>
      </c>
      <c r="F600" s="576">
        <v>27400110.629999999</v>
      </c>
      <c r="G600" s="588">
        <v>46205.919999998063</v>
      </c>
      <c r="H600" s="576">
        <v>0</v>
      </c>
      <c r="I600" s="589">
        <v>0</v>
      </c>
    </row>
    <row r="601" spans="1:9" ht="15.75" customHeight="1" x14ac:dyDescent="0.2">
      <c r="A601" s="577"/>
      <c r="B601" s="577"/>
      <c r="C601" s="576"/>
      <c r="D601" s="607">
        <v>46090</v>
      </c>
      <c r="E601" s="576" t="s">
        <v>716</v>
      </c>
      <c r="F601" s="576">
        <v>27446316.550000001</v>
      </c>
      <c r="G601" s="588">
        <v>46205.920000001788</v>
      </c>
      <c r="H601" s="576">
        <v>0</v>
      </c>
      <c r="I601" s="589">
        <v>0</v>
      </c>
    </row>
    <row r="602" spans="1:9" ht="15.75" customHeight="1" x14ac:dyDescent="0.2">
      <c r="A602" s="577"/>
      <c r="B602" s="577"/>
      <c r="C602" s="576"/>
      <c r="D602" s="607">
        <v>46091</v>
      </c>
      <c r="E602" s="576" t="s">
        <v>715</v>
      </c>
      <c r="F602" s="576">
        <v>27492522.469999999</v>
      </c>
      <c r="G602" s="588">
        <v>46205.919999998063</v>
      </c>
      <c r="H602" s="576">
        <v>0</v>
      </c>
      <c r="I602" s="589">
        <v>0</v>
      </c>
    </row>
    <row r="603" spans="1:9" ht="15.75" customHeight="1" x14ac:dyDescent="0.2">
      <c r="A603" s="577"/>
      <c r="B603" s="577"/>
      <c r="C603" s="576"/>
      <c r="D603" s="607">
        <v>46092</v>
      </c>
      <c r="E603" s="576" t="s">
        <v>721</v>
      </c>
      <c r="F603" s="576">
        <v>27538728.390000001</v>
      </c>
      <c r="G603" s="588">
        <v>46205.920000001788</v>
      </c>
      <c r="H603" s="576">
        <v>323441.44000000134</v>
      </c>
      <c r="I603" s="589">
        <v>646882.87999999896</v>
      </c>
    </row>
    <row r="604" spans="1:9" ht="15.75" customHeight="1" x14ac:dyDescent="0.2">
      <c r="A604" s="577"/>
      <c r="B604" s="577"/>
      <c r="C604" s="576"/>
      <c r="D604" s="607">
        <v>46093</v>
      </c>
      <c r="E604" s="576" t="s">
        <v>720</v>
      </c>
      <c r="F604" s="576">
        <v>27584934.309999999</v>
      </c>
      <c r="G604" s="588">
        <v>46205.919999998063</v>
      </c>
      <c r="H604" s="576">
        <v>0</v>
      </c>
      <c r="I604" s="589">
        <v>0</v>
      </c>
    </row>
    <row r="605" spans="1:9" ht="15.75" customHeight="1" x14ac:dyDescent="0.2">
      <c r="A605" s="577"/>
      <c r="B605" s="577"/>
      <c r="C605" s="576"/>
      <c r="D605" s="607">
        <v>46094</v>
      </c>
      <c r="E605" s="576" t="s">
        <v>719</v>
      </c>
      <c r="F605" s="576">
        <v>27631140.23</v>
      </c>
      <c r="G605" s="588">
        <v>46205.920000001788</v>
      </c>
      <c r="H605" s="576">
        <v>0</v>
      </c>
      <c r="I605" s="589">
        <v>0</v>
      </c>
    </row>
    <row r="606" spans="1:9" ht="15.75" customHeight="1" x14ac:dyDescent="0.2">
      <c r="A606" s="577"/>
      <c r="B606" s="577"/>
      <c r="C606" s="576"/>
      <c r="D606" s="607">
        <v>46095</v>
      </c>
      <c r="E606" s="576" t="s">
        <v>718</v>
      </c>
      <c r="F606" s="576">
        <v>27677346.149999999</v>
      </c>
      <c r="G606" s="588">
        <v>46205.919999998063</v>
      </c>
      <c r="H606" s="576">
        <v>0</v>
      </c>
      <c r="I606" s="589">
        <v>0</v>
      </c>
    </row>
    <row r="607" spans="1:9" ht="15.75" customHeight="1" x14ac:dyDescent="0.2">
      <c r="A607" s="577"/>
      <c r="B607" s="577"/>
      <c r="C607" s="576"/>
      <c r="D607" s="607">
        <v>46096</v>
      </c>
      <c r="E607" s="576" t="s">
        <v>717</v>
      </c>
      <c r="F607" s="576">
        <v>27723552.079999998</v>
      </c>
      <c r="G607" s="588">
        <v>46205.929999999702</v>
      </c>
      <c r="H607" s="576">
        <v>0</v>
      </c>
      <c r="I607" s="589">
        <v>0</v>
      </c>
    </row>
    <row r="608" spans="1:9" ht="15.75" customHeight="1" x14ac:dyDescent="0.2">
      <c r="A608" s="577"/>
      <c r="B608" s="577"/>
      <c r="C608" s="576"/>
      <c r="D608" s="607">
        <v>46097</v>
      </c>
      <c r="E608" s="576" t="s">
        <v>716</v>
      </c>
      <c r="F608" s="576">
        <v>27769758</v>
      </c>
      <c r="G608" s="588">
        <v>46205.920000001788</v>
      </c>
      <c r="H608" s="576">
        <v>0</v>
      </c>
      <c r="I608" s="589">
        <v>0</v>
      </c>
    </row>
    <row r="609" spans="1:9" ht="15.75" customHeight="1" x14ac:dyDescent="0.2">
      <c r="A609" s="577"/>
      <c r="B609" s="577"/>
      <c r="C609" s="576"/>
      <c r="D609" s="607">
        <v>46098</v>
      </c>
      <c r="E609" s="576" t="s">
        <v>715</v>
      </c>
      <c r="F609" s="576">
        <v>27815963.920000002</v>
      </c>
      <c r="G609" s="588">
        <v>46205.920000001788</v>
      </c>
      <c r="H609" s="576">
        <v>0</v>
      </c>
      <c r="I609" s="589">
        <v>0</v>
      </c>
    </row>
    <row r="610" spans="1:9" ht="15.75" customHeight="1" x14ac:dyDescent="0.2">
      <c r="A610" s="577"/>
      <c r="B610" s="577"/>
      <c r="C610" s="576"/>
      <c r="D610" s="607">
        <v>46099</v>
      </c>
      <c r="E610" s="576" t="s">
        <v>721</v>
      </c>
      <c r="F610" s="576">
        <v>27862169.84</v>
      </c>
      <c r="G610" s="588">
        <v>46205.919999998063</v>
      </c>
      <c r="H610" s="576">
        <v>323441.44999999925</v>
      </c>
      <c r="I610" s="589">
        <v>0</v>
      </c>
    </row>
    <row r="611" spans="1:9" ht="15.75" customHeight="1" x14ac:dyDescent="0.2">
      <c r="A611" s="577"/>
      <c r="B611" s="577"/>
      <c r="C611" s="576"/>
      <c r="D611" s="607">
        <v>46100</v>
      </c>
      <c r="E611" s="576" t="s">
        <v>720</v>
      </c>
      <c r="F611" s="576">
        <v>27908375.760000002</v>
      </c>
      <c r="G611" s="588">
        <v>46205.920000001788</v>
      </c>
      <c r="H611" s="576">
        <v>0</v>
      </c>
      <c r="I611" s="589">
        <v>0</v>
      </c>
    </row>
    <row r="612" spans="1:9" ht="15.75" customHeight="1" x14ac:dyDescent="0.2">
      <c r="A612" s="577"/>
      <c r="B612" s="577"/>
      <c r="C612" s="576"/>
      <c r="D612" s="607">
        <v>46101</v>
      </c>
      <c r="E612" s="576" t="s">
        <v>719</v>
      </c>
      <c r="F612" s="576">
        <v>27954581.68</v>
      </c>
      <c r="G612" s="588">
        <v>46205.919999998063</v>
      </c>
      <c r="H612" s="576">
        <v>0</v>
      </c>
      <c r="I612" s="589">
        <v>0</v>
      </c>
    </row>
    <row r="613" spans="1:9" ht="15.75" customHeight="1" x14ac:dyDescent="0.2">
      <c r="A613" s="577"/>
      <c r="B613" s="577"/>
      <c r="C613" s="576"/>
      <c r="D613" s="607">
        <v>46102</v>
      </c>
      <c r="E613" s="576" t="s">
        <v>718</v>
      </c>
      <c r="F613" s="576">
        <v>28000787.600000001</v>
      </c>
      <c r="G613" s="588">
        <v>46205.920000001788</v>
      </c>
      <c r="H613" s="576">
        <v>0</v>
      </c>
      <c r="I613" s="589">
        <v>0</v>
      </c>
    </row>
    <row r="614" spans="1:9" ht="15.75" customHeight="1" x14ac:dyDescent="0.2">
      <c r="A614" s="577"/>
      <c r="B614" s="577"/>
      <c r="C614" s="576"/>
      <c r="D614" s="607">
        <v>46103</v>
      </c>
      <c r="E614" s="576" t="s">
        <v>717</v>
      </c>
      <c r="F614" s="576">
        <v>28046993.52</v>
      </c>
      <c r="G614" s="588">
        <v>46205.919999998063</v>
      </c>
      <c r="H614" s="576">
        <v>0</v>
      </c>
      <c r="I614" s="589">
        <v>0</v>
      </c>
    </row>
    <row r="615" spans="1:9" ht="15.75" customHeight="1" x14ac:dyDescent="0.2">
      <c r="A615" s="577"/>
      <c r="B615" s="577"/>
      <c r="C615" s="576"/>
      <c r="D615" s="607">
        <v>46104</v>
      </c>
      <c r="E615" s="576" t="s">
        <v>716</v>
      </c>
      <c r="F615" s="576">
        <v>28093199.440000001</v>
      </c>
      <c r="G615" s="588">
        <v>46205.920000001788</v>
      </c>
      <c r="H615" s="576">
        <v>0</v>
      </c>
      <c r="I615" s="589">
        <v>0</v>
      </c>
    </row>
    <row r="616" spans="1:9" ht="15.75" customHeight="1" x14ac:dyDescent="0.2">
      <c r="A616" s="577"/>
      <c r="B616" s="577"/>
      <c r="C616" s="576"/>
      <c r="D616" s="607">
        <v>46105</v>
      </c>
      <c r="E616" s="576" t="s">
        <v>715</v>
      </c>
      <c r="F616" s="576">
        <v>28139405.359999999</v>
      </c>
      <c r="G616" s="588">
        <v>46205.919999998063</v>
      </c>
      <c r="H616" s="576">
        <v>0</v>
      </c>
      <c r="I616" s="589">
        <v>0</v>
      </c>
    </row>
    <row r="617" spans="1:9" ht="15.75" customHeight="1" x14ac:dyDescent="0.2">
      <c r="A617" s="577"/>
      <c r="B617" s="577"/>
      <c r="C617" s="576"/>
      <c r="D617" s="607">
        <v>46106</v>
      </c>
      <c r="E617" s="576" t="s">
        <v>721</v>
      </c>
      <c r="F617" s="576">
        <v>28185611.280000001</v>
      </c>
      <c r="G617" s="588">
        <v>46205.920000001788</v>
      </c>
      <c r="H617" s="576">
        <v>323441.44000000134</v>
      </c>
      <c r="I617" s="589">
        <v>646882.8900000006</v>
      </c>
    </row>
    <row r="618" spans="1:9" ht="15.75" customHeight="1" x14ac:dyDescent="0.2">
      <c r="A618" s="577"/>
      <c r="B618" s="577"/>
      <c r="C618" s="576"/>
      <c r="D618" s="607">
        <v>46107</v>
      </c>
      <c r="E618" s="576" t="s">
        <v>720</v>
      </c>
      <c r="F618" s="576">
        <v>28231817.199999999</v>
      </c>
      <c r="G618" s="588">
        <v>46205.919999998063</v>
      </c>
      <c r="H618" s="576">
        <v>0</v>
      </c>
      <c r="I618" s="589">
        <v>0</v>
      </c>
    </row>
    <row r="619" spans="1:9" ht="15.75" customHeight="1" x14ac:dyDescent="0.2">
      <c r="A619" s="577"/>
      <c r="B619" s="577"/>
      <c r="C619" s="576"/>
      <c r="D619" s="607">
        <v>46108</v>
      </c>
      <c r="E619" s="576" t="s">
        <v>719</v>
      </c>
      <c r="F619" s="576">
        <v>28278023.120000001</v>
      </c>
      <c r="G619" s="588">
        <v>46205.920000001788</v>
      </c>
      <c r="H619" s="576">
        <v>0</v>
      </c>
      <c r="I619" s="589">
        <v>0</v>
      </c>
    </row>
    <row r="620" spans="1:9" ht="15.75" customHeight="1" x14ac:dyDescent="0.2">
      <c r="A620" s="577"/>
      <c r="B620" s="577"/>
      <c r="C620" s="576"/>
      <c r="D620" s="607">
        <v>46109</v>
      </c>
      <c r="E620" s="576" t="s">
        <v>718</v>
      </c>
      <c r="F620" s="576">
        <v>28324229.039999999</v>
      </c>
      <c r="G620" s="588">
        <v>46205.919999998063</v>
      </c>
      <c r="H620" s="576">
        <v>0</v>
      </c>
      <c r="I620" s="589">
        <v>0</v>
      </c>
    </row>
    <row r="621" spans="1:9" ht="15.75" customHeight="1" x14ac:dyDescent="0.2">
      <c r="A621" s="577"/>
      <c r="B621" s="577"/>
      <c r="C621" s="576"/>
      <c r="D621" s="607">
        <v>46110</v>
      </c>
      <c r="E621" s="576" t="s">
        <v>717</v>
      </c>
      <c r="F621" s="576">
        <v>28370434.960000001</v>
      </c>
      <c r="G621" s="588">
        <v>46205.920000001788</v>
      </c>
      <c r="H621" s="576">
        <v>0</v>
      </c>
      <c r="I621" s="589">
        <v>0</v>
      </c>
    </row>
    <row r="622" spans="1:9" ht="15.75" customHeight="1" x14ac:dyDescent="0.2">
      <c r="A622" s="577"/>
      <c r="B622" s="577"/>
      <c r="C622" s="576"/>
      <c r="D622" s="607">
        <v>46111</v>
      </c>
      <c r="E622" s="576" t="s">
        <v>716</v>
      </c>
      <c r="F622" s="576">
        <v>28416640.879999999</v>
      </c>
      <c r="G622" s="588">
        <v>46205.919999998063</v>
      </c>
      <c r="H622" s="576">
        <v>0</v>
      </c>
      <c r="I622" s="589">
        <v>0</v>
      </c>
    </row>
    <row r="623" spans="1:9" ht="15.75" customHeight="1" x14ac:dyDescent="0.2">
      <c r="A623" s="577"/>
      <c r="B623" s="577"/>
      <c r="C623" s="576"/>
      <c r="D623" s="607">
        <v>46112</v>
      </c>
      <c r="E623" s="576" t="s">
        <v>715</v>
      </c>
      <c r="F623" s="576">
        <v>28462846.800000001</v>
      </c>
      <c r="G623" s="588">
        <v>46205.920000001788</v>
      </c>
      <c r="H623" s="576">
        <v>0</v>
      </c>
      <c r="I623" s="589">
        <v>0</v>
      </c>
    </row>
    <row r="624" spans="1:9" ht="15.75" customHeight="1" x14ac:dyDescent="0.2">
      <c r="A624" s="577"/>
      <c r="B624" s="577"/>
      <c r="C624" s="576"/>
      <c r="D624" s="607">
        <v>46113</v>
      </c>
      <c r="E624" s="576" t="s">
        <v>721</v>
      </c>
      <c r="F624" s="576">
        <v>28509052.719999999</v>
      </c>
      <c r="G624" s="588">
        <v>46205.919999998063</v>
      </c>
      <c r="H624" s="576">
        <v>323441.43999999762</v>
      </c>
      <c r="I624" s="589">
        <v>0</v>
      </c>
    </row>
    <row r="625" spans="1:9" ht="15.75" customHeight="1" x14ac:dyDescent="0.2">
      <c r="A625" s="577"/>
      <c r="B625" s="577"/>
      <c r="C625" s="576"/>
      <c r="D625" s="607">
        <v>46114</v>
      </c>
      <c r="E625" s="576" t="s">
        <v>720</v>
      </c>
      <c r="F625" s="576">
        <v>28555258.640000001</v>
      </c>
      <c r="G625" s="588">
        <v>46205.920000001788</v>
      </c>
      <c r="H625" s="576">
        <v>0</v>
      </c>
      <c r="I625" s="589">
        <v>0</v>
      </c>
    </row>
    <row r="626" spans="1:9" ht="15.75" customHeight="1" x14ac:dyDescent="0.2">
      <c r="A626" s="577"/>
      <c r="B626" s="577"/>
      <c r="C626" s="576"/>
      <c r="D626" s="607">
        <v>46115</v>
      </c>
      <c r="E626" s="576" t="s">
        <v>719</v>
      </c>
      <c r="F626" s="576">
        <v>28601464.559999999</v>
      </c>
      <c r="G626" s="588">
        <v>46205.919999998063</v>
      </c>
      <c r="H626" s="576">
        <v>0</v>
      </c>
      <c r="I626" s="589">
        <v>0</v>
      </c>
    </row>
    <row r="627" spans="1:9" ht="15.75" customHeight="1" x14ac:dyDescent="0.2">
      <c r="A627" s="577"/>
      <c r="B627" s="577"/>
      <c r="C627" s="576"/>
      <c r="D627" s="607">
        <v>46116</v>
      </c>
      <c r="E627" s="576" t="s">
        <v>718</v>
      </c>
      <c r="F627" s="576">
        <v>28647670.48</v>
      </c>
      <c r="G627" s="588">
        <v>46205.920000001788</v>
      </c>
      <c r="H627" s="576">
        <v>0</v>
      </c>
      <c r="I627" s="589">
        <v>0</v>
      </c>
    </row>
    <row r="628" spans="1:9" ht="15.75" customHeight="1" x14ac:dyDescent="0.2">
      <c r="A628" s="577"/>
      <c r="B628" s="577"/>
      <c r="C628" s="576"/>
      <c r="D628" s="607">
        <v>46117</v>
      </c>
      <c r="E628" s="576" t="s">
        <v>717</v>
      </c>
      <c r="F628" s="576">
        <v>28693876.399999999</v>
      </c>
      <c r="G628" s="588">
        <v>46205.919999998063</v>
      </c>
      <c r="H628" s="576">
        <v>0</v>
      </c>
      <c r="I628" s="589">
        <v>0</v>
      </c>
    </row>
    <row r="629" spans="1:9" ht="15.75" customHeight="1" x14ac:dyDescent="0.2">
      <c r="A629" s="577"/>
      <c r="B629" s="577"/>
      <c r="C629" s="576"/>
      <c r="D629" s="607">
        <v>46118</v>
      </c>
      <c r="E629" s="576" t="s">
        <v>716</v>
      </c>
      <c r="F629" s="576">
        <v>28740082.32</v>
      </c>
      <c r="G629" s="588">
        <v>46205.920000001788</v>
      </c>
      <c r="H629" s="576">
        <v>0</v>
      </c>
      <c r="I629" s="589">
        <v>0</v>
      </c>
    </row>
    <row r="630" spans="1:9" ht="15.75" customHeight="1" x14ac:dyDescent="0.2">
      <c r="A630" s="577"/>
      <c r="B630" s="577"/>
      <c r="C630" s="576"/>
      <c r="D630" s="607">
        <v>46119</v>
      </c>
      <c r="E630" s="576" t="s">
        <v>715</v>
      </c>
      <c r="F630" s="576">
        <v>28786288.239999998</v>
      </c>
      <c r="G630" s="588">
        <v>46205.919999998063</v>
      </c>
      <c r="H630" s="576">
        <v>0</v>
      </c>
      <c r="I630" s="589">
        <v>0</v>
      </c>
    </row>
    <row r="631" spans="1:9" ht="15.75" customHeight="1" x14ac:dyDescent="0.2">
      <c r="A631" s="577"/>
      <c r="B631" s="577"/>
      <c r="C631" s="576"/>
      <c r="D631" s="607">
        <v>46120</v>
      </c>
      <c r="E631" s="576" t="s">
        <v>721</v>
      </c>
      <c r="F631" s="576">
        <v>28832494.16</v>
      </c>
      <c r="G631" s="588">
        <v>46205.920000001788</v>
      </c>
      <c r="H631" s="576">
        <v>323441.44000000134</v>
      </c>
      <c r="I631" s="589">
        <v>646882.87999999896</v>
      </c>
    </row>
    <row r="632" spans="1:9" ht="15.75" customHeight="1" x14ac:dyDescent="0.2">
      <c r="A632" s="577"/>
      <c r="B632" s="577"/>
      <c r="C632" s="576"/>
      <c r="D632" s="607">
        <v>46121</v>
      </c>
      <c r="E632" s="576" t="s">
        <v>720</v>
      </c>
      <c r="F632" s="576">
        <v>28878700.079999998</v>
      </c>
      <c r="G632" s="588">
        <v>46205.919999998063</v>
      </c>
      <c r="H632" s="576">
        <v>0</v>
      </c>
      <c r="I632" s="589">
        <v>0</v>
      </c>
    </row>
    <row r="633" spans="1:9" ht="15.75" customHeight="1" x14ac:dyDescent="0.2">
      <c r="A633" s="577"/>
      <c r="B633" s="577"/>
      <c r="C633" s="576"/>
      <c r="D633" s="607">
        <v>46122</v>
      </c>
      <c r="E633" s="576" t="s">
        <v>719</v>
      </c>
      <c r="F633" s="576">
        <v>28924906</v>
      </c>
      <c r="G633" s="588">
        <v>46205.920000001788</v>
      </c>
      <c r="H633" s="576">
        <v>0</v>
      </c>
      <c r="I633" s="589">
        <v>0</v>
      </c>
    </row>
    <row r="634" spans="1:9" ht="15.75" customHeight="1" x14ac:dyDescent="0.2">
      <c r="A634" s="577"/>
      <c r="B634" s="577"/>
      <c r="C634" s="576"/>
      <c r="D634" s="607">
        <v>46123</v>
      </c>
      <c r="E634" s="576" t="s">
        <v>718</v>
      </c>
      <c r="F634" s="576">
        <v>28971111.920000002</v>
      </c>
      <c r="G634" s="588">
        <v>46205.920000001788</v>
      </c>
      <c r="H634" s="576">
        <v>0</v>
      </c>
      <c r="I634" s="589">
        <v>0</v>
      </c>
    </row>
    <row r="635" spans="1:9" ht="15.75" customHeight="1" x14ac:dyDescent="0.2">
      <c r="A635" s="577"/>
      <c r="B635" s="577"/>
      <c r="C635" s="576"/>
      <c r="D635" s="607">
        <v>46124</v>
      </c>
      <c r="E635" s="576" t="s">
        <v>717</v>
      </c>
      <c r="F635" s="576">
        <v>29017317.84</v>
      </c>
      <c r="G635" s="588">
        <v>46205.919999998063</v>
      </c>
      <c r="H635" s="576">
        <v>0</v>
      </c>
      <c r="I635" s="589">
        <v>0</v>
      </c>
    </row>
    <row r="636" spans="1:9" ht="15.75" customHeight="1" x14ac:dyDescent="0.2">
      <c r="A636" s="577"/>
      <c r="B636" s="577"/>
      <c r="C636" s="576"/>
      <c r="D636" s="607">
        <v>46125</v>
      </c>
      <c r="E636" s="576" t="s">
        <v>716</v>
      </c>
      <c r="F636" s="576">
        <v>29063523.760000002</v>
      </c>
      <c r="G636" s="588">
        <v>46205.920000001788</v>
      </c>
      <c r="H636" s="576">
        <v>0</v>
      </c>
      <c r="I636" s="589">
        <v>0</v>
      </c>
    </row>
    <row r="637" spans="1:9" ht="15.75" customHeight="1" x14ac:dyDescent="0.2">
      <c r="A637" s="577"/>
      <c r="B637" s="577"/>
      <c r="C637" s="576"/>
      <c r="D637" s="607">
        <v>46126</v>
      </c>
      <c r="E637" s="576" t="s">
        <v>715</v>
      </c>
      <c r="F637" s="576">
        <v>29109729.68</v>
      </c>
      <c r="G637" s="588">
        <v>46205.919999998063</v>
      </c>
      <c r="H637" s="576">
        <v>0</v>
      </c>
      <c r="I637" s="589">
        <v>0</v>
      </c>
    </row>
    <row r="638" spans="1:9" ht="15.75" customHeight="1" x14ac:dyDescent="0.2">
      <c r="A638" s="577"/>
      <c r="B638" s="577"/>
      <c r="C638" s="576"/>
      <c r="D638" s="607">
        <v>46127</v>
      </c>
      <c r="E638" s="576" t="s">
        <v>721</v>
      </c>
      <c r="F638" s="576">
        <v>29155935.600000001</v>
      </c>
      <c r="G638" s="588">
        <v>46205.920000001788</v>
      </c>
      <c r="H638" s="576">
        <v>323441.44000000134</v>
      </c>
      <c r="I638" s="589">
        <v>0</v>
      </c>
    </row>
    <row r="639" spans="1:9" ht="15.75" customHeight="1" x14ac:dyDescent="0.2">
      <c r="A639" s="577"/>
      <c r="B639" s="577"/>
      <c r="C639" s="576"/>
      <c r="D639" s="607">
        <v>46128</v>
      </c>
      <c r="E639" s="576" t="s">
        <v>720</v>
      </c>
      <c r="F639" s="576">
        <v>29202141.52</v>
      </c>
      <c r="G639" s="588">
        <v>46205.919999998063</v>
      </c>
      <c r="H639" s="576">
        <v>0</v>
      </c>
      <c r="I639" s="589">
        <v>0</v>
      </c>
    </row>
    <row r="640" spans="1:9" ht="15.75" customHeight="1" x14ac:dyDescent="0.2">
      <c r="A640" s="577"/>
      <c r="B640" s="577"/>
      <c r="C640" s="576"/>
      <c r="D640" s="607">
        <v>46129</v>
      </c>
      <c r="E640" s="576" t="s">
        <v>719</v>
      </c>
      <c r="F640" s="576">
        <v>29248347.440000001</v>
      </c>
      <c r="G640" s="588">
        <v>46205.920000001788</v>
      </c>
      <c r="H640" s="576">
        <v>0</v>
      </c>
      <c r="I640" s="589">
        <v>0</v>
      </c>
    </row>
    <row r="641" spans="1:9" ht="15.75" customHeight="1" x14ac:dyDescent="0.2">
      <c r="A641" s="577"/>
      <c r="B641" s="577"/>
      <c r="C641" s="576"/>
      <c r="D641" s="607">
        <v>46130</v>
      </c>
      <c r="E641" s="576" t="s">
        <v>718</v>
      </c>
      <c r="F641" s="576">
        <v>29294553.359999999</v>
      </c>
      <c r="G641" s="588">
        <v>46205.919999998063</v>
      </c>
      <c r="H641" s="576">
        <v>0</v>
      </c>
      <c r="I641" s="589">
        <v>0</v>
      </c>
    </row>
    <row r="642" spans="1:9" ht="15.75" customHeight="1" x14ac:dyDescent="0.2">
      <c r="A642" s="577"/>
      <c r="B642" s="577"/>
      <c r="C642" s="576"/>
      <c r="D642" s="607">
        <v>46131</v>
      </c>
      <c r="E642" s="576" t="s">
        <v>717</v>
      </c>
      <c r="F642" s="576">
        <v>29340759.280000001</v>
      </c>
      <c r="G642" s="588">
        <v>46205.920000001788</v>
      </c>
      <c r="H642" s="576">
        <v>0</v>
      </c>
      <c r="I642" s="589">
        <v>0</v>
      </c>
    </row>
    <row r="643" spans="1:9" ht="15.75" customHeight="1" x14ac:dyDescent="0.2">
      <c r="A643" s="577"/>
      <c r="B643" s="577"/>
      <c r="C643" s="576"/>
      <c r="D643" s="607">
        <v>46132</v>
      </c>
      <c r="E643" s="576" t="s">
        <v>716</v>
      </c>
      <c r="F643" s="576">
        <v>29386965.199999999</v>
      </c>
      <c r="G643" s="588">
        <v>46205.919999998063</v>
      </c>
      <c r="H643" s="576">
        <v>0</v>
      </c>
      <c r="I643" s="589">
        <v>0</v>
      </c>
    </row>
    <row r="644" spans="1:9" ht="15.75" customHeight="1" x14ac:dyDescent="0.2">
      <c r="A644" s="577"/>
      <c r="B644" s="577"/>
      <c r="C644" s="576"/>
      <c r="D644" s="607">
        <v>46133</v>
      </c>
      <c r="E644" s="576" t="s">
        <v>715</v>
      </c>
      <c r="F644" s="576">
        <v>29433171.120000001</v>
      </c>
      <c r="G644" s="588">
        <v>46205.920000001788</v>
      </c>
      <c r="H644" s="576">
        <v>0</v>
      </c>
      <c r="I644" s="589">
        <v>0</v>
      </c>
    </row>
    <row r="645" spans="1:9" ht="15.75" customHeight="1" x14ac:dyDescent="0.2">
      <c r="A645" s="577"/>
      <c r="B645" s="577"/>
      <c r="C645" s="576"/>
      <c r="D645" s="607">
        <v>46134</v>
      </c>
      <c r="E645" s="576" t="s">
        <v>721</v>
      </c>
      <c r="F645" s="576">
        <v>29479377.039999999</v>
      </c>
      <c r="G645" s="588">
        <v>46205.919999998063</v>
      </c>
      <c r="H645" s="576">
        <v>323441.43999999762</v>
      </c>
      <c r="I645" s="589">
        <v>646882.87999999896</v>
      </c>
    </row>
    <row r="646" spans="1:9" ht="15.75" customHeight="1" x14ac:dyDescent="0.2">
      <c r="A646" s="577"/>
      <c r="B646" s="577"/>
      <c r="C646" s="576"/>
      <c r="D646" s="607">
        <v>46135</v>
      </c>
      <c r="E646" s="576" t="s">
        <v>720</v>
      </c>
      <c r="F646" s="576">
        <v>29525582.960000001</v>
      </c>
      <c r="G646" s="588">
        <v>46205.920000001788</v>
      </c>
      <c r="H646" s="576">
        <v>0</v>
      </c>
      <c r="I646" s="589">
        <v>0</v>
      </c>
    </row>
    <row r="647" spans="1:9" ht="15.75" customHeight="1" x14ac:dyDescent="0.2">
      <c r="A647" s="577"/>
      <c r="B647" s="577"/>
      <c r="C647" s="576"/>
      <c r="D647" s="607">
        <v>46136</v>
      </c>
      <c r="E647" s="576" t="s">
        <v>719</v>
      </c>
      <c r="F647" s="576">
        <v>29571788.879999999</v>
      </c>
      <c r="G647" s="588">
        <v>46205.919999998063</v>
      </c>
      <c r="H647" s="576">
        <v>0</v>
      </c>
      <c r="I647" s="589">
        <v>0</v>
      </c>
    </row>
    <row r="648" spans="1:9" ht="15.75" customHeight="1" x14ac:dyDescent="0.2">
      <c r="A648" s="577"/>
      <c r="B648" s="577"/>
      <c r="C648" s="576"/>
      <c r="D648" s="607">
        <v>46137</v>
      </c>
      <c r="E648" s="576" t="s">
        <v>718</v>
      </c>
      <c r="F648" s="576">
        <v>29617994.800000001</v>
      </c>
      <c r="G648" s="588">
        <v>46205.920000001788</v>
      </c>
      <c r="H648" s="576">
        <v>0</v>
      </c>
      <c r="I648" s="589">
        <v>0</v>
      </c>
    </row>
    <row r="649" spans="1:9" ht="15.75" customHeight="1" x14ac:dyDescent="0.2">
      <c r="A649" s="577"/>
      <c r="B649" s="577"/>
      <c r="C649" s="576"/>
      <c r="D649" s="607">
        <v>46138</v>
      </c>
      <c r="E649" s="576" t="s">
        <v>717</v>
      </c>
      <c r="F649" s="576">
        <v>29664200.719999999</v>
      </c>
      <c r="G649" s="588">
        <v>46205.919999998063</v>
      </c>
      <c r="H649" s="576">
        <v>0</v>
      </c>
      <c r="I649" s="589">
        <v>0</v>
      </c>
    </row>
    <row r="650" spans="1:9" ht="15.75" customHeight="1" x14ac:dyDescent="0.2">
      <c r="A650" s="577"/>
      <c r="B650" s="577"/>
      <c r="C650" s="576"/>
      <c r="D650" s="607">
        <v>46139</v>
      </c>
      <c r="E650" s="576" t="s">
        <v>716</v>
      </c>
      <c r="F650" s="576">
        <v>29710406.640000001</v>
      </c>
      <c r="G650" s="588">
        <v>46205.920000001788</v>
      </c>
      <c r="H650" s="576">
        <v>0</v>
      </c>
      <c r="I650" s="589">
        <v>0</v>
      </c>
    </row>
    <row r="651" spans="1:9" ht="15.75" customHeight="1" x14ac:dyDescent="0.2">
      <c r="A651" s="577"/>
      <c r="B651" s="577"/>
      <c r="C651" s="576"/>
      <c r="D651" s="607">
        <v>46140</v>
      </c>
      <c r="E651" s="576" t="s">
        <v>715</v>
      </c>
      <c r="F651" s="576">
        <v>29756612.559999999</v>
      </c>
      <c r="G651" s="588">
        <v>46205.919999998063</v>
      </c>
      <c r="H651" s="576">
        <v>0</v>
      </c>
      <c r="I651" s="589">
        <v>0</v>
      </c>
    </row>
    <row r="652" spans="1:9" ht="15.75" customHeight="1" x14ac:dyDescent="0.2">
      <c r="A652" s="577"/>
      <c r="B652" s="577"/>
      <c r="C652" s="576"/>
      <c r="D652" s="607">
        <v>46141</v>
      </c>
      <c r="E652" s="576" t="s">
        <v>721</v>
      </c>
      <c r="F652" s="576">
        <v>29802818.48</v>
      </c>
      <c r="G652" s="588">
        <v>46205.920000001788</v>
      </c>
      <c r="H652" s="576">
        <v>323441.44000000134</v>
      </c>
      <c r="I652" s="589">
        <v>0</v>
      </c>
    </row>
    <row r="653" spans="1:9" ht="15.75" customHeight="1" x14ac:dyDescent="0.2">
      <c r="A653" s="577"/>
      <c r="B653" s="577"/>
      <c r="C653" s="576"/>
      <c r="D653" s="607">
        <v>46142</v>
      </c>
      <c r="E653" s="576" t="s">
        <v>720</v>
      </c>
      <c r="F653" s="576">
        <v>29849024.399999999</v>
      </c>
      <c r="G653" s="588">
        <v>46205.919999998063</v>
      </c>
      <c r="H653" s="576">
        <v>0</v>
      </c>
      <c r="I653" s="589">
        <v>0</v>
      </c>
    </row>
    <row r="654" spans="1:9" ht="15.75" customHeight="1" x14ac:dyDescent="0.2">
      <c r="A654" s="577"/>
      <c r="B654" s="577"/>
      <c r="C654" s="576"/>
      <c r="D654" s="607">
        <v>46143</v>
      </c>
      <c r="E654" s="576" t="s">
        <v>719</v>
      </c>
      <c r="F654" s="576">
        <v>29895230.32</v>
      </c>
      <c r="G654" s="588">
        <v>46205.920000001788</v>
      </c>
      <c r="H654" s="576">
        <v>0</v>
      </c>
      <c r="I654" s="589">
        <v>0</v>
      </c>
    </row>
    <row r="655" spans="1:9" ht="15.75" customHeight="1" x14ac:dyDescent="0.2">
      <c r="A655" s="577"/>
      <c r="B655" s="577"/>
      <c r="C655" s="576"/>
      <c r="D655" s="607">
        <v>46144</v>
      </c>
      <c r="E655" s="576" t="s">
        <v>718</v>
      </c>
      <c r="F655" s="576">
        <v>29941436.239999998</v>
      </c>
      <c r="G655" s="588">
        <v>46205.919999998063</v>
      </c>
      <c r="H655" s="576">
        <v>0</v>
      </c>
      <c r="I655" s="589">
        <v>0</v>
      </c>
    </row>
    <row r="656" spans="1:9" ht="15.75" customHeight="1" x14ac:dyDescent="0.2">
      <c r="A656" s="577"/>
      <c r="B656" s="577"/>
      <c r="C656" s="576"/>
      <c r="D656" s="607">
        <v>46145</v>
      </c>
      <c r="E656" s="576" t="s">
        <v>717</v>
      </c>
      <c r="F656" s="576">
        <v>29987642.16</v>
      </c>
      <c r="G656" s="588">
        <v>46205.920000001788</v>
      </c>
      <c r="H656" s="576">
        <v>0</v>
      </c>
      <c r="I656" s="589">
        <v>0</v>
      </c>
    </row>
    <row r="657" spans="1:9" ht="15.75" customHeight="1" x14ac:dyDescent="0.2">
      <c r="A657" s="577"/>
      <c r="B657" s="577"/>
      <c r="C657" s="576"/>
      <c r="D657" s="607">
        <v>46146</v>
      </c>
      <c r="E657" s="576" t="s">
        <v>716</v>
      </c>
      <c r="F657" s="576">
        <v>30033848.079999998</v>
      </c>
      <c r="G657" s="588">
        <v>46205.919999998063</v>
      </c>
      <c r="H657" s="576">
        <v>0</v>
      </c>
      <c r="I657" s="589">
        <v>0</v>
      </c>
    </row>
    <row r="658" spans="1:9" ht="15.75" customHeight="1" x14ac:dyDescent="0.2">
      <c r="A658" s="577"/>
      <c r="B658" s="577"/>
      <c r="C658" s="576"/>
      <c r="D658" s="607">
        <v>46147</v>
      </c>
      <c r="E658" s="576" t="s">
        <v>715</v>
      </c>
      <c r="F658" s="576">
        <v>30080054</v>
      </c>
      <c r="G658" s="588">
        <v>46205.920000001788</v>
      </c>
      <c r="H658" s="576">
        <v>0</v>
      </c>
      <c r="I658" s="589">
        <v>0</v>
      </c>
    </row>
    <row r="659" spans="1:9" ht="15.75" customHeight="1" x14ac:dyDescent="0.2">
      <c r="A659" s="577"/>
      <c r="B659" s="577"/>
      <c r="C659" s="576"/>
      <c r="D659" s="607">
        <v>46148</v>
      </c>
      <c r="E659" s="576" t="s">
        <v>721</v>
      </c>
      <c r="F659" s="576">
        <v>30126259.920000002</v>
      </c>
      <c r="G659" s="588">
        <v>46205.920000001788</v>
      </c>
      <c r="H659" s="576">
        <v>323441.44000000134</v>
      </c>
      <c r="I659" s="589">
        <v>646882.88000000268</v>
      </c>
    </row>
    <row r="660" spans="1:9" ht="15.75" customHeight="1" x14ac:dyDescent="0.2">
      <c r="A660" s="577"/>
      <c r="B660" s="577"/>
      <c r="C660" s="576"/>
      <c r="D660" s="607">
        <v>46149</v>
      </c>
      <c r="E660" s="576" t="s">
        <v>720</v>
      </c>
      <c r="F660" s="576">
        <v>30172465.84</v>
      </c>
      <c r="G660" s="588">
        <v>46205.919999998063</v>
      </c>
      <c r="H660" s="576">
        <v>0</v>
      </c>
      <c r="I660" s="589">
        <v>0</v>
      </c>
    </row>
    <row r="661" spans="1:9" ht="15.75" customHeight="1" x14ac:dyDescent="0.2">
      <c r="A661" s="577"/>
      <c r="B661" s="577"/>
      <c r="C661" s="576"/>
      <c r="D661" s="607">
        <v>46150</v>
      </c>
      <c r="E661" s="576" t="s">
        <v>719</v>
      </c>
      <c r="F661" s="576">
        <v>30218671.760000002</v>
      </c>
      <c r="G661" s="588">
        <v>46205.920000001788</v>
      </c>
      <c r="H661" s="576">
        <v>0</v>
      </c>
      <c r="I661" s="589">
        <v>0</v>
      </c>
    </row>
    <row r="662" spans="1:9" ht="15.75" customHeight="1" x14ac:dyDescent="0.2">
      <c r="A662" s="577"/>
      <c r="B662" s="577"/>
      <c r="C662" s="576"/>
      <c r="D662" s="607">
        <v>46151</v>
      </c>
      <c r="E662" s="576" t="s">
        <v>718</v>
      </c>
      <c r="F662" s="576">
        <v>30264877.68</v>
      </c>
      <c r="G662" s="588">
        <v>46205.919999998063</v>
      </c>
      <c r="H662" s="576">
        <v>0</v>
      </c>
      <c r="I662" s="589">
        <v>0</v>
      </c>
    </row>
    <row r="663" spans="1:9" ht="15.75" customHeight="1" x14ac:dyDescent="0.2">
      <c r="A663" s="577"/>
      <c r="B663" s="577"/>
      <c r="C663" s="576"/>
      <c r="D663" s="607">
        <v>46152</v>
      </c>
      <c r="E663" s="576" t="s">
        <v>717</v>
      </c>
      <c r="F663" s="576">
        <v>30311083.600000001</v>
      </c>
      <c r="G663" s="588">
        <v>46205.920000001788</v>
      </c>
      <c r="H663" s="576">
        <v>0</v>
      </c>
      <c r="I663" s="589">
        <v>0</v>
      </c>
    </row>
    <row r="664" spans="1:9" ht="15.75" customHeight="1" x14ac:dyDescent="0.2">
      <c r="A664" s="577"/>
      <c r="B664" s="577"/>
      <c r="C664" s="576"/>
      <c r="D664" s="607">
        <v>46153</v>
      </c>
      <c r="E664" s="576" t="s">
        <v>716</v>
      </c>
      <c r="F664" s="576">
        <v>30357289.52</v>
      </c>
      <c r="G664" s="588">
        <v>46205.919999998063</v>
      </c>
      <c r="H664" s="576">
        <v>0</v>
      </c>
      <c r="I664" s="589">
        <v>0</v>
      </c>
    </row>
    <row r="665" spans="1:9" ht="15.75" customHeight="1" x14ac:dyDescent="0.2">
      <c r="A665" s="577"/>
      <c r="B665" s="577"/>
      <c r="C665" s="576"/>
      <c r="D665" s="607">
        <v>46154</v>
      </c>
      <c r="E665" s="576" t="s">
        <v>715</v>
      </c>
      <c r="F665" s="576">
        <v>30403495.440000001</v>
      </c>
      <c r="G665" s="588">
        <v>46205.920000001788</v>
      </c>
      <c r="H665" s="576">
        <v>0</v>
      </c>
      <c r="I665" s="589">
        <v>0</v>
      </c>
    </row>
    <row r="666" spans="1:9" ht="15.75" customHeight="1" x14ac:dyDescent="0.2">
      <c r="A666" s="577"/>
      <c r="B666" s="577"/>
      <c r="C666" s="576"/>
      <c r="D666" s="607">
        <v>46155</v>
      </c>
      <c r="E666" s="576" t="s">
        <v>721</v>
      </c>
      <c r="F666" s="576">
        <v>30449701.359999999</v>
      </c>
      <c r="G666" s="588">
        <v>46205.919999998063</v>
      </c>
      <c r="H666" s="576">
        <v>323441.43999999762</v>
      </c>
      <c r="I666" s="589">
        <v>0</v>
      </c>
    </row>
    <row r="667" spans="1:9" ht="15.75" customHeight="1" x14ac:dyDescent="0.2">
      <c r="A667" s="577"/>
      <c r="B667" s="577"/>
      <c r="C667" s="576"/>
      <c r="D667" s="607">
        <v>46156</v>
      </c>
      <c r="E667" s="576" t="s">
        <v>720</v>
      </c>
      <c r="F667" s="576">
        <v>30495907.280000001</v>
      </c>
      <c r="G667" s="588">
        <v>46205.920000001788</v>
      </c>
      <c r="H667" s="576">
        <v>0</v>
      </c>
      <c r="I667" s="589">
        <v>0</v>
      </c>
    </row>
    <row r="668" spans="1:9" ht="15.75" customHeight="1" x14ac:dyDescent="0.2">
      <c r="A668" s="577"/>
      <c r="B668" s="577"/>
      <c r="C668" s="576"/>
      <c r="D668" s="607">
        <v>46157</v>
      </c>
      <c r="E668" s="576" t="s">
        <v>719</v>
      </c>
      <c r="F668" s="576">
        <v>30542113.199999999</v>
      </c>
      <c r="G668" s="588">
        <v>46205.919999998063</v>
      </c>
      <c r="H668" s="576">
        <v>0</v>
      </c>
      <c r="I668" s="589">
        <v>0</v>
      </c>
    </row>
    <row r="669" spans="1:9" ht="15.75" customHeight="1" x14ac:dyDescent="0.2">
      <c r="A669" s="577"/>
      <c r="B669" s="577"/>
      <c r="C669" s="576"/>
      <c r="D669" s="607">
        <v>46158</v>
      </c>
      <c r="E669" s="576" t="s">
        <v>718</v>
      </c>
      <c r="F669" s="576">
        <v>30588319.120000001</v>
      </c>
      <c r="G669" s="588">
        <v>46205.920000001788</v>
      </c>
      <c r="H669" s="576">
        <v>0</v>
      </c>
      <c r="I669" s="589">
        <v>0</v>
      </c>
    </row>
    <row r="670" spans="1:9" ht="15.75" customHeight="1" x14ac:dyDescent="0.2">
      <c r="A670" s="577"/>
      <c r="B670" s="577"/>
      <c r="C670" s="576"/>
      <c r="D670" s="607">
        <v>46159</v>
      </c>
      <c r="E670" s="576" t="s">
        <v>717</v>
      </c>
      <c r="F670" s="576">
        <v>30634525.039999999</v>
      </c>
      <c r="G670" s="588">
        <v>46205.919999998063</v>
      </c>
      <c r="H670" s="576">
        <v>0</v>
      </c>
      <c r="I670" s="589">
        <v>0</v>
      </c>
    </row>
    <row r="671" spans="1:9" ht="15.75" customHeight="1" x14ac:dyDescent="0.2">
      <c r="A671" s="577"/>
      <c r="B671" s="577"/>
      <c r="C671" s="576"/>
      <c r="D671" s="607">
        <v>46160</v>
      </c>
      <c r="E671" s="576" t="s">
        <v>716</v>
      </c>
      <c r="F671" s="576">
        <v>30680730.960000001</v>
      </c>
      <c r="G671" s="588">
        <v>46205.920000001788</v>
      </c>
      <c r="H671" s="576">
        <v>0</v>
      </c>
      <c r="I671" s="589">
        <v>0</v>
      </c>
    </row>
    <row r="672" spans="1:9" ht="15.75" customHeight="1" x14ac:dyDescent="0.2">
      <c r="A672" s="577"/>
      <c r="B672" s="577"/>
      <c r="C672" s="576"/>
      <c r="D672" s="607">
        <v>46161</v>
      </c>
      <c r="E672" s="576" t="s">
        <v>715</v>
      </c>
      <c r="F672" s="576">
        <v>30726936.879999999</v>
      </c>
      <c r="G672" s="588">
        <v>46205.919999998063</v>
      </c>
      <c r="H672" s="576">
        <v>0</v>
      </c>
      <c r="I672" s="589">
        <v>0</v>
      </c>
    </row>
    <row r="673" spans="1:9" ht="15.75" customHeight="1" x14ac:dyDescent="0.2">
      <c r="A673" s="577"/>
      <c r="B673" s="577"/>
      <c r="C673" s="576"/>
      <c r="D673" s="607">
        <v>46162</v>
      </c>
      <c r="E673" s="576" t="s">
        <v>721</v>
      </c>
      <c r="F673" s="576">
        <v>30773142.800000001</v>
      </c>
      <c r="G673" s="588">
        <v>46205.920000001788</v>
      </c>
      <c r="H673" s="576">
        <v>323441.44000000134</v>
      </c>
      <c r="I673" s="589">
        <v>646882.87999999896</v>
      </c>
    </row>
    <row r="674" spans="1:9" ht="15.75" customHeight="1" x14ac:dyDescent="0.2">
      <c r="A674" s="577"/>
      <c r="B674" s="577"/>
      <c r="C674" s="576"/>
      <c r="D674" s="607">
        <v>46163</v>
      </c>
      <c r="E674" s="576" t="s">
        <v>720</v>
      </c>
      <c r="F674" s="576">
        <v>30819348.719999999</v>
      </c>
      <c r="G674" s="588">
        <v>46205.919999998063</v>
      </c>
      <c r="H674" s="576">
        <v>0</v>
      </c>
      <c r="I674" s="589">
        <v>0</v>
      </c>
    </row>
    <row r="675" spans="1:9" ht="15.75" customHeight="1" x14ac:dyDescent="0.2">
      <c r="A675" s="577"/>
      <c r="B675" s="577"/>
      <c r="C675" s="576"/>
      <c r="D675" s="607">
        <v>46164</v>
      </c>
      <c r="E675" s="576" t="s">
        <v>719</v>
      </c>
      <c r="F675" s="576">
        <v>30865554.640000001</v>
      </c>
      <c r="G675" s="588">
        <v>46205.920000001788</v>
      </c>
      <c r="H675" s="576">
        <v>0</v>
      </c>
      <c r="I675" s="589">
        <v>0</v>
      </c>
    </row>
    <row r="676" spans="1:9" ht="15.75" customHeight="1" x14ac:dyDescent="0.2">
      <c r="A676" s="577"/>
      <c r="B676" s="577"/>
      <c r="C676" s="576"/>
      <c r="D676" s="607">
        <v>46165</v>
      </c>
      <c r="E676" s="576" t="s">
        <v>718</v>
      </c>
      <c r="F676" s="576">
        <v>30911760.559999999</v>
      </c>
      <c r="G676" s="588">
        <v>46205.919999998063</v>
      </c>
      <c r="H676" s="576">
        <v>0</v>
      </c>
      <c r="I676" s="589">
        <v>0</v>
      </c>
    </row>
    <row r="677" spans="1:9" ht="15.75" customHeight="1" x14ac:dyDescent="0.2">
      <c r="A677" s="577"/>
      <c r="B677" s="577"/>
      <c r="C677" s="576"/>
      <c r="D677" s="607">
        <v>46166</v>
      </c>
      <c r="E677" s="576" t="s">
        <v>717</v>
      </c>
      <c r="F677" s="576">
        <v>30957966.48</v>
      </c>
      <c r="G677" s="588">
        <v>46205.920000001788</v>
      </c>
      <c r="H677" s="576">
        <v>0</v>
      </c>
      <c r="I677" s="589">
        <v>0</v>
      </c>
    </row>
    <row r="678" spans="1:9" ht="15.75" customHeight="1" x14ac:dyDescent="0.2">
      <c r="A678" s="577"/>
      <c r="B678" s="577"/>
      <c r="C678" s="576"/>
      <c r="D678" s="607">
        <v>46167</v>
      </c>
      <c r="E678" s="576" t="s">
        <v>716</v>
      </c>
      <c r="F678" s="576">
        <v>31004172.399999999</v>
      </c>
      <c r="G678" s="588">
        <v>46205.919999998063</v>
      </c>
      <c r="H678" s="576">
        <v>0</v>
      </c>
      <c r="I678" s="589">
        <v>0</v>
      </c>
    </row>
    <row r="679" spans="1:9" ht="15.75" customHeight="1" x14ac:dyDescent="0.2">
      <c r="A679" s="577"/>
      <c r="B679" s="577"/>
      <c r="C679" s="576"/>
      <c r="D679" s="607">
        <v>46168</v>
      </c>
      <c r="E679" s="576" t="s">
        <v>715</v>
      </c>
      <c r="F679" s="576">
        <v>31050378.32</v>
      </c>
      <c r="G679" s="588">
        <v>46205.920000001788</v>
      </c>
      <c r="H679" s="576">
        <v>0</v>
      </c>
      <c r="I679" s="589">
        <v>0</v>
      </c>
    </row>
    <row r="680" spans="1:9" ht="15.75" customHeight="1" x14ac:dyDescent="0.2">
      <c r="A680" s="577"/>
      <c r="B680" s="577"/>
      <c r="C680" s="576"/>
      <c r="D680" s="607">
        <v>46169</v>
      </c>
      <c r="E680" s="576" t="s">
        <v>721</v>
      </c>
      <c r="F680" s="576">
        <v>31096584.239999998</v>
      </c>
      <c r="G680" s="588">
        <v>46205.919999998063</v>
      </c>
      <c r="H680" s="576">
        <v>323441.43999999762</v>
      </c>
      <c r="I680" s="589">
        <v>0</v>
      </c>
    </row>
    <row r="681" spans="1:9" ht="15.75" customHeight="1" x14ac:dyDescent="0.2">
      <c r="A681" s="577"/>
      <c r="B681" s="577"/>
      <c r="C681" s="576"/>
      <c r="D681" s="607">
        <v>46170</v>
      </c>
      <c r="E681" s="576" t="s">
        <v>720</v>
      </c>
      <c r="F681" s="576">
        <v>31142790.16</v>
      </c>
      <c r="G681" s="588">
        <v>46205.920000001788</v>
      </c>
      <c r="H681" s="576">
        <v>0</v>
      </c>
      <c r="I681" s="589">
        <v>0</v>
      </c>
    </row>
    <row r="682" spans="1:9" ht="15.75" customHeight="1" x14ac:dyDescent="0.2">
      <c r="A682" s="577"/>
      <c r="B682" s="577"/>
      <c r="C682" s="576"/>
      <c r="D682" s="607">
        <v>46171</v>
      </c>
      <c r="E682" s="576" t="s">
        <v>719</v>
      </c>
      <c r="F682" s="576">
        <v>31188996.09</v>
      </c>
      <c r="G682" s="588">
        <v>46205.929999999702</v>
      </c>
      <c r="H682" s="576">
        <v>0</v>
      </c>
      <c r="I682" s="589">
        <v>0</v>
      </c>
    </row>
    <row r="683" spans="1:9" ht="15.75" customHeight="1" x14ac:dyDescent="0.2">
      <c r="A683" s="577"/>
      <c r="B683" s="577"/>
      <c r="C683" s="576"/>
      <c r="D683" s="607">
        <v>46172</v>
      </c>
      <c r="E683" s="576" t="s">
        <v>718</v>
      </c>
      <c r="F683" s="576">
        <v>31235202.010000002</v>
      </c>
      <c r="G683" s="588">
        <v>46205.920000001788</v>
      </c>
      <c r="H683" s="576">
        <v>0</v>
      </c>
      <c r="I683" s="589">
        <v>0</v>
      </c>
    </row>
    <row r="684" spans="1:9" ht="15.75" customHeight="1" x14ac:dyDescent="0.2">
      <c r="A684" s="577"/>
      <c r="B684" s="577"/>
      <c r="C684" s="576"/>
      <c r="D684" s="607">
        <v>46173</v>
      </c>
      <c r="E684" s="576" t="s">
        <v>717</v>
      </c>
      <c r="F684" s="576">
        <v>31281407.93</v>
      </c>
      <c r="G684" s="588">
        <v>46205.919999998063</v>
      </c>
      <c r="H684" s="576">
        <v>0</v>
      </c>
      <c r="I684" s="589">
        <v>0</v>
      </c>
    </row>
    <row r="685" spans="1:9" ht="15.75" customHeight="1" x14ac:dyDescent="0.2">
      <c r="A685" s="577"/>
      <c r="B685" s="577"/>
      <c r="C685" s="576"/>
      <c r="D685" s="607">
        <v>46174</v>
      </c>
      <c r="E685" s="576" t="s">
        <v>716</v>
      </c>
      <c r="F685" s="576">
        <v>31327613.850000001</v>
      </c>
      <c r="G685" s="588">
        <v>46205.920000001788</v>
      </c>
      <c r="H685" s="576">
        <v>0</v>
      </c>
      <c r="I685" s="589">
        <v>0</v>
      </c>
    </row>
    <row r="686" spans="1:9" ht="15.75" customHeight="1" x14ac:dyDescent="0.2">
      <c r="A686" s="577"/>
      <c r="B686" s="577"/>
      <c r="C686" s="576"/>
      <c r="D686" s="607">
        <v>46175</v>
      </c>
      <c r="E686" s="576" t="s">
        <v>715</v>
      </c>
      <c r="F686" s="576">
        <v>31373819.77</v>
      </c>
      <c r="G686" s="588">
        <v>46205.919999998063</v>
      </c>
      <c r="H686" s="576">
        <v>0</v>
      </c>
      <c r="I686" s="589">
        <v>0</v>
      </c>
    </row>
    <row r="687" spans="1:9" ht="15.75" customHeight="1" x14ac:dyDescent="0.2">
      <c r="A687" s="577"/>
      <c r="B687" s="577"/>
      <c r="C687" s="576"/>
      <c r="D687" s="607">
        <v>46176</v>
      </c>
      <c r="E687" s="576" t="s">
        <v>721</v>
      </c>
      <c r="F687" s="576">
        <v>31420025.690000001</v>
      </c>
      <c r="G687" s="588">
        <v>46205.920000001788</v>
      </c>
      <c r="H687" s="576">
        <v>323441.45000000298</v>
      </c>
      <c r="I687" s="589">
        <v>646882.8900000006</v>
      </c>
    </row>
    <row r="688" spans="1:9" ht="15.75" customHeight="1" x14ac:dyDescent="0.2">
      <c r="A688" s="577"/>
      <c r="B688" s="577"/>
      <c r="C688" s="576"/>
      <c r="D688" s="607">
        <v>46177</v>
      </c>
      <c r="E688" s="576" t="s">
        <v>720</v>
      </c>
      <c r="F688" s="576">
        <v>31466231.609999999</v>
      </c>
      <c r="G688" s="588">
        <v>46205.919999998063</v>
      </c>
      <c r="H688" s="576">
        <v>0</v>
      </c>
      <c r="I688" s="589">
        <v>0</v>
      </c>
    </row>
    <row r="689" spans="1:9" ht="15.75" customHeight="1" x14ac:dyDescent="0.2">
      <c r="A689" s="577"/>
      <c r="B689" s="577"/>
      <c r="C689" s="576"/>
      <c r="D689" s="607">
        <v>46178</v>
      </c>
      <c r="E689" s="576" t="s">
        <v>719</v>
      </c>
      <c r="F689" s="576">
        <v>31512437.530000001</v>
      </c>
      <c r="G689" s="588">
        <v>46205.920000001788</v>
      </c>
      <c r="H689" s="576">
        <v>0</v>
      </c>
      <c r="I689" s="589">
        <v>0</v>
      </c>
    </row>
    <row r="690" spans="1:9" ht="15.75" customHeight="1" x14ac:dyDescent="0.2">
      <c r="A690" s="577"/>
      <c r="B690" s="577"/>
      <c r="C690" s="576"/>
      <c r="D690" s="607">
        <v>46179</v>
      </c>
      <c r="E690" s="576" t="s">
        <v>718</v>
      </c>
      <c r="F690" s="576">
        <v>31558643.449999999</v>
      </c>
      <c r="G690" s="588">
        <v>46205.919999998063</v>
      </c>
      <c r="H690" s="576">
        <v>0</v>
      </c>
      <c r="I690" s="589">
        <v>0</v>
      </c>
    </row>
    <row r="691" spans="1:9" ht="15.75" customHeight="1" x14ac:dyDescent="0.2">
      <c r="A691" s="577"/>
      <c r="B691" s="577"/>
      <c r="C691" s="576"/>
      <c r="D691" s="607">
        <v>46180</v>
      </c>
      <c r="E691" s="576" t="s">
        <v>717</v>
      </c>
      <c r="F691" s="576">
        <v>31604849.370000001</v>
      </c>
      <c r="G691" s="588">
        <v>46205.920000001788</v>
      </c>
      <c r="H691" s="576">
        <v>0</v>
      </c>
      <c r="I691" s="589">
        <v>0</v>
      </c>
    </row>
    <row r="692" spans="1:9" ht="15.75" customHeight="1" x14ac:dyDescent="0.2">
      <c r="A692" s="577"/>
      <c r="B692" s="577"/>
      <c r="C692" s="576"/>
      <c r="D692" s="607">
        <v>46181</v>
      </c>
      <c r="E692" s="576" t="s">
        <v>716</v>
      </c>
      <c r="F692" s="576">
        <v>31651055.289999999</v>
      </c>
      <c r="G692" s="588">
        <v>46205.919999998063</v>
      </c>
      <c r="H692" s="576">
        <v>0</v>
      </c>
      <c r="I692" s="589">
        <v>0</v>
      </c>
    </row>
    <row r="693" spans="1:9" ht="15.75" customHeight="1" x14ac:dyDescent="0.2">
      <c r="A693" s="577"/>
      <c r="B693" s="577"/>
      <c r="C693" s="576"/>
      <c r="D693" s="607">
        <v>46182</v>
      </c>
      <c r="E693" s="576" t="s">
        <v>715</v>
      </c>
      <c r="F693" s="576">
        <v>31697261.210000001</v>
      </c>
      <c r="G693" s="588">
        <v>46205.920000001788</v>
      </c>
      <c r="H693" s="576">
        <v>0</v>
      </c>
      <c r="I693" s="589">
        <v>0</v>
      </c>
    </row>
    <row r="694" spans="1:9" ht="15.75" customHeight="1" x14ac:dyDescent="0.2">
      <c r="A694" s="577"/>
      <c r="B694" s="577"/>
      <c r="C694" s="576"/>
      <c r="D694" s="607">
        <v>46183</v>
      </c>
      <c r="E694" s="576" t="s">
        <v>721</v>
      </c>
      <c r="F694" s="576">
        <v>31743467.129999999</v>
      </c>
      <c r="G694" s="588">
        <v>46205.919999998063</v>
      </c>
      <c r="H694" s="576">
        <v>323441.43999999762</v>
      </c>
      <c r="I694" s="589">
        <v>0</v>
      </c>
    </row>
    <row r="695" spans="1:9" ht="15.75" customHeight="1" x14ac:dyDescent="0.2">
      <c r="A695" s="577"/>
      <c r="B695" s="577"/>
      <c r="C695" s="576"/>
      <c r="D695" s="607">
        <v>46184</v>
      </c>
      <c r="E695" s="576" t="s">
        <v>720</v>
      </c>
      <c r="F695" s="576">
        <v>31789673.050000001</v>
      </c>
      <c r="G695" s="588">
        <v>46205.920000001788</v>
      </c>
      <c r="H695" s="576">
        <v>0</v>
      </c>
      <c r="I695" s="589">
        <v>0</v>
      </c>
    </row>
    <row r="696" spans="1:9" ht="15.75" customHeight="1" x14ac:dyDescent="0.2">
      <c r="A696" s="577"/>
      <c r="B696" s="577"/>
      <c r="C696" s="576"/>
      <c r="D696" s="607">
        <v>46185</v>
      </c>
      <c r="E696" s="576" t="s">
        <v>719</v>
      </c>
      <c r="F696" s="576">
        <v>31835878.969999999</v>
      </c>
      <c r="G696" s="588">
        <v>46205.919999998063</v>
      </c>
      <c r="H696" s="576">
        <v>0</v>
      </c>
      <c r="I696" s="589">
        <v>0</v>
      </c>
    </row>
    <row r="697" spans="1:9" ht="15.75" customHeight="1" x14ac:dyDescent="0.2">
      <c r="A697" s="577"/>
      <c r="B697" s="577"/>
      <c r="C697" s="576"/>
      <c r="D697" s="607">
        <v>46186</v>
      </c>
      <c r="E697" s="576" t="s">
        <v>718</v>
      </c>
      <c r="F697" s="576">
        <v>31882084.890000001</v>
      </c>
      <c r="G697" s="588">
        <v>46205.920000001788</v>
      </c>
      <c r="H697" s="576">
        <v>0</v>
      </c>
      <c r="I697" s="589">
        <v>0</v>
      </c>
    </row>
    <row r="698" spans="1:9" ht="15.75" customHeight="1" x14ac:dyDescent="0.2">
      <c r="A698" s="577"/>
      <c r="B698" s="577"/>
      <c r="C698" s="576"/>
      <c r="D698" s="607">
        <v>46187</v>
      </c>
      <c r="E698" s="576" t="s">
        <v>717</v>
      </c>
      <c r="F698" s="576">
        <v>31928290.809999999</v>
      </c>
      <c r="G698" s="588">
        <v>46205.919999998063</v>
      </c>
      <c r="H698" s="576">
        <v>0</v>
      </c>
      <c r="I698" s="589">
        <v>0</v>
      </c>
    </row>
    <row r="699" spans="1:9" ht="15.75" customHeight="1" x14ac:dyDescent="0.2">
      <c r="A699" s="577"/>
      <c r="B699" s="577"/>
      <c r="C699" s="576"/>
      <c r="D699" s="607">
        <v>46188</v>
      </c>
      <c r="E699" s="576" t="s">
        <v>716</v>
      </c>
      <c r="F699" s="576">
        <v>31974496.73</v>
      </c>
      <c r="G699" s="588">
        <v>46205.920000001788</v>
      </c>
      <c r="H699" s="576">
        <v>0</v>
      </c>
      <c r="I699" s="589">
        <v>0</v>
      </c>
    </row>
    <row r="700" spans="1:9" ht="15.75" customHeight="1" x14ac:dyDescent="0.2">
      <c r="A700" s="577"/>
      <c r="B700" s="577"/>
      <c r="C700" s="576"/>
      <c r="D700" s="607">
        <v>46189</v>
      </c>
      <c r="E700" s="576" t="s">
        <v>715</v>
      </c>
      <c r="F700" s="576">
        <v>32020702.649999999</v>
      </c>
      <c r="G700" s="588">
        <v>46205.919999998063</v>
      </c>
      <c r="H700" s="576">
        <v>0</v>
      </c>
      <c r="I700" s="589">
        <v>0</v>
      </c>
    </row>
    <row r="701" spans="1:9" ht="15.75" customHeight="1" x14ac:dyDescent="0.2">
      <c r="A701" s="577"/>
      <c r="B701" s="577"/>
      <c r="C701" s="576"/>
      <c r="D701" s="607">
        <v>46190</v>
      </c>
      <c r="E701" s="576" t="s">
        <v>721</v>
      </c>
      <c r="F701" s="576">
        <v>32066908.57</v>
      </c>
      <c r="G701" s="588">
        <v>46205.920000001788</v>
      </c>
      <c r="H701" s="576">
        <v>323441.44000000134</v>
      </c>
      <c r="I701" s="589">
        <v>646882.87999999896</v>
      </c>
    </row>
    <row r="702" spans="1:9" ht="15.75" customHeight="1" x14ac:dyDescent="0.2">
      <c r="A702" s="577"/>
      <c r="B702" s="577"/>
      <c r="C702" s="576"/>
      <c r="D702" s="607">
        <v>46191</v>
      </c>
      <c r="E702" s="576" t="s">
        <v>720</v>
      </c>
      <c r="F702" s="576">
        <v>32113114.489999998</v>
      </c>
      <c r="G702" s="588">
        <v>46205.919999998063</v>
      </c>
      <c r="H702" s="576">
        <v>0</v>
      </c>
      <c r="I702" s="589">
        <v>0</v>
      </c>
    </row>
    <row r="703" spans="1:9" ht="15.75" customHeight="1" x14ac:dyDescent="0.2">
      <c r="A703" s="577"/>
      <c r="B703" s="577"/>
      <c r="C703" s="576"/>
      <c r="D703" s="607">
        <v>46192</v>
      </c>
      <c r="E703" s="576" t="s">
        <v>719</v>
      </c>
      <c r="F703" s="576">
        <v>32159320.41</v>
      </c>
      <c r="G703" s="588">
        <v>46205.920000001788</v>
      </c>
      <c r="H703" s="576">
        <v>0</v>
      </c>
      <c r="I703" s="589">
        <v>0</v>
      </c>
    </row>
    <row r="704" spans="1:9" ht="15.75" customHeight="1" x14ac:dyDescent="0.2">
      <c r="A704" s="577"/>
      <c r="B704" s="577"/>
      <c r="C704" s="576"/>
      <c r="D704" s="607">
        <v>46193</v>
      </c>
      <c r="E704" s="576" t="s">
        <v>718</v>
      </c>
      <c r="F704" s="576">
        <v>32205526.329999998</v>
      </c>
      <c r="G704" s="588">
        <v>46205.919999998063</v>
      </c>
      <c r="H704" s="576">
        <v>0</v>
      </c>
      <c r="I704" s="589">
        <v>0</v>
      </c>
    </row>
    <row r="705" spans="1:9" ht="15.75" customHeight="1" x14ac:dyDescent="0.2">
      <c r="A705" s="577"/>
      <c r="B705" s="577"/>
      <c r="C705" s="576"/>
      <c r="D705" s="607">
        <v>46194</v>
      </c>
      <c r="E705" s="576" t="s">
        <v>717</v>
      </c>
      <c r="F705" s="576">
        <v>32251732.25</v>
      </c>
      <c r="G705" s="588">
        <v>46205.920000001788</v>
      </c>
      <c r="H705" s="576">
        <v>0</v>
      </c>
      <c r="I705" s="589">
        <v>0</v>
      </c>
    </row>
    <row r="706" spans="1:9" ht="15.75" customHeight="1" x14ac:dyDescent="0.2">
      <c r="A706" s="577"/>
      <c r="B706" s="577"/>
      <c r="C706" s="576"/>
      <c r="D706" s="607">
        <v>46195</v>
      </c>
      <c r="E706" s="576" t="s">
        <v>716</v>
      </c>
      <c r="F706" s="576">
        <v>32297938.170000002</v>
      </c>
      <c r="G706" s="588">
        <v>46205.920000001788</v>
      </c>
      <c r="H706" s="576">
        <v>0</v>
      </c>
      <c r="I706" s="589">
        <v>0</v>
      </c>
    </row>
    <row r="707" spans="1:9" ht="15.75" customHeight="1" x14ac:dyDescent="0.2">
      <c r="A707" s="577"/>
      <c r="B707" s="577"/>
      <c r="C707" s="576"/>
      <c r="D707" s="607">
        <v>46196</v>
      </c>
      <c r="E707" s="576" t="s">
        <v>715</v>
      </c>
      <c r="F707" s="576">
        <v>32344144.09</v>
      </c>
      <c r="G707" s="588">
        <v>46205.919999998063</v>
      </c>
      <c r="H707" s="576">
        <v>0</v>
      </c>
      <c r="I707" s="589">
        <v>0</v>
      </c>
    </row>
    <row r="708" spans="1:9" ht="15.75" customHeight="1" x14ac:dyDescent="0.2">
      <c r="A708" s="577"/>
      <c r="B708" s="577"/>
      <c r="C708" s="576"/>
      <c r="D708" s="607">
        <v>46197</v>
      </c>
      <c r="E708" s="576" t="s">
        <v>721</v>
      </c>
      <c r="F708" s="576">
        <v>32390350.010000002</v>
      </c>
      <c r="G708" s="588">
        <v>46205.920000001788</v>
      </c>
      <c r="H708" s="576">
        <v>323441.44000000134</v>
      </c>
      <c r="I708" s="589">
        <v>0</v>
      </c>
    </row>
    <row r="709" spans="1:9" ht="15.75" customHeight="1" x14ac:dyDescent="0.2">
      <c r="A709" s="577"/>
      <c r="B709" s="577"/>
      <c r="C709" s="576"/>
      <c r="D709" s="607">
        <v>46198</v>
      </c>
      <c r="E709" s="576" t="s">
        <v>720</v>
      </c>
      <c r="F709" s="576">
        <v>32436555.93</v>
      </c>
      <c r="G709" s="588">
        <v>46205.919999998063</v>
      </c>
      <c r="H709" s="576">
        <v>0</v>
      </c>
      <c r="I709" s="589">
        <v>0</v>
      </c>
    </row>
    <row r="710" spans="1:9" ht="15.75" customHeight="1" x14ac:dyDescent="0.2">
      <c r="A710" s="577"/>
      <c r="B710" s="577"/>
      <c r="C710" s="576"/>
      <c r="D710" s="607">
        <v>46199</v>
      </c>
      <c r="E710" s="576" t="s">
        <v>719</v>
      </c>
      <c r="F710" s="576">
        <v>32482761.850000001</v>
      </c>
      <c r="G710" s="588">
        <v>46205.920000001788</v>
      </c>
      <c r="H710" s="576">
        <v>0</v>
      </c>
      <c r="I710" s="589">
        <v>0</v>
      </c>
    </row>
    <row r="711" spans="1:9" ht="15.75" customHeight="1" x14ac:dyDescent="0.2">
      <c r="A711" s="577"/>
      <c r="B711" s="577"/>
      <c r="C711" s="576"/>
      <c r="D711" s="607">
        <v>46200</v>
      </c>
      <c r="E711" s="576" t="s">
        <v>718</v>
      </c>
      <c r="F711" s="576">
        <v>32528967.77</v>
      </c>
      <c r="G711" s="588">
        <v>46205.919999998063</v>
      </c>
      <c r="H711" s="576">
        <v>0</v>
      </c>
      <c r="I711" s="589">
        <v>0</v>
      </c>
    </row>
    <row r="712" spans="1:9" ht="15.75" customHeight="1" x14ac:dyDescent="0.2">
      <c r="A712" s="577"/>
      <c r="B712" s="577"/>
      <c r="C712" s="576"/>
      <c r="D712" s="607">
        <v>46201</v>
      </c>
      <c r="E712" s="576" t="s">
        <v>717</v>
      </c>
      <c r="F712" s="576">
        <v>32575173.690000001</v>
      </c>
      <c r="G712" s="588">
        <v>46205.920000001788</v>
      </c>
      <c r="H712" s="576">
        <v>0</v>
      </c>
      <c r="I712" s="589">
        <v>0</v>
      </c>
    </row>
    <row r="713" spans="1:9" ht="15.75" customHeight="1" x14ac:dyDescent="0.2">
      <c r="A713" s="577"/>
      <c r="B713" s="577"/>
      <c r="C713" s="576"/>
      <c r="D713" s="607">
        <v>46202</v>
      </c>
      <c r="E713" s="576" t="s">
        <v>716</v>
      </c>
      <c r="F713" s="576">
        <v>32621379.609999999</v>
      </c>
      <c r="G713" s="588">
        <v>46205.919999998063</v>
      </c>
      <c r="H713" s="576">
        <v>0</v>
      </c>
      <c r="I713" s="589">
        <v>0</v>
      </c>
    </row>
    <row r="714" spans="1:9" ht="15.75" customHeight="1" x14ac:dyDescent="0.2">
      <c r="A714" s="577"/>
      <c r="B714" s="577"/>
      <c r="C714" s="576"/>
      <c r="D714" s="607">
        <v>46203</v>
      </c>
      <c r="E714" s="576" t="s">
        <v>715</v>
      </c>
      <c r="F714" s="576">
        <v>32667585.530000001</v>
      </c>
      <c r="G714" s="588">
        <v>46205.920000001788</v>
      </c>
      <c r="H714" s="576">
        <v>0</v>
      </c>
      <c r="I714" s="589">
        <v>0</v>
      </c>
    </row>
    <row r="715" spans="1:9" ht="15.75" customHeight="1" x14ac:dyDescent="0.2">
      <c r="A715" s="577"/>
      <c r="B715" s="577"/>
      <c r="C715" s="576"/>
      <c r="D715" s="607">
        <v>46204</v>
      </c>
      <c r="E715" s="576" t="s">
        <v>721</v>
      </c>
      <c r="F715" s="576">
        <v>32713791.449999999</v>
      </c>
      <c r="G715" s="588">
        <v>46205.919999998063</v>
      </c>
      <c r="H715" s="576">
        <v>323441.43999999762</v>
      </c>
      <c r="I715" s="589">
        <v>646882.87999999896</v>
      </c>
    </row>
    <row r="716" spans="1:9" ht="15.75" customHeight="1" x14ac:dyDescent="0.2">
      <c r="A716" s="577"/>
      <c r="B716" s="577"/>
      <c r="C716" s="576"/>
      <c r="D716" s="607">
        <v>46205</v>
      </c>
      <c r="E716" s="576" t="s">
        <v>720</v>
      </c>
      <c r="F716" s="576">
        <v>32759997.370000001</v>
      </c>
      <c r="G716" s="588">
        <v>46205.920000001788</v>
      </c>
      <c r="H716" s="576">
        <v>0</v>
      </c>
      <c r="I716" s="589">
        <v>0</v>
      </c>
    </row>
    <row r="717" spans="1:9" ht="15.75" customHeight="1" x14ac:dyDescent="0.2">
      <c r="A717" s="577"/>
      <c r="B717" s="577"/>
      <c r="C717" s="576"/>
      <c r="D717" s="607">
        <v>46206</v>
      </c>
      <c r="E717" s="576" t="s">
        <v>719</v>
      </c>
      <c r="F717" s="576">
        <v>32806203.289999999</v>
      </c>
      <c r="G717" s="588">
        <v>46205.919999998063</v>
      </c>
      <c r="H717" s="576">
        <v>0</v>
      </c>
      <c r="I717" s="589">
        <v>0</v>
      </c>
    </row>
    <row r="718" spans="1:9" ht="15.75" customHeight="1" x14ac:dyDescent="0.2">
      <c r="A718" s="577"/>
      <c r="B718" s="577"/>
      <c r="C718" s="576"/>
      <c r="D718" s="607">
        <v>46207</v>
      </c>
      <c r="E718" s="576" t="s">
        <v>718</v>
      </c>
      <c r="F718" s="576">
        <v>32852409.210000001</v>
      </c>
      <c r="G718" s="588">
        <v>46205.920000001788</v>
      </c>
      <c r="H718" s="576">
        <v>0</v>
      </c>
      <c r="I718" s="589">
        <v>0</v>
      </c>
    </row>
    <row r="719" spans="1:9" ht="15.75" customHeight="1" x14ac:dyDescent="0.2">
      <c r="A719" s="577"/>
      <c r="B719" s="577"/>
      <c r="C719" s="576"/>
      <c r="D719" s="607">
        <v>46208</v>
      </c>
      <c r="E719" s="576" t="s">
        <v>717</v>
      </c>
      <c r="F719" s="576">
        <v>32898615.129999999</v>
      </c>
      <c r="G719" s="588">
        <v>46205.919999998063</v>
      </c>
      <c r="H719" s="576">
        <v>0</v>
      </c>
      <c r="I719" s="589">
        <v>0</v>
      </c>
    </row>
    <row r="720" spans="1:9" ht="15.75" customHeight="1" x14ac:dyDescent="0.2">
      <c r="A720" s="577"/>
      <c r="B720" s="577"/>
      <c r="C720" s="576"/>
      <c r="D720" s="607">
        <v>46209</v>
      </c>
      <c r="E720" s="576" t="s">
        <v>716</v>
      </c>
      <c r="F720" s="576">
        <v>32944821.050000001</v>
      </c>
      <c r="G720" s="588">
        <v>46205.920000001788</v>
      </c>
      <c r="H720" s="576">
        <v>0</v>
      </c>
      <c r="I720" s="589">
        <v>0</v>
      </c>
    </row>
    <row r="721" spans="1:9" ht="15.75" customHeight="1" x14ac:dyDescent="0.2">
      <c r="A721" s="577"/>
      <c r="B721" s="577"/>
      <c r="C721" s="576"/>
      <c r="D721" s="607">
        <v>46210</v>
      </c>
      <c r="E721" s="576" t="s">
        <v>715</v>
      </c>
      <c r="F721" s="576">
        <v>32991026.969999999</v>
      </c>
      <c r="G721" s="588">
        <v>46205.919999998063</v>
      </c>
      <c r="H721" s="576">
        <v>0</v>
      </c>
      <c r="I721" s="589">
        <v>0</v>
      </c>
    </row>
    <row r="722" spans="1:9" ht="15.75" customHeight="1" x14ac:dyDescent="0.2">
      <c r="A722" s="577"/>
      <c r="B722" s="577"/>
      <c r="C722" s="576"/>
      <c r="D722" s="607">
        <v>46211</v>
      </c>
      <c r="E722" s="576" t="s">
        <v>721</v>
      </c>
      <c r="F722" s="576">
        <v>33037232.890000001</v>
      </c>
      <c r="G722" s="588">
        <v>46205.920000001788</v>
      </c>
      <c r="H722" s="576">
        <v>323441.44000000134</v>
      </c>
      <c r="I722" s="589">
        <v>0</v>
      </c>
    </row>
    <row r="723" spans="1:9" ht="15.75" customHeight="1" x14ac:dyDescent="0.2">
      <c r="A723" s="577"/>
      <c r="B723" s="577"/>
      <c r="C723" s="576"/>
      <c r="D723" s="607">
        <v>46212</v>
      </c>
      <c r="E723" s="576" t="s">
        <v>720</v>
      </c>
      <c r="F723" s="576">
        <v>33083438.809999999</v>
      </c>
      <c r="G723" s="588">
        <v>46205.919999998063</v>
      </c>
      <c r="H723" s="576">
        <v>0</v>
      </c>
      <c r="I723" s="589">
        <v>0</v>
      </c>
    </row>
    <row r="724" spans="1:9" ht="15.75" customHeight="1" x14ac:dyDescent="0.2">
      <c r="A724" s="577"/>
      <c r="B724" s="577"/>
      <c r="C724" s="576"/>
      <c r="D724" s="607">
        <v>46213</v>
      </c>
      <c r="E724" s="576" t="s">
        <v>719</v>
      </c>
      <c r="F724" s="576">
        <v>33129644.73</v>
      </c>
      <c r="G724" s="588">
        <v>46205.920000001788</v>
      </c>
      <c r="H724" s="576">
        <v>0</v>
      </c>
      <c r="I724" s="589">
        <v>0</v>
      </c>
    </row>
    <row r="725" spans="1:9" ht="15.75" customHeight="1" x14ac:dyDescent="0.2">
      <c r="A725" s="577"/>
      <c r="B725" s="577"/>
      <c r="C725" s="576"/>
      <c r="D725" s="607">
        <v>46214</v>
      </c>
      <c r="E725" s="576" t="s">
        <v>718</v>
      </c>
      <c r="F725" s="576">
        <v>33175850.649999999</v>
      </c>
      <c r="G725" s="588">
        <v>46205.919999998063</v>
      </c>
      <c r="H725" s="576">
        <v>0</v>
      </c>
      <c r="I725" s="589">
        <v>0</v>
      </c>
    </row>
    <row r="726" spans="1:9" ht="15.75" customHeight="1" x14ac:dyDescent="0.2">
      <c r="A726" s="577"/>
      <c r="B726" s="577"/>
      <c r="C726" s="576"/>
      <c r="D726" s="607">
        <v>46215</v>
      </c>
      <c r="E726" s="576" t="s">
        <v>717</v>
      </c>
      <c r="F726" s="576">
        <v>33222056.57</v>
      </c>
      <c r="G726" s="588">
        <v>46205.920000001788</v>
      </c>
      <c r="H726" s="576">
        <v>0</v>
      </c>
      <c r="I726" s="589">
        <v>0</v>
      </c>
    </row>
    <row r="727" spans="1:9" ht="15.75" customHeight="1" x14ac:dyDescent="0.2">
      <c r="A727" s="577"/>
      <c r="B727" s="577"/>
      <c r="C727" s="576"/>
      <c r="D727" s="607">
        <v>46216</v>
      </c>
      <c r="E727" s="576" t="s">
        <v>716</v>
      </c>
      <c r="F727" s="576">
        <v>33268262.489999998</v>
      </c>
      <c r="G727" s="588">
        <v>46205.919999998063</v>
      </c>
      <c r="H727" s="576">
        <v>0</v>
      </c>
      <c r="I727" s="589">
        <v>0</v>
      </c>
    </row>
    <row r="728" spans="1:9" ht="15.75" customHeight="1" x14ac:dyDescent="0.2">
      <c r="A728" s="577"/>
      <c r="B728" s="577"/>
      <c r="C728" s="576"/>
      <c r="D728" s="607">
        <v>46217</v>
      </c>
      <c r="E728" s="576" t="s">
        <v>715</v>
      </c>
      <c r="F728" s="576">
        <v>33314468.41</v>
      </c>
      <c r="G728" s="588">
        <v>46205.920000001788</v>
      </c>
      <c r="H728" s="576">
        <v>0</v>
      </c>
      <c r="I728" s="589">
        <v>0</v>
      </c>
    </row>
    <row r="729" spans="1:9" ht="15.75" customHeight="1" x14ac:dyDescent="0.2">
      <c r="A729" s="577"/>
      <c r="B729" s="577"/>
      <c r="C729" s="576"/>
      <c r="D729" s="607">
        <v>46218</v>
      </c>
      <c r="E729" s="576" t="s">
        <v>721</v>
      </c>
      <c r="F729" s="576">
        <v>33360674.329999998</v>
      </c>
      <c r="G729" s="588">
        <v>46205.919999998063</v>
      </c>
      <c r="H729" s="576">
        <v>323441.43999999762</v>
      </c>
      <c r="I729" s="589">
        <v>646882.87999999896</v>
      </c>
    </row>
    <row r="730" spans="1:9" ht="15.75" customHeight="1" x14ac:dyDescent="0.2">
      <c r="A730" s="577"/>
      <c r="B730" s="577"/>
      <c r="C730" s="576"/>
      <c r="D730" s="607">
        <v>46219</v>
      </c>
      <c r="E730" s="576" t="s">
        <v>720</v>
      </c>
      <c r="F730" s="576">
        <v>33406880.25</v>
      </c>
      <c r="G730" s="588">
        <v>46205.920000001788</v>
      </c>
      <c r="H730" s="576">
        <v>0</v>
      </c>
      <c r="I730" s="589">
        <v>0</v>
      </c>
    </row>
    <row r="731" spans="1:9" ht="15.75" customHeight="1" x14ac:dyDescent="0.2">
      <c r="A731" s="577"/>
      <c r="B731" s="577"/>
      <c r="C731" s="576"/>
      <c r="D731" s="607">
        <v>46220</v>
      </c>
      <c r="E731" s="576" t="s">
        <v>719</v>
      </c>
      <c r="F731" s="576">
        <v>33453086.170000002</v>
      </c>
      <c r="G731" s="588">
        <v>46205.920000001788</v>
      </c>
      <c r="H731" s="576">
        <v>0</v>
      </c>
      <c r="I731" s="589">
        <v>0</v>
      </c>
    </row>
    <row r="732" spans="1:9" ht="15.75" customHeight="1" x14ac:dyDescent="0.2">
      <c r="A732" s="577"/>
      <c r="B732" s="577"/>
      <c r="C732" s="576"/>
      <c r="D732" s="607">
        <v>46221</v>
      </c>
      <c r="E732" s="576" t="s">
        <v>718</v>
      </c>
      <c r="F732" s="576">
        <v>33499292.09</v>
      </c>
      <c r="G732" s="588">
        <v>46205.919999998063</v>
      </c>
      <c r="H732" s="576">
        <v>0</v>
      </c>
      <c r="I732" s="589">
        <v>0</v>
      </c>
    </row>
    <row r="733" spans="1:9" ht="15.75" customHeight="1" x14ac:dyDescent="0.2">
      <c r="A733" s="577"/>
      <c r="B733" s="577"/>
      <c r="C733" s="576"/>
      <c r="D733" s="607">
        <v>46222</v>
      </c>
      <c r="E733" s="576" t="s">
        <v>717</v>
      </c>
      <c r="F733" s="576">
        <v>33545498.010000002</v>
      </c>
      <c r="G733" s="588">
        <v>46205.920000001788</v>
      </c>
      <c r="H733" s="576">
        <v>0</v>
      </c>
      <c r="I733" s="589">
        <v>0</v>
      </c>
    </row>
    <row r="734" spans="1:9" ht="15.75" customHeight="1" x14ac:dyDescent="0.2">
      <c r="A734" s="577"/>
      <c r="B734" s="577"/>
      <c r="C734" s="576"/>
      <c r="D734" s="607">
        <v>46223</v>
      </c>
      <c r="E734" s="576" t="s">
        <v>716</v>
      </c>
      <c r="F734" s="576">
        <v>33591703.93</v>
      </c>
      <c r="G734" s="588">
        <v>46205.919999998063</v>
      </c>
      <c r="H734" s="576">
        <v>0</v>
      </c>
      <c r="I734" s="589">
        <v>0</v>
      </c>
    </row>
    <row r="735" spans="1:9" ht="15.75" customHeight="1" x14ac:dyDescent="0.2">
      <c r="A735" s="577"/>
      <c r="B735" s="577"/>
      <c r="C735" s="576"/>
      <c r="D735" s="607">
        <v>46224</v>
      </c>
      <c r="E735" s="576" t="s">
        <v>715</v>
      </c>
      <c r="F735" s="576">
        <v>33637909.850000001</v>
      </c>
      <c r="G735" s="588">
        <v>46205.920000001788</v>
      </c>
      <c r="H735" s="576">
        <v>0</v>
      </c>
      <c r="I735" s="589">
        <v>0</v>
      </c>
    </row>
    <row r="736" spans="1:9" ht="15.75" customHeight="1" x14ac:dyDescent="0.2">
      <c r="A736" s="577"/>
      <c r="B736" s="577"/>
      <c r="C736" s="576"/>
      <c r="D736" s="607">
        <v>46225</v>
      </c>
      <c r="E736" s="576" t="s">
        <v>721</v>
      </c>
      <c r="F736" s="576">
        <v>33684115.770000003</v>
      </c>
      <c r="G736" s="588">
        <v>46205.920000001788</v>
      </c>
      <c r="H736" s="576">
        <v>323441.44000000507</v>
      </c>
      <c r="I736" s="589">
        <v>0</v>
      </c>
    </row>
    <row r="737" spans="1:9" ht="15.75" customHeight="1" x14ac:dyDescent="0.2">
      <c r="A737" s="577"/>
      <c r="B737" s="577"/>
      <c r="C737" s="576"/>
      <c r="D737" s="607">
        <v>46226</v>
      </c>
      <c r="E737" s="576" t="s">
        <v>720</v>
      </c>
      <c r="F737" s="576">
        <v>33730321.689999998</v>
      </c>
      <c r="G737" s="588">
        <v>46205.919999994338</v>
      </c>
      <c r="H737" s="576">
        <v>0</v>
      </c>
      <c r="I737" s="589">
        <v>0</v>
      </c>
    </row>
    <row r="738" spans="1:9" ht="15.75" customHeight="1" x14ac:dyDescent="0.2">
      <c r="A738" s="577"/>
      <c r="B738" s="577"/>
      <c r="C738" s="576"/>
      <c r="D738" s="607">
        <v>46227</v>
      </c>
      <c r="E738" s="576" t="s">
        <v>719</v>
      </c>
      <c r="F738" s="576">
        <v>33769678.299999997</v>
      </c>
      <c r="G738" s="588">
        <v>39356.609999999404</v>
      </c>
      <c r="H738" s="576">
        <v>0</v>
      </c>
      <c r="I738" s="589">
        <v>0</v>
      </c>
    </row>
    <row r="739" spans="1:9" ht="15.75" customHeight="1" x14ac:dyDescent="0.2">
      <c r="A739" s="577"/>
      <c r="B739" s="577"/>
      <c r="C739" s="576"/>
      <c r="D739" s="607">
        <v>46228</v>
      </c>
      <c r="E739" s="576" t="s">
        <v>718</v>
      </c>
      <c r="F739" s="576">
        <v>33809034.899999999</v>
      </c>
      <c r="G739" s="588">
        <v>39356.60000000149</v>
      </c>
      <c r="H739" s="576">
        <v>0</v>
      </c>
      <c r="I739" s="589">
        <v>0</v>
      </c>
    </row>
    <row r="740" spans="1:9" ht="15.75" customHeight="1" x14ac:dyDescent="0.2">
      <c r="A740" s="577"/>
      <c r="B740" s="577"/>
      <c r="C740" s="576"/>
      <c r="D740" s="607">
        <v>46229</v>
      </c>
      <c r="E740" s="576" t="s">
        <v>717</v>
      </c>
      <c r="F740" s="576">
        <v>33848391.509999998</v>
      </c>
      <c r="G740" s="588">
        <v>39356.609999999404</v>
      </c>
      <c r="H740" s="576">
        <v>0</v>
      </c>
      <c r="I740" s="589">
        <v>0</v>
      </c>
    </row>
    <row r="741" spans="1:9" ht="15.75" customHeight="1" x14ac:dyDescent="0.2">
      <c r="A741" s="577"/>
      <c r="B741" s="577"/>
      <c r="C741" s="576"/>
      <c r="D741" s="607">
        <v>46230</v>
      </c>
      <c r="E741" s="576" t="s">
        <v>716</v>
      </c>
      <c r="F741" s="576">
        <v>33887748.109999999</v>
      </c>
      <c r="G741" s="588">
        <v>39356.60000000149</v>
      </c>
      <c r="H741" s="576">
        <v>0</v>
      </c>
      <c r="I741" s="589">
        <v>0</v>
      </c>
    </row>
    <row r="742" spans="1:9" ht="15.75" customHeight="1" x14ac:dyDescent="0.2">
      <c r="A742" s="577"/>
      <c r="B742" s="577"/>
      <c r="C742" s="576"/>
      <c r="D742" s="607">
        <v>46231</v>
      </c>
      <c r="E742" s="576" t="s">
        <v>715</v>
      </c>
      <c r="F742" s="576">
        <v>33927104.719999999</v>
      </c>
      <c r="G742" s="588">
        <v>39356.609999999404</v>
      </c>
      <c r="H742" s="576">
        <v>0</v>
      </c>
      <c r="I742" s="589">
        <v>0</v>
      </c>
    </row>
    <row r="743" spans="1:9" ht="15.75" customHeight="1" x14ac:dyDescent="0.2">
      <c r="A743" s="577"/>
      <c r="B743" s="577"/>
      <c r="C743" s="576"/>
      <c r="D743" s="607">
        <v>46232</v>
      </c>
      <c r="E743" s="576" t="s">
        <v>721</v>
      </c>
      <c r="F743" s="576">
        <v>33966461.32</v>
      </c>
      <c r="G743" s="588">
        <v>39356.60000000149</v>
      </c>
      <c r="H743" s="576">
        <v>282345.54999999702</v>
      </c>
      <c r="I743" s="589">
        <v>605786.99000000209</v>
      </c>
    </row>
    <row r="744" spans="1:9" ht="15.75" customHeight="1" x14ac:dyDescent="0.2">
      <c r="A744" s="577"/>
      <c r="B744" s="577"/>
      <c r="C744" s="576"/>
      <c r="D744" s="607">
        <v>46233</v>
      </c>
      <c r="E744" s="576" t="s">
        <v>720</v>
      </c>
      <c r="F744" s="576">
        <v>34005817.93</v>
      </c>
      <c r="G744" s="588">
        <v>39356.609999999404</v>
      </c>
      <c r="H744" s="576">
        <v>0</v>
      </c>
      <c r="I744" s="589">
        <v>0</v>
      </c>
    </row>
    <row r="745" spans="1:9" ht="15.75" customHeight="1" x14ac:dyDescent="0.2">
      <c r="A745" s="577"/>
      <c r="B745" s="577"/>
      <c r="C745" s="576"/>
      <c r="D745" s="607">
        <v>46234</v>
      </c>
      <c r="E745" s="576" t="s">
        <v>719</v>
      </c>
      <c r="F745" s="576">
        <v>34045174.530000001</v>
      </c>
      <c r="G745" s="588">
        <v>39356.60000000149</v>
      </c>
      <c r="H745" s="576">
        <v>0</v>
      </c>
      <c r="I745" s="589">
        <v>0</v>
      </c>
    </row>
    <row r="746" spans="1:9" ht="15.75" customHeight="1" x14ac:dyDescent="0.2">
      <c r="A746" s="577"/>
      <c r="B746" s="577"/>
      <c r="C746" s="576"/>
      <c r="D746" s="607">
        <v>46235</v>
      </c>
      <c r="E746" s="576" t="s">
        <v>718</v>
      </c>
      <c r="F746" s="576">
        <v>34084531.140000001</v>
      </c>
      <c r="G746" s="588">
        <v>39356.609999999404</v>
      </c>
      <c r="H746" s="576">
        <v>0</v>
      </c>
      <c r="I746" s="589">
        <v>0</v>
      </c>
    </row>
    <row r="747" spans="1:9" ht="15.75" customHeight="1" x14ac:dyDescent="0.2">
      <c r="A747" s="577"/>
      <c r="B747" s="577"/>
      <c r="C747" s="576"/>
      <c r="D747" s="607">
        <v>46236</v>
      </c>
      <c r="E747" s="576" t="s">
        <v>717</v>
      </c>
      <c r="F747" s="576">
        <v>34123887.740000002</v>
      </c>
      <c r="G747" s="588">
        <v>39356.60000000149</v>
      </c>
      <c r="H747" s="576">
        <v>0</v>
      </c>
      <c r="I747" s="589">
        <v>0</v>
      </c>
    </row>
    <row r="748" spans="1:9" ht="15.75" customHeight="1" x14ac:dyDescent="0.2">
      <c r="A748" s="577"/>
      <c r="B748" s="577"/>
      <c r="C748" s="576"/>
      <c r="D748" s="607">
        <v>46237</v>
      </c>
      <c r="E748" s="576" t="s">
        <v>716</v>
      </c>
      <c r="F748" s="576">
        <v>34163244.350000001</v>
      </c>
      <c r="G748" s="588">
        <v>39356.609999999404</v>
      </c>
      <c r="H748" s="576">
        <v>0</v>
      </c>
      <c r="I748" s="589">
        <v>0</v>
      </c>
    </row>
    <row r="749" spans="1:9" ht="15.75" customHeight="1" x14ac:dyDescent="0.2">
      <c r="A749" s="577"/>
      <c r="B749" s="577"/>
      <c r="C749" s="576"/>
      <c r="D749" s="607">
        <v>46238</v>
      </c>
      <c r="E749" s="576" t="s">
        <v>715</v>
      </c>
      <c r="F749" s="576">
        <v>34202600.950000003</v>
      </c>
      <c r="G749" s="588">
        <v>39356.60000000149</v>
      </c>
      <c r="H749" s="576">
        <v>0</v>
      </c>
      <c r="I749" s="589">
        <v>0</v>
      </c>
    </row>
    <row r="750" spans="1:9" ht="15.75" customHeight="1" x14ac:dyDescent="0.2">
      <c r="A750" s="577"/>
      <c r="B750" s="577"/>
      <c r="C750" s="576"/>
      <c r="D750" s="607">
        <v>46239</v>
      </c>
      <c r="E750" s="576" t="s">
        <v>721</v>
      </c>
      <c r="F750" s="576">
        <v>34241957.560000002</v>
      </c>
      <c r="G750" s="588">
        <v>39356.609999999404</v>
      </c>
      <c r="H750" s="576">
        <v>275496.24000000209</v>
      </c>
      <c r="I750" s="589">
        <v>0</v>
      </c>
    </row>
    <row r="751" spans="1:9" ht="15.75" customHeight="1" x14ac:dyDescent="0.2">
      <c r="A751" s="577"/>
      <c r="B751" s="577"/>
      <c r="C751" s="576"/>
      <c r="D751" s="607">
        <v>46240</v>
      </c>
      <c r="E751" s="576" t="s">
        <v>720</v>
      </c>
      <c r="F751" s="576">
        <v>34281314.159999996</v>
      </c>
      <c r="G751" s="588">
        <v>39356.59999999404</v>
      </c>
      <c r="H751" s="576">
        <v>0</v>
      </c>
      <c r="I751" s="589">
        <v>0</v>
      </c>
    </row>
    <row r="752" spans="1:9" ht="15.75" customHeight="1" x14ac:dyDescent="0.2">
      <c r="A752" s="577"/>
      <c r="B752" s="577"/>
      <c r="C752" s="576"/>
      <c r="D752" s="607">
        <v>46241</v>
      </c>
      <c r="E752" s="576" t="s">
        <v>719</v>
      </c>
      <c r="F752" s="576">
        <v>34320670.770000003</v>
      </c>
      <c r="G752" s="588">
        <v>39356.610000006855</v>
      </c>
      <c r="H752" s="576">
        <v>0</v>
      </c>
      <c r="I752" s="589">
        <v>0</v>
      </c>
    </row>
    <row r="753" spans="1:9" ht="15.75" customHeight="1" x14ac:dyDescent="0.2">
      <c r="A753" s="577"/>
      <c r="B753" s="577"/>
      <c r="C753" s="576"/>
      <c r="D753" s="607">
        <v>46242</v>
      </c>
      <c r="E753" s="576" t="s">
        <v>718</v>
      </c>
      <c r="F753" s="576">
        <v>34360027.369999997</v>
      </c>
      <c r="G753" s="588">
        <v>39356.59999999404</v>
      </c>
      <c r="H753" s="576">
        <v>0</v>
      </c>
      <c r="I753" s="589">
        <v>0</v>
      </c>
    </row>
    <row r="754" spans="1:9" ht="15.75" customHeight="1" x14ac:dyDescent="0.2">
      <c r="A754" s="577"/>
      <c r="B754" s="577"/>
      <c r="C754" s="576"/>
      <c r="D754" s="607">
        <v>46243</v>
      </c>
      <c r="E754" s="576" t="s">
        <v>717</v>
      </c>
      <c r="F754" s="576">
        <v>34399383.979999997</v>
      </c>
      <c r="G754" s="588">
        <v>39356.609999999404</v>
      </c>
      <c r="H754" s="576">
        <v>0</v>
      </c>
      <c r="I754" s="589">
        <v>0</v>
      </c>
    </row>
    <row r="755" spans="1:9" ht="15.75" customHeight="1" x14ac:dyDescent="0.2">
      <c r="A755" s="577"/>
      <c r="B755" s="577"/>
      <c r="C755" s="576"/>
      <c r="D755" s="607">
        <v>46244</v>
      </c>
      <c r="E755" s="576" t="s">
        <v>716</v>
      </c>
      <c r="F755" s="576">
        <v>34438740.579999998</v>
      </c>
      <c r="G755" s="588">
        <v>39356.60000000149</v>
      </c>
      <c r="H755" s="576">
        <v>0</v>
      </c>
      <c r="I755" s="589">
        <v>0</v>
      </c>
    </row>
    <row r="756" spans="1:9" ht="15.75" customHeight="1" x14ac:dyDescent="0.2">
      <c r="A756" s="577"/>
      <c r="B756" s="577"/>
      <c r="C756" s="576"/>
      <c r="D756" s="607">
        <v>46245</v>
      </c>
      <c r="E756" s="576" t="s">
        <v>715</v>
      </c>
      <c r="F756" s="576">
        <v>34478097.189999998</v>
      </c>
      <c r="G756" s="588">
        <v>39356.609999999404</v>
      </c>
      <c r="H756" s="576">
        <v>0</v>
      </c>
      <c r="I756" s="589">
        <v>0</v>
      </c>
    </row>
    <row r="757" spans="1:9" ht="15.75" customHeight="1" x14ac:dyDescent="0.2">
      <c r="A757" s="577"/>
      <c r="B757" s="577"/>
      <c r="C757" s="576"/>
      <c r="D757" s="607">
        <v>46246</v>
      </c>
      <c r="E757" s="576" t="s">
        <v>721</v>
      </c>
      <c r="F757" s="576">
        <v>34517453.789999999</v>
      </c>
      <c r="G757" s="588">
        <v>39356.60000000149</v>
      </c>
      <c r="H757" s="576">
        <v>275496.22999999672</v>
      </c>
      <c r="I757" s="589">
        <v>550992.46999999881</v>
      </c>
    </row>
    <row r="758" spans="1:9" ht="15.75" customHeight="1" x14ac:dyDescent="0.2">
      <c r="A758" s="577"/>
      <c r="B758" s="577"/>
      <c r="C758" s="576"/>
      <c r="D758" s="607">
        <v>46247</v>
      </c>
      <c r="E758" s="576" t="s">
        <v>720</v>
      </c>
      <c r="F758" s="576">
        <v>34556810.399999999</v>
      </c>
      <c r="G758" s="588">
        <v>39356.609999999404</v>
      </c>
      <c r="H758" s="576">
        <v>0</v>
      </c>
      <c r="I758" s="589">
        <v>0</v>
      </c>
    </row>
    <row r="759" spans="1:9" ht="15.75" customHeight="1" x14ac:dyDescent="0.2">
      <c r="A759" s="577"/>
      <c r="B759" s="577"/>
      <c r="C759" s="576"/>
      <c r="D759" s="607">
        <v>46248</v>
      </c>
      <c r="E759" s="576" t="s">
        <v>719</v>
      </c>
      <c r="F759" s="576">
        <v>34596167</v>
      </c>
      <c r="G759" s="588">
        <v>39356.60000000149</v>
      </c>
      <c r="H759" s="576">
        <v>0</v>
      </c>
      <c r="I759" s="589">
        <v>0</v>
      </c>
    </row>
    <row r="760" spans="1:9" ht="15.75" customHeight="1" x14ac:dyDescent="0.2">
      <c r="A760" s="577"/>
      <c r="B760" s="577"/>
      <c r="C760" s="576"/>
      <c r="D760" s="607">
        <v>46249</v>
      </c>
      <c r="E760" s="576" t="s">
        <v>718</v>
      </c>
      <c r="F760" s="576">
        <v>34635523.609999999</v>
      </c>
      <c r="G760" s="588">
        <v>39356.609999999404</v>
      </c>
      <c r="H760" s="576">
        <v>0</v>
      </c>
      <c r="I760" s="589">
        <v>0</v>
      </c>
    </row>
    <row r="761" spans="1:9" ht="15.75" customHeight="1" x14ac:dyDescent="0.2">
      <c r="A761" s="577"/>
      <c r="B761" s="577"/>
      <c r="C761" s="576"/>
      <c r="D761" s="607">
        <v>46250</v>
      </c>
      <c r="E761" s="576" t="s">
        <v>717</v>
      </c>
      <c r="F761" s="576">
        <v>34674880.210000001</v>
      </c>
      <c r="G761" s="588">
        <v>39356.60000000149</v>
      </c>
      <c r="H761" s="576">
        <v>0</v>
      </c>
      <c r="I761" s="589">
        <v>0</v>
      </c>
    </row>
    <row r="762" spans="1:9" ht="15.75" customHeight="1" x14ac:dyDescent="0.2">
      <c r="A762" s="577"/>
      <c r="B762" s="577"/>
      <c r="C762" s="576"/>
      <c r="D762" s="607">
        <v>46251</v>
      </c>
      <c r="E762" s="576" t="s">
        <v>716</v>
      </c>
      <c r="F762" s="576">
        <v>34714236.82</v>
      </c>
      <c r="G762" s="588">
        <v>39356.609999999404</v>
      </c>
      <c r="H762" s="576">
        <v>0</v>
      </c>
      <c r="I762" s="589">
        <v>0</v>
      </c>
    </row>
    <row r="763" spans="1:9" ht="15.75" customHeight="1" x14ac:dyDescent="0.2">
      <c r="A763" s="577"/>
      <c r="B763" s="577"/>
      <c r="C763" s="576"/>
      <c r="D763" s="607">
        <v>46252</v>
      </c>
      <c r="E763" s="576" t="s">
        <v>715</v>
      </c>
      <c r="F763" s="576">
        <v>34753593.420000002</v>
      </c>
      <c r="G763" s="588">
        <v>39356.60000000149</v>
      </c>
      <c r="H763" s="576">
        <v>0</v>
      </c>
      <c r="I763" s="589">
        <v>0</v>
      </c>
    </row>
    <row r="764" spans="1:9" ht="15.75" customHeight="1" x14ac:dyDescent="0.2">
      <c r="A764" s="577"/>
      <c r="B764" s="577"/>
      <c r="C764" s="576"/>
      <c r="D764" s="607">
        <v>46253</v>
      </c>
      <c r="E764" s="576" t="s">
        <v>721</v>
      </c>
      <c r="F764" s="576">
        <v>34792950.030000001</v>
      </c>
      <c r="G764" s="588">
        <v>39356.609999999404</v>
      </c>
      <c r="H764" s="576">
        <v>275496.24000000209</v>
      </c>
      <c r="I764" s="589">
        <v>0</v>
      </c>
    </row>
    <row r="765" spans="1:9" ht="15.75" customHeight="1" x14ac:dyDescent="0.2">
      <c r="A765" s="577"/>
      <c r="B765" s="577"/>
      <c r="C765" s="576"/>
      <c r="D765" s="607">
        <v>46254</v>
      </c>
      <c r="E765" s="576" t="s">
        <v>720</v>
      </c>
      <c r="F765" s="576">
        <v>34832306.630000003</v>
      </c>
      <c r="G765" s="588">
        <v>39356.60000000149</v>
      </c>
      <c r="H765" s="576">
        <v>0</v>
      </c>
      <c r="I765" s="589">
        <v>0</v>
      </c>
    </row>
    <row r="766" spans="1:9" ht="15.75" customHeight="1" x14ac:dyDescent="0.2">
      <c r="A766" s="577"/>
      <c r="B766" s="577"/>
      <c r="C766" s="576"/>
      <c r="D766" s="607">
        <v>46255</v>
      </c>
      <c r="E766" s="576" t="s">
        <v>719</v>
      </c>
      <c r="F766" s="576">
        <v>34871663.240000002</v>
      </c>
      <c r="G766" s="588">
        <v>39356.609999999404</v>
      </c>
      <c r="H766" s="576">
        <v>0</v>
      </c>
      <c r="I766" s="589">
        <v>0</v>
      </c>
    </row>
    <row r="767" spans="1:9" ht="15.75" customHeight="1" x14ac:dyDescent="0.2">
      <c r="A767" s="577"/>
      <c r="B767" s="577"/>
      <c r="C767" s="576"/>
      <c r="D767" s="607">
        <v>46256</v>
      </c>
      <c r="E767" s="576" t="s">
        <v>718</v>
      </c>
      <c r="F767" s="576">
        <v>34911019.840000004</v>
      </c>
      <c r="G767" s="588">
        <v>39356.60000000149</v>
      </c>
      <c r="H767" s="576">
        <v>0</v>
      </c>
      <c r="I767" s="589">
        <v>0</v>
      </c>
    </row>
    <row r="768" spans="1:9" ht="15.75" customHeight="1" x14ac:dyDescent="0.2">
      <c r="A768" s="577"/>
      <c r="B768" s="577"/>
      <c r="C768" s="576"/>
      <c r="D768" s="607">
        <v>46257</v>
      </c>
      <c r="E768" s="576" t="s">
        <v>717</v>
      </c>
      <c r="F768" s="576">
        <v>34950376.450000003</v>
      </c>
      <c r="G768" s="588">
        <v>39356.609999999404</v>
      </c>
      <c r="H768" s="576">
        <v>0</v>
      </c>
      <c r="I768" s="589">
        <v>0</v>
      </c>
    </row>
    <row r="769" spans="1:9" ht="15.75" customHeight="1" x14ac:dyDescent="0.2">
      <c r="A769" s="577"/>
      <c r="B769" s="577"/>
      <c r="C769" s="576"/>
      <c r="D769" s="607">
        <v>46258</v>
      </c>
      <c r="E769" s="576" t="s">
        <v>716</v>
      </c>
      <c r="F769" s="576">
        <v>34989733.049999997</v>
      </c>
      <c r="G769" s="588">
        <v>39356.59999999404</v>
      </c>
      <c r="H769" s="576">
        <v>0</v>
      </c>
      <c r="I769" s="589">
        <v>0</v>
      </c>
    </row>
    <row r="770" spans="1:9" ht="15.75" customHeight="1" x14ac:dyDescent="0.2">
      <c r="A770" s="577"/>
      <c r="B770" s="577"/>
      <c r="C770" s="576"/>
      <c r="D770" s="607">
        <v>46259</v>
      </c>
      <c r="E770" s="576" t="s">
        <v>715</v>
      </c>
      <c r="F770" s="576">
        <v>35029089.659999996</v>
      </c>
      <c r="G770" s="588">
        <v>39356.609999999404</v>
      </c>
      <c r="H770" s="576">
        <v>0</v>
      </c>
      <c r="I770" s="589">
        <v>0</v>
      </c>
    </row>
    <row r="771" spans="1:9" ht="15.75" customHeight="1" x14ac:dyDescent="0.2">
      <c r="A771" s="577"/>
      <c r="B771" s="577"/>
      <c r="C771" s="576"/>
      <c r="D771" s="607">
        <v>46260</v>
      </c>
      <c r="E771" s="576" t="s">
        <v>721</v>
      </c>
      <c r="F771" s="576">
        <v>35068446.259999998</v>
      </c>
      <c r="G771" s="588">
        <v>39356.60000000149</v>
      </c>
      <c r="H771" s="576">
        <v>275496.22999999672</v>
      </c>
      <c r="I771" s="589">
        <v>550992.46999999881</v>
      </c>
    </row>
    <row r="772" spans="1:9" ht="15.75" customHeight="1" x14ac:dyDescent="0.2">
      <c r="A772" s="577"/>
      <c r="B772" s="577"/>
      <c r="C772" s="576"/>
      <c r="D772" s="607">
        <v>46261</v>
      </c>
      <c r="E772" s="576" t="s">
        <v>720</v>
      </c>
      <c r="F772" s="576">
        <v>35107802.869999997</v>
      </c>
      <c r="G772" s="588">
        <v>39356.609999999404</v>
      </c>
      <c r="H772" s="576">
        <v>0</v>
      </c>
      <c r="I772" s="589">
        <v>0</v>
      </c>
    </row>
    <row r="773" spans="1:9" ht="15.75" customHeight="1" x14ac:dyDescent="0.2">
      <c r="A773" s="577"/>
      <c r="B773" s="577"/>
      <c r="C773" s="576"/>
      <c r="D773" s="607">
        <v>46262</v>
      </c>
      <c r="E773" s="576" t="s">
        <v>719</v>
      </c>
      <c r="F773" s="576">
        <v>35147159.469999999</v>
      </c>
      <c r="G773" s="588">
        <v>39356.60000000149</v>
      </c>
      <c r="H773" s="576">
        <v>0</v>
      </c>
      <c r="I773" s="589">
        <v>0</v>
      </c>
    </row>
    <row r="774" spans="1:9" ht="15.75" customHeight="1" x14ac:dyDescent="0.2">
      <c r="A774" s="577"/>
      <c r="B774" s="577"/>
      <c r="C774" s="576"/>
      <c r="D774" s="607">
        <v>46263</v>
      </c>
      <c r="E774" s="576" t="s">
        <v>718</v>
      </c>
      <c r="F774" s="576">
        <v>35186516.079999998</v>
      </c>
      <c r="G774" s="588">
        <v>39356.609999999404</v>
      </c>
      <c r="H774" s="576">
        <v>0</v>
      </c>
      <c r="I774" s="589">
        <v>0</v>
      </c>
    </row>
    <row r="775" spans="1:9" ht="15.75" customHeight="1" x14ac:dyDescent="0.2">
      <c r="A775" s="577"/>
      <c r="B775" s="577"/>
      <c r="C775" s="576"/>
      <c r="D775" s="607">
        <v>46264</v>
      </c>
      <c r="E775" s="576" t="s">
        <v>717</v>
      </c>
      <c r="F775" s="576">
        <v>35225872.68</v>
      </c>
      <c r="G775" s="588">
        <v>39356.60000000149</v>
      </c>
      <c r="H775" s="576">
        <v>0</v>
      </c>
      <c r="I775" s="589">
        <v>0</v>
      </c>
    </row>
    <row r="776" spans="1:9" ht="15.75" customHeight="1" x14ac:dyDescent="0.2">
      <c r="A776" s="577"/>
      <c r="B776" s="577"/>
      <c r="C776" s="576"/>
      <c r="D776" s="607">
        <v>46265</v>
      </c>
      <c r="E776" s="576" t="s">
        <v>716</v>
      </c>
      <c r="F776" s="576">
        <v>35265229.289999999</v>
      </c>
      <c r="G776" s="588">
        <v>39356.609999999404</v>
      </c>
      <c r="H776" s="576">
        <v>0</v>
      </c>
      <c r="I776" s="589">
        <v>0</v>
      </c>
    </row>
    <row r="777" spans="1:9" ht="15.75" customHeight="1" x14ac:dyDescent="0.2">
      <c r="A777" s="577"/>
      <c r="B777" s="577"/>
      <c r="C777" s="576"/>
      <c r="D777" s="607">
        <v>46266</v>
      </c>
      <c r="E777" s="576" t="s">
        <v>715</v>
      </c>
      <c r="F777" s="576">
        <v>35304585.899999999</v>
      </c>
      <c r="G777" s="588">
        <v>39356.609999999404</v>
      </c>
      <c r="H777" s="576">
        <v>0</v>
      </c>
      <c r="I777" s="589">
        <v>0</v>
      </c>
    </row>
    <row r="778" spans="1:9" ht="15.75" customHeight="1" x14ac:dyDescent="0.2">
      <c r="A778" s="577"/>
      <c r="B778" s="577"/>
      <c r="C778" s="576"/>
      <c r="D778" s="607">
        <v>46267</v>
      </c>
      <c r="E778" s="576" t="s">
        <v>721</v>
      </c>
      <c r="F778" s="576">
        <v>35343942.5</v>
      </c>
      <c r="G778" s="588">
        <v>39356.60000000149</v>
      </c>
      <c r="H778" s="576">
        <v>275496.24000000209</v>
      </c>
      <c r="I778" s="589">
        <v>0</v>
      </c>
    </row>
    <row r="779" spans="1:9" ht="15.75" customHeight="1" x14ac:dyDescent="0.2">
      <c r="A779" s="577"/>
      <c r="B779" s="577"/>
      <c r="C779" s="576"/>
      <c r="D779" s="607">
        <v>46268</v>
      </c>
      <c r="E779" s="576" t="s">
        <v>720</v>
      </c>
      <c r="F779" s="576">
        <v>35383299.109999999</v>
      </c>
      <c r="G779" s="588">
        <v>39356.609999999404</v>
      </c>
      <c r="H779" s="576">
        <v>0</v>
      </c>
      <c r="I779" s="589">
        <v>0</v>
      </c>
    </row>
    <row r="780" spans="1:9" ht="15.75" customHeight="1" x14ac:dyDescent="0.2">
      <c r="A780" s="577"/>
      <c r="B780" s="577"/>
      <c r="C780" s="576"/>
      <c r="D780" s="607">
        <v>46269</v>
      </c>
      <c r="E780" s="576" t="s">
        <v>719</v>
      </c>
      <c r="F780" s="576">
        <v>35422655.710000001</v>
      </c>
      <c r="G780" s="588">
        <v>39356.60000000149</v>
      </c>
      <c r="H780" s="576">
        <v>0</v>
      </c>
      <c r="I780" s="589">
        <v>0</v>
      </c>
    </row>
    <row r="781" spans="1:9" ht="15.75" customHeight="1" x14ac:dyDescent="0.2">
      <c r="A781" s="577"/>
      <c r="B781" s="577"/>
      <c r="C781" s="576"/>
      <c r="D781" s="607">
        <v>46270</v>
      </c>
      <c r="E781" s="576" t="s">
        <v>718</v>
      </c>
      <c r="F781" s="576">
        <v>35462012.32</v>
      </c>
      <c r="G781" s="588">
        <v>39356.609999999404</v>
      </c>
      <c r="H781" s="576">
        <v>0</v>
      </c>
      <c r="I781" s="589">
        <v>0</v>
      </c>
    </row>
    <row r="782" spans="1:9" ht="15.75" customHeight="1" x14ac:dyDescent="0.2">
      <c r="A782" s="577"/>
      <c r="B782" s="577"/>
      <c r="C782" s="576"/>
      <c r="D782" s="607">
        <v>46271</v>
      </c>
      <c r="E782" s="576" t="s">
        <v>717</v>
      </c>
      <c r="F782" s="576">
        <v>35501368.920000002</v>
      </c>
      <c r="G782" s="588">
        <v>39356.60000000149</v>
      </c>
      <c r="H782" s="576">
        <v>0</v>
      </c>
      <c r="I782" s="589">
        <v>0</v>
      </c>
    </row>
    <row r="783" spans="1:9" ht="15.75" customHeight="1" x14ac:dyDescent="0.2">
      <c r="A783" s="577"/>
      <c r="B783" s="577"/>
      <c r="C783" s="576"/>
      <c r="D783" s="607">
        <v>46272</v>
      </c>
      <c r="E783" s="576" t="s">
        <v>716</v>
      </c>
      <c r="F783" s="576">
        <v>35540725.530000001</v>
      </c>
      <c r="G783" s="588">
        <v>39356.609999999404</v>
      </c>
      <c r="H783" s="576">
        <v>0</v>
      </c>
      <c r="I783" s="589">
        <v>0</v>
      </c>
    </row>
    <row r="784" spans="1:9" ht="15.75" customHeight="1" x14ac:dyDescent="0.2">
      <c r="A784" s="577"/>
      <c r="B784" s="577"/>
      <c r="C784" s="576"/>
      <c r="D784" s="607">
        <v>46273</v>
      </c>
      <c r="E784" s="576" t="s">
        <v>715</v>
      </c>
      <c r="F784" s="576">
        <v>35580082.130000003</v>
      </c>
      <c r="G784" s="588">
        <v>39356.60000000149</v>
      </c>
      <c r="H784" s="576">
        <v>0</v>
      </c>
      <c r="I784" s="589">
        <v>0</v>
      </c>
    </row>
    <row r="785" spans="1:9" ht="15.75" customHeight="1" x14ac:dyDescent="0.2">
      <c r="A785" s="577"/>
      <c r="B785" s="577"/>
      <c r="C785" s="576"/>
      <c r="D785" s="607">
        <v>46274</v>
      </c>
      <c r="E785" s="576" t="s">
        <v>721</v>
      </c>
      <c r="F785" s="576">
        <v>35619438.740000002</v>
      </c>
      <c r="G785" s="588">
        <v>39356.609999999404</v>
      </c>
      <c r="H785" s="576">
        <v>275496.24000000209</v>
      </c>
      <c r="I785" s="589">
        <v>550992.48000000417</v>
      </c>
    </row>
    <row r="786" spans="1:9" ht="15.75" customHeight="1" x14ac:dyDescent="0.2">
      <c r="A786" s="577"/>
      <c r="B786" s="577"/>
      <c r="C786" s="576"/>
      <c r="D786" s="607">
        <v>46275</v>
      </c>
      <c r="E786" s="576" t="s">
        <v>720</v>
      </c>
      <c r="F786" s="576">
        <v>35658795.340000004</v>
      </c>
      <c r="G786" s="588">
        <v>39356.60000000149</v>
      </c>
      <c r="H786" s="576">
        <v>0</v>
      </c>
      <c r="I786" s="589">
        <v>0</v>
      </c>
    </row>
    <row r="787" spans="1:9" ht="15.75" customHeight="1" x14ac:dyDescent="0.2">
      <c r="A787" s="577"/>
      <c r="B787" s="577"/>
      <c r="C787" s="576"/>
      <c r="D787" s="607">
        <v>46276</v>
      </c>
      <c r="E787" s="576" t="s">
        <v>719</v>
      </c>
      <c r="F787" s="576">
        <v>35698151.950000003</v>
      </c>
      <c r="G787" s="588">
        <v>39356.609999999404</v>
      </c>
      <c r="H787" s="576">
        <v>0</v>
      </c>
      <c r="I787" s="589">
        <v>0</v>
      </c>
    </row>
    <row r="788" spans="1:9" ht="15.75" customHeight="1" x14ac:dyDescent="0.2">
      <c r="A788" s="577"/>
      <c r="B788" s="577"/>
      <c r="C788" s="576"/>
      <c r="D788" s="607">
        <v>46277</v>
      </c>
      <c r="E788" s="576" t="s">
        <v>718</v>
      </c>
      <c r="F788" s="576">
        <v>35737508.549999997</v>
      </c>
      <c r="G788" s="588">
        <v>39356.59999999404</v>
      </c>
      <c r="H788" s="576">
        <v>0</v>
      </c>
      <c r="I788" s="589">
        <v>0</v>
      </c>
    </row>
    <row r="789" spans="1:9" ht="15.75" customHeight="1" x14ac:dyDescent="0.2">
      <c r="A789" s="577"/>
      <c r="B789" s="577"/>
      <c r="C789" s="576"/>
      <c r="D789" s="607">
        <v>46278</v>
      </c>
      <c r="E789" s="576" t="s">
        <v>717</v>
      </c>
      <c r="F789" s="576">
        <v>35776865.159999996</v>
      </c>
      <c r="G789" s="588">
        <v>39356.609999999404</v>
      </c>
      <c r="H789" s="576">
        <v>0</v>
      </c>
      <c r="I789" s="589">
        <v>0</v>
      </c>
    </row>
    <row r="790" spans="1:9" ht="15.75" customHeight="1" x14ac:dyDescent="0.2">
      <c r="A790" s="577"/>
      <c r="B790" s="577"/>
      <c r="C790" s="576"/>
      <c r="D790" s="607">
        <v>46279</v>
      </c>
      <c r="E790" s="576" t="s">
        <v>716</v>
      </c>
      <c r="F790" s="576">
        <v>35816221.759999998</v>
      </c>
      <c r="G790" s="588">
        <v>39356.60000000149</v>
      </c>
      <c r="H790" s="576">
        <v>0</v>
      </c>
      <c r="I790" s="589">
        <v>0</v>
      </c>
    </row>
    <row r="791" spans="1:9" ht="15.75" customHeight="1" x14ac:dyDescent="0.2">
      <c r="A791" s="577"/>
      <c r="B791" s="577"/>
      <c r="C791" s="576"/>
      <c r="D791" s="607">
        <v>46280</v>
      </c>
      <c r="E791" s="576" t="s">
        <v>715</v>
      </c>
      <c r="F791" s="576">
        <v>35855578.369999997</v>
      </c>
      <c r="G791" s="588">
        <v>39356.609999999404</v>
      </c>
      <c r="H791" s="576">
        <v>0</v>
      </c>
      <c r="I791" s="589">
        <v>0</v>
      </c>
    </row>
    <row r="792" spans="1:9" ht="15.75" customHeight="1" x14ac:dyDescent="0.2">
      <c r="A792" s="577"/>
      <c r="B792" s="577"/>
      <c r="C792" s="576"/>
      <c r="D792" s="607">
        <v>46281</v>
      </c>
      <c r="E792" s="576" t="s">
        <v>721</v>
      </c>
      <c r="F792" s="576">
        <v>35894934.969999999</v>
      </c>
      <c r="G792" s="588">
        <v>39356.60000000149</v>
      </c>
      <c r="H792" s="576">
        <v>275496.22999999672</v>
      </c>
      <c r="I792" s="589">
        <v>0</v>
      </c>
    </row>
    <row r="793" spans="1:9" ht="15.75" customHeight="1" x14ac:dyDescent="0.2">
      <c r="A793" s="577"/>
      <c r="B793" s="577"/>
      <c r="C793" s="576"/>
      <c r="D793" s="607">
        <v>46282</v>
      </c>
      <c r="E793" s="576" t="s">
        <v>720</v>
      </c>
      <c r="F793" s="576">
        <v>35934291.579999998</v>
      </c>
      <c r="G793" s="588">
        <v>39356.609999999404</v>
      </c>
      <c r="H793" s="576">
        <v>0</v>
      </c>
      <c r="I793" s="589">
        <v>0</v>
      </c>
    </row>
    <row r="794" spans="1:9" ht="15.75" customHeight="1" x14ac:dyDescent="0.2">
      <c r="A794" s="577"/>
      <c r="B794" s="577"/>
      <c r="C794" s="576"/>
      <c r="D794" s="607">
        <v>46283</v>
      </c>
      <c r="E794" s="576" t="s">
        <v>719</v>
      </c>
      <c r="F794" s="576">
        <v>35973648.18</v>
      </c>
      <c r="G794" s="588">
        <v>39356.60000000149</v>
      </c>
      <c r="H794" s="576">
        <v>0</v>
      </c>
      <c r="I794" s="589">
        <v>0</v>
      </c>
    </row>
    <row r="795" spans="1:9" ht="15.75" customHeight="1" x14ac:dyDescent="0.2">
      <c r="A795" s="577"/>
      <c r="B795" s="577"/>
      <c r="C795" s="576"/>
      <c r="D795" s="607">
        <v>46284</v>
      </c>
      <c r="E795" s="576" t="s">
        <v>718</v>
      </c>
      <c r="F795" s="576">
        <v>36013004.789999999</v>
      </c>
      <c r="G795" s="588">
        <v>39356.609999999404</v>
      </c>
      <c r="H795" s="576">
        <v>0</v>
      </c>
      <c r="I795" s="589">
        <v>0</v>
      </c>
    </row>
    <row r="796" spans="1:9" ht="15.75" customHeight="1" x14ac:dyDescent="0.2">
      <c r="A796" s="577"/>
      <c r="B796" s="577"/>
      <c r="C796" s="576"/>
      <c r="D796" s="607">
        <v>46285</v>
      </c>
      <c r="E796" s="576" t="s">
        <v>717</v>
      </c>
      <c r="F796" s="576">
        <v>36052361.390000001</v>
      </c>
      <c r="G796" s="588">
        <v>39356.60000000149</v>
      </c>
      <c r="H796" s="576">
        <v>0</v>
      </c>
      <c r="I796" s="589">
        <v>0</v>
      </c>
    </row>
    <row r="797" spans="1:9" ht="15.75" customHeight="1" x14ac:dyDescent="0.2">
      <c r="A797" s="577"/>
      <c r="B797" s="577"/>
      <c r="C797" s="576"/>
      <c r="D797" s="607">
        <v>46286</v>
      </c>
      <c r="E797" s="576" t="s">
        <v>716</v>
      </c>
      <c r="F797" s="576">
        <v>36091718</v>
      </c>
      <c r="G797" s="588">
        <v>39356.609999999404</v>
      </c>
      <c r="H797" s="576">
        <v>0</v>
      </c>
      <c r="I797" s="589">
        <v>0</v>
      </c>
    </row>
    <row r="798" spans="1:9" ht="15.75" customHeight="1" x14ac:dyDescent="0.2">
      <c r="A798" s="577"/>
      <c r="B798" s="577"/>
      <c r="C798" s="576"/>
      <c r="D798" s="607">
        <v>46287</v>
      </c>
      <c r="E798" s="576" t="s">
        <v>715</v>
      </c>
      <c r="F798" s="576">
        <v>36131074.600000001</v>
      </c>
      <c r="G798" s="588">
        <v>39356.60000000149</v>
      </c>
      <c r="H798" s="576">
        <v>0</v>
      </c>
      <c r="I798" s="589">
        <v>0</v>
      </c>
    </row>
    <row r="799" spans="1:9" ht="15.75" customHeight="1" x14ac:dyDescent="0.2">
      <c r="A799" s="577"/>
      <c r="B799" s="577"/>
      <c r="C799" s="576"/>
      <c r="D799" s="607">
        <v>46288</v>
      </c>
      <c r="E799" s="576" t="s">
        <v>721</v>
      </c>
      <c r="F799" s="576">
        <v>36170431.210000001</v>
      </c>
      <c r="G799" s="588">
        <v>39356.609999999404</v>
      </c>
      <c r="H799" s="576">
        <v>275496.24000000209</v>
      </c>
      <c r="I799" s="589">
        <v>550992.46999999881</v>
      </c>
    </row>
    <row r="800" spans="1:9" ht="15.75" customHeight="1" x14ac:dyDescent="0.2">
      <c r="A800" s="577"/>
      <c r="B800" s="577"/>
      <c r="C800" s="576"/>
      <c r="D800" s="607">
        <v>46289</v>
      </c>
      <c r="E800" s="576" t="s">
        <v>720</v>
      </c>
      <c r="F800" s="576">
        <v>36209787.810000002</v>
      </c>
      <c r="G800" s="588">
        <v>39356.60000000149</v>
      </c>
      <c r="H800" s="576">
        <v>0</v>
      </c>
      <c r="I800" s="589">
        <v>0</v>
      </c>
    </row>
    <row r="801" spans="1:9" ht="15.75" customHeight="1" x14ac:dyDescent="0.2">
      <c r="A801" s="577"/>
      <c r="B801" s="577"/>
      <c r="C801" s="576"/>
      <c r="D801" s="607">
        <v>46290</v>
      </c>
      <c r="E801" s="576" t="s">
        <v>719</v>
      </c>
      <c r="F801" s="576">
        <v>36249144.420000002</v>
      </c>
      <c r="G801" s="588">
        <v>39356.609999999404</v>
      </c>
      <c r="H801" s="576">
        <v>0</v>
      </c>
      <c r="I801" s="589">
        <v>0</v>
      </c>
    </row>
    <row r="802" spans="1:9" ht="15.75" customHeight="1" x14ac:dyDescent="0.2">
      <c r="A802" s="577"/>
      <c r="B802" s="577"/>
      <c r="C802" s="576"/>
      <c r="D802" s="607">
        <v>46291</v>
      </c>
      <c r="E802" s="576" t="s">
        <v>718</v>
      </c>
      <c r="F802" s="576">
        <v>36288501.020000003</v>
      </c>
      <c r="G802" s="588">
        <v>39356.60000000149</v>
      </c>
      <c r="H802" s="576">
        <v>0</v>
      </c>
      <c r="I802" s="589">
        <v>0</v>
      </c>
    </row>
    <row r="803" spans="1:9" ht="15.75" customHeight="1" x14ac:dyDescent="0.2">
      <c r="A803" s="577"/>
      <c r="B803" s="577"/>
      <c r="C803" s="576"/>
      <c r="D803" s="607">
        <v>46292</v>
      </c>
      <c r="E803" s="576" t="s">
        <v>717</v>
      </c>
      <c r="F803" s="576">
        <v>36327857.630000003</v>
      </c>
      <c r="G803" s="588">
        <v>39356.609999999404</v>
      </c>
      <c r="H803" s="576">
        <v>0</v>
      </c>
      <c r="I803" s="589">
        <v>0</v>
      </c>
    </row>
    <row r="804" spans="1:9" ht="15.75" customHeight="1" x14ac:dyDescent="0.2">
      <c r="A804" s="577"/>
      <c r="B804" s="577"/>
      <c r="C804" s="576"/>
      <c r="D804" s="607">
        <v>46293</v>
      </c>
      <c r="E804" s="576" t="s">
        <v>716</v>
      </c>
      <c r="F804" s="576">
        <v>36367214.229999997</v>
      </c>
      <c r="G804" s="588">
        <v>39356.59999999404</v>
      </c>
      <c r="H804" s="576">
        <v>0</v>
      </c>
      <c r="I804" s="589">
        <v>0</v>
      </c>
    </row>
    <row r="805" spans="1:9" ht="15.75" customHeight="1" x14ac:dyDescent="0.2">
      <c r="A805" s="577"/>
      <c r="B805" s="577"/>
      <c r="C805" s="576"/>
      <c r="D805" s="607">
        <v>46294</v>
      </c>
      <c r="E805" s="576" t="s">
        <v>715</v>
      </c>
      <c r="F805" s="576">
        <v>36406570.840000004</v>
      </c>
      <c r="G805" s="588">
        <v>39356.610000006855</v>
      </c>
      <c r="H805" s="576">
        <v>0</v>
      </c>
      <c r="I805" s="589">
        <v>0</v>
      </c>
    </row>
    <row r="806" spans="1:9" ht="15.75" customHeight="1" x14ac:dyDescent="0.2">
      <c r="A806" s="577"/>
      <c r="B806" s="577"/>
      <c r="C806" s="576"/>
      <c r="D806" s="607">
        <v>46295</v>
      </c>
      <c r="E806" s="576" t="s">
        <v>721</v>
      </c>
      <c r="F806" s="576">
        <v>36445927.439999998</v>
      </c>
      <c r="G806" s="588">
        <v>39356.59999999404</v>
      </c>
      <c r="H806" s="576">
        <v>275496.22999999672</v>
      </c>
      <c r="I806" s="589">
        <v>0</v>
      </c>
    </row>
    <row r="807" spans="1:9" ht="15.75" customHeight="1" x14ac:dyDescent="0.2">
      <c r="A807" s="577"/>
      <c r="B807" s="577"/>
      <c r="C807" s="576"/>
      <c r="D807" s="607">
        <v>46296</v>
      </c>
      <c r="E807" s="576" t="s">
        <v>720</v>
      </c>
      <c r="F807" s="576">
        <v>36485284.049999997</v>
      </c>
      <c r="G807" s="588">
        <v>39356.609999999404</v>
      </c>
      <c r="H807" s="576">
        <v>0</v>
      </c>
      <c r="I807" s="589">
        <v>0</v>
      </c>
    </row>
    <row r="808" spans="1:9" ht="15.75" customHeight="1" x14ac:dyDescent="0.2">
      <c r="A808" s="577"/>
      <c r="B808" s="577"/>
      <c r="C808" s="576"/>
      <c r="D808" s="607">
        <v>46297</v>
      </c>
      <c r="E808" s="576" t="s">
        <v>719</v>
      </c>
      <c r="F808" s="576">
        <v>36524640.649999999</v>
      </c>
      <c r="G808" s="588">
        <v>39356.60000000149</v>
      </c>
      <c r="H808" s="576">
        <v>0</v>
      </c>
      <c r="I808" s="589">
        <v>0</v>
      </c>
    </row>
    <row r="809" spans="1:9" ht="15.75" customHeight="1" x14ac:dyDescent="0.2">
      <c r="A809" s="577"/>
      <c r="B809" s="577"/>
      <c r="C809" s="576"/>
      <c r="D809" s="607">
        <v>46298</v>
      </c>
      <c r="E809" s="576" t="s">
        <v>718</v>
      </c>
      <c r="F809" s="576">
        <v>36563997.259999998</v>
      </c>
      <c r="G809" s="588">
        <v>39356.609999999404</v>
      </c>
      <c r="H809" s="576">
        <v>0</v>
      </c>
      <c r="I809" s="589">
        <v>0</v>
      </c>
    </row>
    <row r="810" spans="1:9" ht="15.75" customHeight="1" x14ac:dyDescent="0.2">
      <c r="A810" s="577"/>
      <c r="B810" s="577"/>
      <c r="C810" s="576"/>
      <c r="D810" s="607">
        <v>46299</v>
      </c>
      <c r="E810" s="576" t="s">
        <v>717</v>
      </c>
      <c r="F810" s="576">
        <v>36603353.859999999</v>
      </c>
      <c r="G810" s="588">
        <v>39356.60000000149</v>
      </c>
      <c r="H810" s="576">
        <v>0</v>
      </c>
      <c r="I810" s="589">
        <v>0</v>
      </c>
    </row>
    <row r="811" spans="1:9" ht="15.75" customHeight="1" x14ac:dyDescent="0.2">
      <c r="A811" s="577"/>
      <c r="B811" s="577"/>
      <c r="C811" s="576"/>
      <c r="D811" s="607">
        <v>46300</v>
      </c>
      <c r="E811" s="576" t="s">
        <v>716</v>
      </c>
      <c r="F811" s="576">
        <v>36642710.469999999</v>
      </c>
      <c r="G811" s="588">
        <v>39356.609999999404</v>
      </c>
      <c r="H811" s="576">
        <v>0</v>
      </c>
      <c r="I811" s="589">
        <v>0</v>
      </c>
    </row>
    <row r="812" spans="1:9" ht="15.75" customHeight="1" x14ac:dyDescent="0.2">
      <c r="A812" s="577"/>
      <c r="B812" s="577"/>
      <c r="C812" s="576"/>
      <c r="D812" s="607">
        <v>46301</v>
      </c>
      <c r="E812" s="576" t="s">
        <v>715</v>
      </c>
      <c r="F812" s="576">
        <v>36682067.07</v>
      </c>
      <c r="G812" s="588">
        <v>39356.60000000149</v>
      </c>
      <c r="H812" s="576">
        <v>0</v>
      </c>
      <c r="I812" s="589">
        <v>0</v>
      </c>
    </row>
    <row r="813" spans="1:9" ht="15.75" customHeight="1" x14ac:dyDescent="0.2">
      <c r="A813" s="577"/>
      <c r="B813" s="577"/>
      <c r="C813" s="576"/>
      <c r="D813" s="607">
        <v>46302</v>
      </c>
      <c r="E813" s="576" t="s">
        <v>721</v>
      </c>
      <c r="F813" s="576">
        <v>36721423.68</v>
      </c>
      <c r="G813" s="588">
        <v>39356.609999999404</v>
      </c>
      <c r="H813" s="576">
        <v>275496.24000000209</v>
      </c>
      <c r="I813" s="589">
        <v>550992.46999999881</v>
      </c>
    </row>
    <row r="814" spans="1:9" ht="15.75" customHeight="1" x14ac:dyDescent="0.2">
      <c r="A814" s="577"/>
      <c r="B814" s="577"/>
      <c r="C814" s="576"/>
      <c r="D814" s="607">
        <v>46303</v>
      </c>
      <c r="E814" s="576" t="s">
        <v>720</v>
      </c>
      <c r="F814" s="576">
        <v>36760780.280000001</v>
      </c>
      <c r="G814" s="588">
        <v>39356.60000000149</v>
      </c>
      <c r="H814" s="576">
        <v>0</v>
      </c>
      <c r="I814" s="589">
        <v>0</v>
      </c>
    </row>
    <row r="815" spans="1:9" ht="15.75" customHeight="1" x14ac:dyDescent="0.2">
      <c r="A815" s="577"/>
      <c r="B815" s="577"/>
      <c r="C815" s="576"/>
      <c r="D815" s="607">
        <v>46304</v>
      </c>
      <c r="E815" s="576" t="s">
        <v>719</v>
      </c>
      <c r="F815" s="576">
        <v>36800136.890000001</v>
      </c>
      <c r="G815" s="588">
        <v>39356.609999999404</v>
      </c>
      <c r="H815" s="576">
        <v>0</v>
      </c>
      <c r="I815" s="589">
        <v>0</v>
      </c>
    </row>
    <row r="816" spans="1:9" ht="15.75" customHeight="1" x14ac:dyDescent="0.2">
      <c r="A816" s="577"/>
      <c r="B816" s="577"/>
      <c r="C816" s="576"/>
      <c r="D816" s="607">
        <v>46305</v>
      </c>
      <c r="E816" s="576" t="s">
        <v>718</v>
      </c>
      <c r="F816" s="576">
        <v>36839493.490000002</v>
      </c>
      <c r="G816" s="588">
        <v>39356.60000000149</v>
      </c>
      <c r="H816" s="576">
        <v>0</v>
      </c>
      <c r="I816" s="589">
        <v>0</v>
      </c>
    </row>
    <row r="817" spans="1:9" ht="15.75" customHeight="1" x14ac:dyDescent="0.2">
      <c r="A817" s="577"/>
      <c r="B817" s="577"/>
      <c r="C817" s="576"/>
      <c r="D817" s="607">
        <v>46306</v>
      </c>
      <c r="E817" s="576" t="s">
        <v>717</v>
      </c>
      <c r="F817" s="576">
        <v>36878850.100000001</v>
      </c>
      <c r="G817" s="588">
        <v>39356.609999999404</v>
      </c>
      <c r="H817" s="576">
        <v>0</v>
      </c>
      <c r="I817" s="589">
        <v>0</v>
      </c>
    </row>
    <row r="818" spans="1:9" ht="15.75" customHeight="1" x14ac:dyDescent="0.2">
      <c r="A818" s="577"/>
      <c r="B818" s="577"/>
      <c r="C818" s="576"/>
      <c r="D818" s="607">
        <v>46307</v>
      </c>
      <c r="E818" s="576" t="s">
        <v>716</v>
      </c>
      <c r="F818" s="576">
        <v>36918206.700000003</v>
      </c>
      <c r="G818" s="588">
        <v>39356.60000000149</v>
      </c>
      <c r="H818" s="576">
        <v>0</v>
      </c>
      <c r="I818" s="589">
        <v>0</v>
      </c>
    </row>
    <row r="819" spans="1:9" ht="15.75" customHeight="1" x14ac:dyDescent="0.2">
      <c r="A819" s="577"/>
      <c r="B819" s="577"/>
      <c r="C819" s="576"/>
      <c r="D819" s="607">
        <v>46308</v>
      </c>
      <c r="E819" s="576" t="s">
        <v>715</v>
      </c>
      <c r="F819" s="576">
        <v>36957563.310000002</v>
      </c>
      <c r="G819" s="588">
        <v>39356.609999999404</v>
      </c>
      <c r="H819" s="576">
        <v>0</v>
      </c>
      <c r="I819" s="589">
        <v>0</v>
      </c>
    </row>
    <row r="820" spans="1:9" ht="15.75" customHeight="1" x14ac:dyDescent="0.2">
      <c r="A820" s="577"/>
      <c r="B820" s="577"/>
      <c r="C820" s="576"/>
      <c r="D820" s="607">
        <v>46309</v>
      </c>
      <c r="E820" s="576" t="s">
        <v>721</v>
      </c>
      <c r="F820" s="576">
        <v>36996919.909999996</v>
      </c>
      <c r="G820" s="588">
        <v>39356.59999999404</v>
      </c>
      <c r="H820" s="576">
        <v>275496.22999999672</v>
      </c>
      <c r="I820" s="589">
        <v>0</v>
      </c>
    </row>
    <row r="821" spans="1:9" ht="15.75" customHeight="1" x14ac:dyDescent="0.2">
      <c r="A821" s="577"/>
      <c r="B821" s="577"/>
      <c r="C821" s="576"/>
      <c r="D821" s="607">
        <v>46310</v>
      </c>
      <c r="E821" s="576" t="s">
        <v>720</v>
      </c>
      <c r="F821" s="576">
        <v>37036276.520000003</v>
      </c>
      <c r="G821" s="588">
        <v>39356.610000006855</v>
      </c>
      <c r="H821" s="576">
        <v>0</v>
      </c>
      <c r="I821" s="589">
        <v>0</v>
      </c>
    </row>
    <row r="822" spans="1:9" ht="15.75" customHeight="1" x14ac:dyDescent="0.2">
      <c r="A822" s="577"/>
      <c r="B822" s="577"/>
      <c r="C822" s="576"/>
      <c r="D822" s="607">
        <v>46311</v>
      </c>
      <c r="E822" s="576" t="s">
        <v>719</v>
      </c>
      <c r="F822" s="576">
        <v>37075633.119999997</v>
      </c>
      <c r="G822" s="588">
        <v>39356.59999999404</v>
      </c>
      <c r="H822" s="576">
        <v>0</v>
      </c>
      <c r="I822" s="589">
        <v>0</v>
      </c>
    </row>
    <row r="823" spans="1:9" ht="15.75" customHeight="1" x14ac:dyDescent="0.2">
      <c r="A823" s="577"/>
      <c r="B823" s="577"/>
      <c r="C823" s="576"/>
      <c r="D823" s="607">
        <v>46312</v>
      </c>
      <c r="E823" s="576" t="s">
        <v>718</v>
      </c>
      <c r="F823" s="576">
        <v>37114989.729999997</v>
      </c>
      <c r="G823" s="588">
        <v>39356.609999999404</v>
      </c>
      <c r="H823" s="576">
        <v>0</v>
      </c>
      <c r="I823" s="589">
        <v>0</v>
      </c>
    </row>
    <row r="824" spans="1:9" ht="15.75" customHeight="1" x14ac:dyDescent="0.2">
      <c r="A824" s="577"/>
      <c r="B824" s="577"/>
      <c r="C824" s="576"/>
      <c r="D824" s="607">
        <v>46313</v>
      </c>
      <c r="E824" s="576" t="s">
        <v>717</v>
      </c>
      <c r="F824" s="576">
        <v>37154346.329999998</v>
      </c>
      <c r="G824" s="588">
        <v>39356.60000000149</v>
      </c>
      <c r="H824" s="576">
        <v>0</v>
      </c>
      <c r="I824" s="589">
        <v>0</v>
      </c>
    </row>
    <row r="825" spans="1:9" ht="15.75" customHeight="1" x14ac:dyDescent="0.2">
      <c r="A825" s="577"/>
      <c r="B825" s="577"/>
      <c r="C825" s="576"/>
      <c r="D825" s="607">
        <v>46314</v>
      </c>
      <c r="E825" s="576" t="s">
        <v>716</v>
      </c>
      <c r="F825" s="576">
        <v>37193702.939999998</v>
      </c>
      <c r="G825" s="588">
        <v>39356.609999999404</v>
      </c>
      <c r="H825" s="576">
        <v>0</v>
      </c>
      <c r="I825" s="589">
        <v>0</v>
      </c>
    </row>
    <row r="826" spans="1:9" ht="15.75" customHeight="1" x14ac:dyDescent="0.2">
      <c r="A826" s="577"/>
      <c r="B826" s="577"/>
      <c r="C826" s="576"/>
      <c r="D826" s="607">
        <v>46315</v>
      </c>
      <c r="E826" s="576" t="s">
        <v>715</v>
      </c>
      <c r="F826" s="576">
        <v>37233059.539999999</v>
      </c>
      <c r="G826" s="588">
        <v>39356.60000000149</v>
      </c>
      <c r="H826" s="576">
        <v>0</v>
      </c>
      <c r="I826" s="589">
        <v>0</v>
      </c>
    </row>
    <row r="827" spans="1:9" ht="15.75" customHeight="1" x14ac:dyDescent="0.2">
      <c r="A827" s="577"/>
      <c r="B827" s="577"/>
      <c r="C827" s="576"/>
      <c r="D827" s="607">
        <v>46316</v>
      </c>
      <c r="E827" s="576" t="s">
        <v>721</v>
      </c>
      <c r="F827" s="576">
        <v>37272416.149999999</v>
      </c>
      <c r="G827" s="588">
        <v>39356.609999999404</v>
      </c>
      <c r="H827" s="576">
        <v>275496.24000000209</v>
      </c>
      <c r="I827" s="589">
        <v>550992.46999999881</v>
      </c>
    </row>
    <row r="828" spans="1:9" ht="15.75" customHeight="1" x14ac:dyDescent="0.2">
      <c r="A828" s="577"/>
      <c r="B828" s="577"/>
      <c r="C828" s="576"/>
      <c r="D828" s="607">
        <v>46317</v>
      </c>
      <c r="E828" s="576" t="s">
        <v>720</v>
      </c>
      <c r="F828" s="576">
        <v>37311772.75</v>
      </c>
      <c r="G828" s="588">
        <v>39356.60000000149</v>
      </c>
      <c r="H828" s="576">
        <v>0</v>
      </c>
      <c r="I828" s="589">
        <v>0</v>
      </c>
    </row>
    <row r="829" spans="1:9" ht="15.75" customHeight="1" x14ac:dyDescent="0.2">
      <c r="A829" s="577"/>
      <c r="B829" s="577"/>
      <c r="C829" s="576"/>
      <c r="D829" s="607">
        <v>46318</v>
      </c>
      <c r="E829" s="576" t="s">
        <v>719</v>
      </c>
      <c r="F829" s="576">
        <v>37351129.359999999</v>
      </c>
      <c r="G829" s="588">
        <v>39356.609999999404</v>
      </c>
      <c r="H829" s="576">
        <v>0</v>
      </c>
      <c r="I829" s="589">
        <v>0</v>
      </c>
    </row>
    <row r="830" spans="1:9" ht="15.75" customHeight="1" x14ac:dyDescent="0.2">
      <c r="A830" s="577"/>
      <c r="B830" s="577"/>
      <c r="C830" s="576"/>
      <c r="D830" s="607">
        <v>46319</v>
      </c>
      <c r="E830" s="576" t="s">
        <v>718</v>
      </c>
      <c r="F830" s="576">
        <v>37390485.960000001</v>
      </c>
      <c r="G830" s="588">
        <v>39356.60000000149</v>
      </c>
      <c r="H830" s="576">
        <v>0</v>
      </c>
      <c r="I830" s="589">
        <v>0</v>
      </c>
    </row>
    <row r="831" spans="1:9" ht="15.75" customHeight="1" x14ac:dyDescent="0.2">
      <c r="A831" s="577"/>
      <c r="B831" s="577"/>
      <c r="C831" s="576"/>
      <c r="D831" s="607">
        <v>46320</v>
      </c>
      <c r="E831" s="576" t="s">
        <v>717</v>
      </c>
      <c r="F831" s="576">
        <v>37429842.57</v>
      </c>
      <c r="G831" s="588">
        <v>39356.609999999404</v>
      </c>
      <c r="H831" s="576">
        <v>0</v>
      </c>
      <c r="I831" s="589">
        <v>0</v>
      </c>
    </row>
    <row r="832" spans="1:9" ht="15.75" customHeight="1" x14ac:dyDescent="0.2">
      <c r="A832" s="577"/>
      <c r="B832" s="577"/>
      <c r="C832" s="576"/>
      <c r="D832" s="607">
        <v>46321</v>
      </c>
      <c r="E832" s="576" t="s">
        <v>716</v>
      </c>
      <c r="F832" s="576">
        <v>37469199.170000002</v>
      </c>
      <c r="G832" s="588">
        <v>39356.60000000149</v>
      </c>
      <c r="H832" s="576">
        <v>0</v>
      </c>
      <c r="I832" s="589">
        <v>0</v>
      </c>
    </row>
    <row r="833" spans="1:9" ht="15.75" customHeight="1" x14ac:dyDescent="0.2">
      <c r="A833" s="577"/>
      <c r="B833" s="577"/>
      <c r="C833" s="576"/>
      <c r="D833" s="607">
        <v>46322</v>
      </c>
      <c r="E833" s="576" t="s">
        <v>715</v>
      </c>
      <c r="F833" s="576">
        <v>37508555.780000001</v>
      </c>
      <c r="G833" s="588">
        <v>39356.609999999404</v>
      </c>
      <c r="H833" s="576">
        <v>0</v>
      </c>
      <c r="I833" s="589">
        <v>0</v>
      </c>
    </row>
    <row r="834" spans="1:9" ht="15.75" customHeight="1" x14ac:dyDescent="0.2">
      <c r="A834" s="577"/>
      <c r="B834" s="577"/>
      <c r="C834" s="576"/>
      <c r="D834" s="607">
        <v>46323</v>
      </c>
      <c r="E834" s="576" t="s">
        <v>721</v>
      </c>
      <c r="F834" s="576">
        <v>37547912.380000003</v>
      </c>
      <c r="G834" s="588">
        <v>39356.60000000149</v>
      </c>
      <c r="H834" s="576">
        <v>275496.23000000417</v>
      </c>
      <c r="I834" s="589">
        <v>0</v>
      </c>
    </row>
    <row r="835" spans="1:9" ht="15.75" customHeight="1" x14ac:dyDescent="0.2">
      <c r="A835" s="577"/>
      <c r="B835" s="577"/>
      <c r="C835" s="576"/>
      <c r="D835" s="607">
        <v>46324</v>
      </c>
      <c r="E835" s="576" t="s">
        <v>720</v>
      </c>
      <c r="F835" s="576">
        <v>37587268.990000002</v>
      </c>
      <c r="G835" s="588">
        <v>39356.609999999404</v>
      </c>
      <c r="H835" s="576">
        <v>0</v>
      </c>
      <c r="I835" s="589">
        <v>0</v>
      </c>
    </row>
    <row r="836" spans="1:9" ht="15.75" customHeight="1" x14ac:dyDescent="0.2">
      <c r="A836" s="577"/>
      <c r="B836" s="577"/>
      <c r="C836" s="576"/>
      <c r="D836" s="607">
        <v>46325</v>
      </c>
      <c r="E836" s="576" t="s">
        <v>719</v>
      </c>
      <c r="F836" s="576">
        <v>37626625.590000004</v>
      </c>
      <c r="G836" s="588">
        <v>39356.60000000149</v>
      </c>
      <c r="H836" s="576">
        <v>0</v>
      </c>
      <c r="I836" s="589">
        <v>0</v>
      </c>
    </row>
    <row r="837" spans="1:9" ht="15.75" customHeight="1" x14ac:dyDescent="0.2">
      <c r="A837" s="577"/>
      <c r="B837" s="577"/>
      <c r="C837" s="576"/>
      <c r="D837" s="607">
        <v>46326</v>
      </c>
      <c r="E837" s="576" t="s">
        <v>718</v>
      </c>
      <c r="F837" s="576">
        <v>37665982.200000003</v>
      </c>
      <c r="G837" s="588">
        <v>39356.609999999404</v>
      </c>
      <c r="H837" s="576">
        <v>0</v>
      </c>
      <c r="I837" s="589">
        <v>0</v>
      </c>
    </row>
    <row r="838" spans="1:9" ht="15.75" customHeight="1" x14ac:dyDescent="0.2">
      <c r="A838" s="577"/>
      <c r="B838" s="577"/>
      <c r="C838" s="576"/>
      <c r="D838" s="607">
        <v>46327</v>
      </c>
      <c r="E838" s="576" t="s">
        <v>717</v>
      </c>
      <c r="F838" s="576">
        <v>37705338.799999997</v>
      </c>
      <c r="G838" s="588">
        <v>39356.59999999404</v>
      </c>
      <c r="H838" s="576">
        <v>0</v>
      </c>
      <c r="I838" s="589">
        <v>0</v>
      </c>
    </row>
    <row r="839" spans="1:9" ht="15.75" customHeight="1" x14ac:dyDescent="0.2">
      <c r="A839" s="577"/>
      <c r="B839" s="577"/>
      <c r="C839" s="576"/>
      <c r="D839" s="607">
        <v>46328</v>
      </c>
      <c r="E839" s="576" t="s">
        <v>716</v>
      </c>
      <c r="F839" s="576">
        <v>37744695.409999996</v>
      </c>
      <c r="G839" s="588">
        <v>39356.609999999404</v>
      </c>
      <c r="H839" s="576">
        <v>0</v>
      </c>
      <c r="I839" s="589">
        <v>0</v>
      </c>
    </row>
    <row r="840" spans="1:9" ht="15.75" customHeight="1" x14ac:dyDescent="0.2">
      <c r="A840" s="577"/>
      <c r="B840" s="577"/>
      <c r="C840" s="576"/>
      <c r="D840" s="607">
        <v>46329</v>
      </c>
      <c r="E840" s="576" t="s">
        <v>715</v>
      </c>
      <c r="F840" s="576">
        <v>37784052.009999998</v>
      </c>
      <c r="G840" s="588">
        <v>39356.60000000149</v>
      </c>
      <c r="H840" s="576">
        <v>0</v>
      </c>
      <c r="I840" s="589">
        <v>0</v>
      </c>
    </row>
    <row r="841" spans="1:9" ht="15.75" customHeight="1" x14ac:dyDescent="0.2">
      <c r="A841" s="577"/>
      <c r="B841" s="577"/>
      <c r="C841" s="576"/>
      <c r="D841" s="607">
        <v>46330</v>
      </c>
      <c r="E841" s="576" t="s">
        <v>721</v>
      </c>
      <c r="F841" s="576">
        <v>37823408.619999997</v>
      </c>
      <c r="G841" s="588">
        <v>39356.609999999404</v>
      </c>
      <c r="H841" s="576">
        <v>275496.23999999464</v>
      </c>
      <c r="I841" s="589">
        <v>550992.46999999881</v>
      </c>
    </row>
    <row r="842" spans="1:9" ht="15.75" customHeight="1" x14ac:dyDescent="0.2">
      <c r="A842" s="577"/>
      <c r="B842" s="577"/>
      <c r="C842" s="576"/>
      <c r="D842" s="607">
        <v>46331</v>
      </c>
      <c r="E842" s="576" t="s">
        <v>720</v>
      </c>
      <c r="F842" s="576">
        <v>37862765.219999999</v>
      </c>
      <c r="G842" s="588">
        <v>39356.60000000149</v>
      </c>
      <c r="H842" s="576">
        <v>0</v>
      </c>
      <c r="I842" s="589">
        <v>0</v>
      </c>
    </row>
    <row r="843" spans="1:9" ht="15.75" customHeight="1" x14ac:dyDescent="0.2">
      <c r="A843" s="577"/>
      <c r="B843" s="577"/>
      <c r="C843" s="576"/>
      <c r="D843" s="607">
        <v>46332</v>
      </c>
      <c r="E843" s="576" t="s">
        <v>719</v>
      </c>
      <c r="F843" s="576">
        <v>37902121.829999998</v>
      </c>
      <c r="G843" s="588">
        <v>39356.609999999404</v>
      </c>
      <c r="H843" s="576">
        <v>0</v>
      </c>
      <c r="I843" s="589">
        <v>0</v>
      </c>
    </row>
    <row r="844" spans="1:9" ht="15.75" customHeight="1" x14ac:dyDescent="0.2">
      <c r="A844" s="577"/>
      <c r="B844" s="577"/>
      <c r="C844" s="576"/>
      <c r="D844" s="607">
        <v>46333</v>
      </c>
      <c r="E844" s="576" t="s">
        <v>718</v>
      </c>
      <c r="F844" s="576">
        <v>37941478.43</v>
      </c>
      <c r="G844" s="588">
        <v>39356.60000000149</v>
      </c>
      <c r="H844" s="576">
        <v>0</v>
      </c>
      <c r="I844" s="589">
        <v>0</v>
      </c>
    </row>
    <row r="845" spans="1:9" ht="15.75" customHeight="1" x14ac:dyDescent="0.2">
      <c r="A845" s="577"/>
      <c r="B845" s="577"/>
      <c r="C845" s="576"/>
      <c r="D845" s="607">
        <v>46334</v>
      </c>
      <c r="E845" s="576" t="s">
        <v>717</v>
      </c>
      <c r="F845" s="576">
        <v>37980835.039999999</v>
      </c>
      <c r="G845" s="588">
        <v>39356.609999999404</v>
      </c>
      <c r="H845" s="576">
        <v>0</v>
      </c>
      <c r="I845" s="589">
        <v>0</v>
      </c>
    </row>
    <row r="846" spans="1:9" ht="15.75" customHeight="1" x14ac:dyDescent="0.2">
      <c r="A846" s="577"/>
      <c r="B846" s="577"/>
      <c r="C846" s="576"/>
      <c r="D846" s="607">
        <v>46335</v>
      </c>
      <c r="E846" s="576" t="s">
        <v>716</v>
      </c>
      <c r="F846" s="576">
        <v>38020191.640000001</v>
      </c>
      <c r="G846" s="588">
        <v>39356.60000000149</v>
      </c>
      <c r="H846" s="576">
        <v>0</v>
      </c>
      <c r="I846" s="589">
        <v>0</v>
      </c>
    </row>
    <row r="847" spans="1:9" ht="15.75" customHeight="1" x14ac:dyDescent="0.2">
      <c r="A847" s="577"/>
      <c r="B847" s="577"/>
      <c r="C847" s="576"/>
      <c r="D847" s="607">
        <v>46336</v>
      </c>
      <c r="E847" s="576" t="s">
        <v>715</v>
      </c>
      <c r="F847" s="576">
        <v>38059548.25</v>
      </c>
      <c r="G847" s="588">
        <v>39356.609999999404</v>
      </c>
      <c r="H847" s="576">
        <v>0</v>
      </c>
      <c r="I847" s="589">
        <v>0</v>
      </c>
    </row>
    <row r="848" spans="1:9" ht="15.75" customHeight="1" x14ac:dyDescent="0.2">
      <c r="A848" s="577"/>
      <c r="B848" s="577"/>
      <c r="C848" s="576"/>
      <c r="D848" s="607">
        <v>46337</v>
      </c>
      <c r="E848" s="576" t="s">
        <v>721</v>
      </c>
      <c r="F848" s="576">
        <v>38098904.850000001</v>
      </c>
      <c r="G848" s="588">
        <v>39356.60000000149</v>
      </c>
      <c r="H848" s="576">
        <v>275496.23000000417</v>
      </c>
      <c r="I848" s="589">
        <v>0</v>
      </c>
    </row>
    <row r="849" spans="1:9" ht="15.75" customHeight="1" x14ac:dyDescent="0.2">
      <c r="A849" s="577"/>
      <c r="B849" s="577"/>
      <c r="C849" s="576"/>
      <c r="D849" s="607">
        <v>46338</v>
      </c>
      <c r="E849" s="576" t="s">
        <v>720</v>
      </c>
      <c r="F849" s="576">
        <v>38138261.460000001</v>
      </c>
      <c r="G849" s="588">
        <v>39356.609999999404</v>
      </c>
      <c r="H849" s="576">
        <v>0</v>
      </c>
      <c r="I849" s="589">
        <v>0</v>
      </c>
    </row>
    <row r="850" spans="1:9" ht="15.75" customHeight="1" x14ac:dyDescent="0.2">
      <c r="A850" s="577"/>
      <c r="B850" s="577"/>
      <c r="C850" s="576"/>
      <c r="D850" s="607">
        <v>46339</v>
      </c>
      <c r="E850" s="576" t="s">
        <v>719</v>
      </c>
      <c r="F850" s="576">
        <v>38177618.060000002</v>
      </c>
      <c r="G850" s="588">
        <v>39356.60000000149</v>
      </c>
      <c r="H850" s="576">
        <v>0</v>
      </c>
      <c r="I850" s="589">
        <v>0</v>
      </c>
    </row>
    <row r="851" spans="1:9" ht="15.75" customHeight="1" x14ac:dyDescent="0.2">
      <c r="A851" s="577"/>
      <c r="B851" s="577"/>
      <c r="C851" s="576"/>
      <c r="D851" s="607">
        <v>46340</v>
      </c>
      <c r="E851" s="576" t="s">
        <v>718</v>
      </c>
      <c r="F851" s="576">
        <v>38216974.670000002</v>
      </c>
      <c r="G851" s="588">
        <v>39356.609999999404</v>
      </c>
      <c r="H851" s="576">
        <v>0</v>
      </c>
      <c r="I851" s="589">
        <v>0</v>
      </c>
    </row>
    <row r="852" spans="1:9" ht="15.75" customHeight="1" x14ac:dyDescent="0.2">
      <c r="A852" s="577"/>
      <c r="B852" s="577"/>
      <c r="C852" s="576"/>
      <c r="D852" s="607">
        <v>46341</v>
      </c>
      <c r="E852" s="576" t="s">
        <v>717</v>
      </c>
      <c r="F852" s="576">
        <v>38256331.270000003</v>
      </c>
      <c r="G852" s="588">
        <v>39356.60000000149</v>
      </c>
      <c r="H852" s="576">
        <v>0</v>
      </c>
      <c r="I852" s="589">
        <v>0</v>
      </c>
    </row>
    <row r="853" spans="1:9" ht="15.75" customHeight="1" x14ac:dyDescent="0.2">
      <c r="A853" s="577"/>
      <c r="B853" s="577"/>
      <c r="C853" s="576"/>
      <c r="D853" s="607">
        <v>46342</v>
      </c>
      <c r="E853" s="576" t="s">
        <v>716</v>
      </c>
      <c r="F853" s="576">
        <v>38295687.880000003</v>
      </c>
      <c r="G853" s="588">
        <v>39356.609999999404</v>
      </c>
      <c r="H853" s="576">
        <v>0</v>
      </c>
      <c r="I853" s="589">
        <v>0</v>
      </c>
    </row>
    <row r="854" spans="1:9" ht="15.75" customHeight="1" x14ac:dyDescent="0.2">
      <c r="A854" s="577"/>
      <c r="B854" s="577"/>
      <c r="C854" s="576"/>
      <c r="D854" s="607">
        <v>46343</v>
      </c>
      <c r="E854" s="576" t="s">
        <v>715</v>
      </c>
      <c r="F854" s="576">
        <v>38335044.490000002</v>
      </c>
      <c r="G854" s="588">
        <v>39356.609999999404</v>
      </c>
      <c r="H854" s="576">
        <v>0</v>
      </c>
      <c r="I854" s="589">
        <v>0</v>
      </c>
    </row>
    <row r="855" spans="1:9" ht="15.75" customHeight="1" x14ac:dyDescent="0.2">
      <c r="A855" s="577"/>
      <c r="B855" s="577"/>
      <c r="C855" s="576"/>
      <c r="D855" s="607">
        <v>46344</v>
      </c>
      <c r="E855" s="576" t="s">
        <v>721</v>
      </c>
      <c r="F855" s="576">
        <v>38374401.090000004</v>
      </c>
      <c r="G855" s="588">
        <v>39356.60000000149</v>
      </c>
      <c r="H855" s="576">
        <v>275496.24000000209</v>
      </c>
      <c r="I855" s="589">
        <v>550992.47000000626</v>
      </c>
    </row>
    <row r="856" spans="1:9" ht="15.75" customHeight="1" x14ac:dyDescent="0.2">
      <c r="A856" s="577"/>
      <c r="B856" s="577"/>
      <c r="C856" s="576"/>
      <c r="D856" s="607">
        <v>46345</v>
      </c>
      <c r="E856" s="576" t="s">
        <v>720</v>
      </c>
      <c r="F856" s="576">
        <v>38413757.700000003</v>
      </c>
      <c r="G856" s="588">
        <v>39356.609999999404</v>
      </c>
      <c r="H856" s="576">
        <v>0</v>
      </c>
      <c r="I856" s="589">
        <v>0</v>
      </c>
    </row>
    <row r="857" spans="1:9" ht="15.75" customHeight="1" x14ac:dyDescent="0.2">
      <c r="A857" s="577"/>
      <c r="B857" s="577"/>
      <c r="C857" s="576"/>
      <c r="D857" s="607">
        <v>46346</v>
      </c>
      <c r="E857" s="576" t="s">
        <v>719</v>
      </c>
      <c r="F857" s="576">
        <v>38453114.299999997</v>
      </c>
      <c r="G857" s="588">
        <v>39356.59999999404</v>
      </c>
      <c r="H857" s="576">
        <v>0</v>
      </c>
      <c r="I857" s="589">
        <v>0</v>
      </c>
    </row>
    <row r="858" spans="1:9" ht="15.75" customHeight="1" x14ac:dyDescent="0.2">
      <c r="A858" s="577"/>
      <c r="B858" s="577"/>
      <c r="C858" s="576"/>
      <c r="D858" s="607">
        <v>46347</v>
      </c>
      <c r="E858" s="576" t="s">
        <v>718</v>
      </c>
      <c r="F858" s="576">
        <v>38492470.909999996</v>
      </c>
      <c r="G858" s="588">
        <v>39356.609999999404</v>
      </c>
      <c r="H858" s="576">
        <v>0</v>
      </c>
      <c r="I858" s="589">
        <v>0</v>
      </c>
    </row>
    <row r="859" spans="1:9" ht="15.75" customHeight="1" x14ac:dyDescent="0.2">
      <c r="A859" s="577"/>
      <c r="B859" s="577"/>
      <c r="C859" s="576"/>
      <c r="D859" s="607">
        <v>46348</v>
      </c>
      <c r="E859" s="576" t="s">
        <v>717</v>
      </c>
      <c r="F859" s="576">
        <v>38531827.509999998</v>
      </c>
      <c r="G859" s="588">
        <v>39356.60000000149</v>
      </c>
      <c r="H859" s="576">
        <v>0</v>
      </c>
      <c r="I859" s="589">
        <v>0</v>
      </c>
    </row>
    <row r="860" spans="1:9" ht="15.75" customHeight="1" x14ac:dyDescent="0.2">
      <c r="A860" s="577"/>
      <c r="B860" s="577"/>
      <c r="C860" s="576"/>
      <c r="D860" s="607">
        <v>46349</v>
      </c>
      <c r="E860" s="576" t="s">
        <v>716</v>
      </c>
      <c r="F860" s="576">
        <v>38571184.119999997</v>
      </c>
      <c r="G860" s="588">
        <v>39356.609999999404</v>
      </c>
      <c r="H860" s="576">
        <v>0</v>
      </c>
      <c r="I860" s="589">
        <v>0</v>
      </c>
    </row>
    <row r="861" spans="1:9" ht="15.75" customHeight="1" x14ac:dyDescent="0.2">
      <c r="A861" s="577"/>
      <c r="B861" s="577"/>
      <c r="C861" s="576"/>
      <c r="D861" s="607">
        <v>46350</v>
      </c>
      <c r="E861" s="576" t="s">
        <v>715</v>
      </c>
      <c r="F861" s="576">
        <v>38610540.719999999</v>
      </c>
      <c r="G861" s="588">
        <v>39356.60000000149</v>
      </c>
      <c r="H861" s="576">
        <v>0</v>
      </c>
      <c r="I861" s="589">
        <v>0</v>
      </c>
    </row>
    <row r="862" spans="1:9" ht="15.75" customHeight="1" x14ac:dyDescent="0.2">
      <c r="A862" s="577"/>
      <c r="B862" s="577"/>
      <c r="C862" s="576"/>
      <c r="D862" s="607">
        <v>46351</v>
      </c>
      <c r="E862" s="576" t="s">
        <v>721</v>
      </c>
      <c r="F862" s="576">
        <v>38649897.329999998</v>
      </c>
      <c r="G862" s="588">
        <v>39356.609999999404</v>
      </c>
      <c r="H862" s="576">
        <v>275496.23999999464</v>
      </c>
      <c r="I862" s="589">
        <v>0</v>
      </c>
    </row>
    <row r="863" spans="1:9" ht="15.75" customHeight="1" x14ac:dyDescent="0.2">
      <c r="A863" s="577"/>
      <c r="B863" s="577"/>
      <c r="C863" s="576"/>
      <c r="D863" s="607">
        <v>46352</v>
      </c>
      <c r="E863" s="576" t="s">
        <v>720</v>
      </c>
      <c r="F863" s="576">
        <v>38689253.93</v>
      </c>
      <c r="G863" s="588">
        <v>39356.60000000149</v>
      </c>
      <c r="H863" s="576">
        <v>0</v>
      </c>
      <c r="I863" s="589">
        <v>0</v>
      </c>
    </row>
    <row r="864" spans="1:9" ht="15.75" customHeight="1" x14ac:dyDescent="0.2">
      <c r="A864" s="577"/>
      <c r="B864" s="577"/>
      <c r="C864" s="576"/>
      <c r="D864" s="607">
        <v>46353</v>
      </c>
      <c r="E864" s="576" t="s">
        <v>719</v>
      </c>
      <c r="F864" s="576">
        <v>38728610.539999999</v>
      </c>
      <c r="G864" s="588">
        <v>39356.609999999404</v>
      </c>
      <c r="H864" s="576">
        <v>0</v>
      </c>
      <c r="I864" s="589">
        <v>0</v>
      </c>
    </row>
    <row r="865" spans="1:9" ht="15.75" customHeight="1" x14ac:dyDescent="0.2">
      <c r="A865" s="577"/>
      <c r="B865" s="577"/>
      <c r="C865" s="576"/>
      <c r="D865" s="607">
        <v>46354</v>
      </c>
      <c r="E865" s="576" t="s">
        <v>718</v>
      </c>
      <c r="F865" s="576">
        <v>38767967.140000001</v>
      </c>
      <c r="G865" s="588">
        <v>39356.60000000149</v>
      </c>
      <c r="H865" s="576">
        <v>0</v>
      </c>
      <c r="I865" s="589">
        <v>0</v>
      </c>
    </row>
    <row r="866" spans="1:9" ht="15.75" customHeight="1" x14ac:dyDescent="0.2">
      <c r="A866" s="577"/>
      <c r="B866" s="577"/>
      <c r="C866" s="576"/>
      <c r="D866" s="607">
        <v>46355</v>
      </c>
      <c r="E866" s="576" t="s">
        <v>717</v>
      </c>
      <c r="F866" s="576">
        <v>38807323.75</v>
      </c>
      <c r="G866" s="588">
        <v>39356.609999999404</v>
      </c>
      <c r="H866" s="576">
        <v>0</v>
      </c>
      <c r="I866" s="589">
        <v>0</v>
      </c>
    </row>
    <row r="867" spans="1:9" ht="15.75" customHeight="1" x14ac:dyDescent="0.2">
      <c r="A867" s="577"/>
      <c r="B867" s="577"/>
      <c r="C867" s="576"/>
      <c r="D867" s="607">
        <v>46356</v>
      </c>
      <c r="E867" s="576" t="s">
        <v>716</v>
      </c>
      <c r="F867" s="576">
        <v>38846680.350000001</v>
      </c>
      <c r="G867" s="588">
        <v>39356.60000000149</v>
      </c>
      <c r="H867" s="576">
        <v>0</v>
      </c>
      <c r="I867" s="589">
        <v>0</v>
      </c>
    </row>
    <row r="868" spans="1:9" ht="15.75" customHeight="1" x14ac:dyDescent="0.2">
      <c r="A868" s="577"/>
      <c r="B868" s="577"/>
      <c r="C868" s="576"/>
      <c r="D868" s="607">
        <v>46357</v>
      </c>
      <c r="E868" s="576" t="s">
        <v>715</v>
      </c>
      <c r="F868" s="576">
        <v>38886036.960000001</v>
      </c>
      <c r="G868" s="588">
        <v>39356.609999999404</v>
      </c>
      <c r="H868" s="576">
        <v>0</v>
      </c>
      <c r="I868" s="589">
        <v>0</v>
      </c>
    </row>
    <row r="869" spans="1:9" ht="15.75" customHeight="1" x14ac:dyDescent="0.2">
      <c r="A869" s="577"/>
      <c r="B869" s="577"/>
      <c r="C869" s="576"/>
      <c r="D869" s="607">
        <v>46358</v>
      </c>
      <c r="E869" s="576" t="s">
        <v>721</v>
      </c>
      <c r="F869" s="576">
        <v>38925393.560000002</v>
      </c>
      <c r="G869" s="588">
        <v>39356.60000000149</v>
      </c>
      <c r="H869" s="576">
        <v>275496.23000000417</v>
      </c>
      <c r="I869" s="589">
        <v>550992.46999999881</v>
      </c>
    </row>
    <row r="870" spans="1:9" ht="15.75" customHeight="1" x14ac:dyDescent="0.2">
      <c r="A870" s="577"/>
      <c r="B870" s="577"/>
      <c r="C870" s="576"/>
      <c r="D870" s="607">
        <v>46359</v>
      </c>
      <c r="E870" s="576" t="s">
        <v>720</v>
      </c>
      <c r="F870" s="576">
        <v>38964750.170000002</v>
      </c>
      <c r="G870" s="588">
        <v>39356.609999999404</v>
      </c>
      <c r="H870" s="576">
        <v>0</v>
      </c>
      <c r="I870" s="589">
        <v>0</v>
      </c>
    </row>
    <row r="871" spans="1:9" ht="15.75" customHeight="1" x14ac:dyDescent="0.2">
      <c r="A871" s="577"/>
      <c r="B871" s="577"/>
      <c r="C871" s="576"/>
      <c r="D871" s="607">
        <v>46360</v>
      </c>
      <c r="E871" s="576" t="s">
        <v>719</v>
      </c>
      <c r="F871" s="576">
        <v>39004106.770000003</v>
      </c>
      <c r="G871" s="588">
        <v>39356.60000000149</v>
      </c>
      <c r="H871" s="576">
        <v>0</v>
      </c>
      <c r="I871" s="589">
        <v>0</v>
      </c>
    </row>
    <row r="872" spans="1:9" ht="15.75" customHeight="1" x14ac:dyDescent="0.2">
      <c r="A872" s="577"/>
      <c r="B872" s="577"/>
      <c r="C872" s="576"/>
      <c r="D872" s="607">
        <v>46361</v>
      </c>
      <c r="E872" s="576" t="s">
        <v>718</v>
      </c>
      <c r="F872" s="576">
        <v>39043463.380000003</v>
      </c>
      <c r="G872" s="588">
        <v>39356.609999999404</v>
      </c>
      <c r="H872" s="576">
        <v>0</v>
      </c>
      <c r="I872" s="589">
        <v>0</v>
      </c>
    </row>
    <row r="873" spans="1:9" ht="15.75" customHeight="1" x14ac:dyDescent="0.2">
      <c r="A873" s="577"/>
      <c r="B873" s="577"/>
      <c r="C873" s="576"/>
      <c r="D873" s="607">
        <v>46362</v>
      </c>
      <c r="E873" s="576" t="s">
        <v>717</v>
      </c>
      <c r="F873" s="576">
        <v>39082819.979999997</v>
      </c>
      <c r="G873" s="588">
        <v>39356.59999999404</v>
      </c>
      <c r="H873" s="576">
        <v>0</v>
      </c>
      <c r="I873" s="589">
        <v>0</v>
      </c>
    </row>
    <row r="874" spans="1:9" ht="15.75" customHeight="1" x14ac:dyDescent="0.2">
      <c r="A874" s="577"/>
      <c r="B874" s="577"/>
      <c r="C874" s="576"/>
      <c r="D874" s="607">
        <v>46363</v>
      </c>
      <c r="E874" s="576" t="s">
        <v>716</v>
      </c>
      <c r="F874" s="576">
        <v>39122176.590000004</v>
      </c>
      <c r="G874" s="588">
        <v>39356.610000006855</v>
      </c>
      <c r="H874" s="576">
        <v>0</v>
      </c>
      <c r="I874" s="589">
        <v>0</v>
      </c>
    </row>
    <row r="875" spans="1:9" ht="15.75" customHeight="1" x14ac:dyDescent="0.2">
      <c r="A875" s="577"/>
      <c r="B875" s="577"/>
      <c r="C875" s="576"/>
      <c r="D875" s="607">
        <v>46364</v>
      </c>
      <c r="E875" s="576" t="s">
        <v>715</v>
      </c>
      <c r="F875" s="576">
        <v>39161533.189999998</v>
      </c>
      <c r="G875" s="588">
        <v>39356.59999999404</v>
      </c>
      <c r="H875" s="576">
        <v>0</v>
      </c>
      <c r="I875" s="589">
        <v>0</v>
      </c>
    </row>
    <row r="876" spans="1:9" ht="15.75" customHeight="1" x14ac:dyDescent="0.2">
      <c r="A876" s="577"/>
      <c r="B876" s="577"/>
      <c r="C876" s="576"/>
      <c r="D876" s="607">
        <v>46365</v>
      </c>
      <c r="E876" s="576" t="s">
        <v>721</v>
      </c>
      <c r="F876" s="576">
        <v>39200889.799999997</v>
      </c>
      <c r="G876" s="588">
        <v>39356.609999999404</v>
      </c>
      <c r="H876" s="576">
        <v>275496.23999999464</v>
      </c>
      <c r="I876" s="589">
        <v>0</v>
      </c>
    </row>
    <row r="877" spans="1:9" ht="15.75" customHeight="1" x14ac:dyDescent="0.2">
      <c r="A877" s="577"/>
      <c r="B877" s="577"/>
      <c r="C877" s="576"/>
      <c r="D877" s="607">
        <v>46366</v>
      </c>
      <c r="E877" s="576" t="s">
        <v>720</v>
      </c>
      <c r="F877" s="576">
        <v>39240246.399999999</v>
      </c>
      <c r="G877" s="588">
        <v>39356.60000000149</v>
      </c>
      <c r="H877" s="576">
        <v>0</v>
      </c>
      <c r="I877" s="589">
        <v>0</v>
      </c>
    </row>
    <row r="878" spans="1:9" ht="15.75" customHeight="1" x14ac:dyDescent="0.2">
      <c r="A878" s="577"/>
      <c r="B878" s="577"/>
      <c r="C878" s="576"/>
      <c r="D878" s="607">
        <v>46367</v>
      </c>
      <c r="E878" s="576" t="s">
        <v>719</v>
      </c>
      <c r="F878" s="576">
        <v>39279603.009999998</v>
      </c>
      <c r="G878" s="588">
        <v>39356.609999999404</v>
      </c>
      <c r="H878" s="576">
        <v>0</v>
      </c>
      <c r="I878" s="589">
        <v>0</v>
      </c>
    </row>
    <row r="879" spans="1:9" ht="15.75" customHeight="1" x14ac:dyDescent="0.2">
      <c r="A879" s="577"/>
      <c r="B879" s="577"/>
      <c r="C879" s="576"/>
      <c r="D879" s="607">
        <v>46368</v>
      </c>
      <c r="E879" s="576" t="s">
        <v>718</v>
      </c>
      <c r="F879" s="576">
        <v>39318959.609999999</v>
      </c>
      <c r="G879" s="588">
        <v>39356.60000000149</v>
      </c>
      <c r="H879" s="576">
        <v>0</v>
      </c>
      <c r="I879" s="589">
        <v>0</v>
      </c>
    </row>
    <row r="880" spans="1:9" ht="15.75" customHeight="1" x14ac:dyDescent="0.2">
      <c r="A880" s="577"/>
      <c r="B880" s="577"/>
      <c r="C880" s="576"/>
      <c r="D880" s="607">
        <v>46369</v>
      </c>
      <c r="E880" s="576" t="s">
        <v>717</v>
      </c>
      <c r="F880" s="576">
        <v>39358316.219999999</v>
      </c>
      <c r="G880" s="588">
        <v>39356.609999999404</v>
      </c>
      <c r="H880" s="576">
        <v>0</v>
      </c>
      <c r="I880" s="589">
        <v>0</v>
      </c>
    </row>
    <row r="881" spans="1:9" ht="15.75" customHeight="1" x14ac:dyDescent="0.2">
      <c r="A881" s="577"/>
      <c r="B881" s="577"/>
      <c r="C881" s="576"/>
      <c r="D881" s="607">
        <v>46370</v>
      </c>
      <c r="E881" s="576" t="s">
        <v>716</v>
      </c>
      <c r="F881" s="576">
        <v>39397672.82</v>
      </c>
      <c r="G881" s="588">
        <v>39356.60000000149</v>
      </c>
      <c r="H881" s="576">
        <v>0</v>
      </c>
      <c r="I881" s="589">
        <v>0</v>
      </c>
    </row>
    <row r="882" spans="1:9" ht="15.75" customHeight="1" x14ac:dyDescent="0.2">
      <c r="A882" s="577"/>
      <c r="B882" s="577"/>
      <c r="C882" s="576"/>
      <c r="D882" s="607">
        <v>46371</v>
      </c>
      <c r="E882" s="576" t="s">
        <v>715</v>
      </c>
      <c r="F882" s="576">
        <v>39437029.43</v>
      </c>
      <c r="G882" s="588">
        <v>39356.609999999404</v>
      </c>
      <c r="H882" s="576">
        <v>0</v>
      </c>
      <c r="I882" s="589">
        <v>0</v>
      </c>
    </row>
    <row r="883" spans="1:9" ht="15.75" customHeight="1" x14ac:dyDescent="0.2">
      <c r="A883" s="577"/>
      <c r="B883" s="577"/>
      <c r="C883" s="576"/>
      <c r="D883" s="607">
        <v>46372</v>
      </c>
      <c r="E883" s="576" t="s">
        <v>721</v>
      </c>
      <c r="F883" s="576">
        <v>39476386.030000001</v>
      </c>
      <c r="G883" s="588">
        <v>39356.60000000149</v>
      </c>
      <c r="H883" s="576">
        <v>275496.23000000417</v>
      </c>
      <c r="I883" s="589">
        <v>550992.46999999881</v>
      </c>
    </row>
    <row r="884" spans="1:9" ht="15.75" customHeight="1" x14ac:dyDescent="0.2">
      <c r="A884" s="577"/>
      <c r="B884" s="577"/>
      <c r="C884" s="576"/>
      <c r="D884" s="607">
        <v>46373</v>
      </c>
      <c r="E884" s="576" t="s">
        <v>720</v>
      </c>
      <c r="F884" s="576">
        <v>39515742.640000001</v>
      </c>
      <c r="G884" s="588">
        <v>39356.609999999404</v>
      </c>
      <c r="H884" s="576">
        <v>0</v>
      </c>
      <c r="I884" s="589">
        <v>0</v>
      </c>
    </row>
    <row r="885" spans="1:9" ht="15.75" customHeight="1" x14ac:dyDescent="0.2">
      <c r="A885" s="577"/>
      <c r="B885" s="577"/>
      <c r="C885" s="576"/>
      <c r="D885" s="607">
        <v>46374</v>
      </c>
      <c r="E885" s="576" t="s">
        <v>719</v>
      </c>
      <c r="F885" s="576">
        <v>39555099.240000002</v>
      </c>
      <c r="G885" s="588">
        <v>39356.60000000149</v>
      </c>
      <c r="H885" s="576">
        <v>0</v>
      </c>
      <c r="I885" s="589">
        <v>0</v>
      </c>
    </row>
    <row r="886" spans="1:9" ht="15.75" customHeight="1" x14ac:dyDescent="0.2">
      <c r="A886" s="577"/>
      <c r="B886" s="577"/>
      <c r="C886" s="576"/>
      <c r="D886" s="607">
        <v>46375</v>
      </c>
      <c r="E886" s="576" t="s">
        <v>718</v>
      </c>
      <c r="F886" s="576">
        <v>39594455.850000001</v>
      </c>
      <c r="G886" s="588">
        <v>39356.609999999404</v>
      </c>
      <c r="H886" s="576">
        <v>0</v>
      </c>
      <c r="I886" s="589">
        <v>0</v>
      </c>
    </row>
    <row r="887" spans="1:9" ht="15.75" customHeight="1" x14ac:dyDescent="0.2">
      <c r="A887" s="577"/>
      <c r="B887" s="577"/>
      <c r="C887" s="576"/>
      <c r="D887" s="607">
        <v>46376</v>
      </c>
      <c r="E887" s="576" t="s">
        <v>717</v>
      </c>
      <c r="F887" s="576">
        <v>39633812.450000003</v>
      </c>
      <c r="G887" s="588">
        <v>39356.60000000149</v>
      </c>
      <c r="H887" s="576">
        <v>0</v>
      </c>
      <c r="I887" s="589">
        <v>0</v>
      </c>
    </row>
    <row r="888" spans="1:9" ht="15.75" customHeight="1" x14ac:dyDescent="0.2">
      <c r="A888" s="577"/>
      <c r="B888" s="577"/>
      <c r="C888" s="576"/>
      <c r="D888" s="607">
        <v>46377</v>
      </c>
      <c r="E888" s="576" t="s">
        <v>716</v>
      </c>
      <c r="F888" s="576">
        <v>39673169.060000002</v>
      </c>
      <c r="G888" s="588">
        <v>39356.609999999404</v>
      </c>
      <c r="H888" s="576">
        <v>0</v>
      </c>
      <c r="I888" s="589">
        <v>0</v>
      </c>
    </row>
    <row r="889" spans="1:9" ht="15.75" customHeight="1" x14ac:dyDescent="0.2">
      <c r="A889" s="577"/>
      <c r="B889" s="577"/>
      <c r="C889" s="576"/>
      <c r="D889" s="607">
        <v>46378</v>
      </c>
      <c r="E889" s="576" t="s">
        <v>715</v>
      </c>
      <c r="F889" s="576">
        <v>39712525.659999996</v>
      </c>
      <c r="G889" s="588">
        <v>39356.59999999404</v>
      </c>
      <c r="H889" s="576">
        <v>0</v>
      </c>
      <c r="I889" s="589">
        <v>0</v>
      </c>
    </row>
    <row r="890" spans="1:9" ht="15.75" customHeight="1" x14ac:dyDescent="0.2">
      <c r="A890" s="577"/>
      <c r="B890" s="577"/>
      <c r="C890" s="576"/>
      <c r="D890" s="607">
        <v>46379</v>
      </c>
      <c r="E890" s="576" t="s">
        <v>721</v>
      </c>
      <c r="F890" s="576">
        <v>39751882.270000003</v>
      </c>
      <c r="G890" s="588">
        <v>39356.610000006855</v>
      </c>
      <c r="H890" s="576">
        <v>275496.24000000209</v>
      </c>
      <c r="I890" s="589">
        <v>0</v>
      </c>
    </row>
    <row r="891" spans="1:9" ht="15.75" customHeight="1" x14ac:dyDescent="0.2">
      <c r="A891" s="577"/>
      <c r="B891" s="577"/>
      <c r="C891" s="576"/>
      <c r="D891" s="607">
        <v>46380</v>
      </c>
      <c r="E891" s="576" t="s">
        <v>720</v>
      </c>
      <c r="F891" s="576">
        <v>39791238.869999997</v>
      </c>
      <c r="G891" s="588">
        <v>39356.59999999404</v>
      </c>
      <c r="H891" s="576">
        <v>0</v>
      </c>
      <c r="I891" s="589">
        <v>0</v>
      </c>
    </row>
    <row r="892" spans="1:9" ht="15.75" customHeight="1" x14ac:dyDescent="0.2">
      <c r="A892" s="577"/>
      <c r="B892" s="577"/>
      <c r="C892" s="576"/>
      <c r="D892" s="607">
        <v>46381</v>
      </c>
      <c r="E892" s="576" t="s">
        <v>719</v>
      </c>
      <c r="F892" s="576">
        <v>39830595.479999997</v>
      </c>
      <c r="G892" s="588">
        <v>39356.609999999404</v>
      </c>
      <c r="H892" s="576">
        <v>0</v>
      </c>
      <c r="I892" s="589">
        <v>0</v>
      </c>
    </row>
    <row r="893" spans="1:9" ht="15.75" customHeight="1" x14ac:dyDescent="0.2">
      <c r="A893" s="577"/>
      <c r="B893" s="577"/>
      <c r="C893" s="576"/>
      <c r="D893" s="607">
        <v>46382</v>
      </c>
      <c r="E893" s="576" t="s">
        <v>718</v>
      </c>
      <c r="F893" s="576">
        <v>39869952.079999998</v>
      </c>
      <c r="G893" s="588">
        <v>39356.60000000149</v>
      </c>
      <c r="H893" s="576">
        <v>0</v>
      </c>
      <c r="I893" s="589">
        <v>0</v>
      </c>
    </row>
    <row r="894" spans="1:9" ht="15.75" customHeight="1" x14ac:dyDescent="0.2">
      <c r="A894" s="577"/>
      <c r="B894" s="577"/>
      <c r="C894" s="576"/>
      <c r="D894" s="607">
        <v>46383</v>
      </c>
      <c r="E894" s="576" t="s">
        <v>717</v>
      </c>
      <c r="F894" s="576">
        <v>39909308.689999998</v>
      </c>
      <c r="G894" s="588">
        <v>39356.609999999404</v>
      </c>
      <c r="H894" s="576">
        <v>0</v>
      </c>
      <c r="I894" s="589">
        <v>0</v>
      </c>
    </row>
    <row r="895" spans="1:9" ht="15.75" customHeight="1" x14ac:dyDescent="0.2">
      <c r="A895" s="577"/>
      <c r="B895" s="577"/>
      <c r="C895" s="576"/>
      <c r="D895" s="607">
        <v>46384</v>
      </c>
      <c r="E895" s="576" t="s">
        <v>716</v>
      </c>
      <c r="F895" s="576">
        <v>39948665.289999999</v>
      </c>
      <c r="G895" s="588">
        <v>39356.60000000149</v>
      </c>
      <c r="H895" s="576">
        <v>0</v>
      </c>
      <c r="I895" s="589">
        <v>0</v>
      </c>
    </row>
    <row r="896" spans="1:9" ht="15.75" customHeight="1" x14ac:dyDescent="0.2">
      <c r="A896" s="577"/>
      <c r="B896" s="577"/>
      <c r="C896" s="576"/>
      <c r="D896" s="607">
        <v>46385</v>
      </c>
      <c r="E896" s="576" t="s">
        <v>715</v>
      </c>
      <c r="F896" s="576">
        <v>39988021.899999999</v>
      </c>
      <c r="G896" s="588">
        <v>39356.609999999404</v>
      </c>
      <c r="H896" s="576">
        <v>0</v>
      </c>
      <c r="I896" s="589">
        <v>0</v>
      </c>
    </row>
    <row r="897" spans="1:9" ht="15.75" customHeight="1" x14ac:dyDescent="0.2">
      <c r="A897" s="577"/>
      <c r="B897" s="577"/>
      <c r="C897" s="576"/>
      <c r="D897" s="607">
        <v>46386</v>
      </c>
      <c r="E897" s="576" t="s">
        <v>721</v>
      </c>
      <c r="F897" s="576">
        <v>40027378.5</v>
      </c>
      <c r="G897" s="588">
        <v>39356.60000000149</v>
      </c>
      <c r="H897" s="576">
        <v>275496.22999999672</v>
      </c>
      <c r="I897" s="589">
        <v>550992.46999999881</v>
      </c>
    </row>
    <row r="898" spans="1:9" ht="15.75" customHeight="1" x14ac:dyDescent="0.2">
      <c r="A898" s="577"/>
      <c r="B898" s="577"/>
      <c r="C898" s="576"/>
      <c r="D898" s="607">
        <v>46387</v>
      </c>
      <c r="E898" s="576" t="s">
        <v>720</v>
      </c>
      <c r="F898" s="576">
        <v>40066735.109999999</v>
      </c>
      <c r="G898" s="588">
        <v>39356.609999999404</v>
      </c>
      <c r="H898" s="576">
        <v>0</v>
      </c>
      <c r="I898" s="589">
        <v>0</v>
      </c>
    </row>
    <row r="899" spans="1:9" ht="15.75" customHeight="1" x14ac:dyDescent="0.2">
      <c r="A899" s="577"/>
      <c r="B899" s="577"/>
      <c r="C899" s="576"/>
      <c r="D899" s="607">
        <v>46388</v>
      </c>
      <c r="E899" s="576" t="s">
        <v>719</v>
      </c>
      <c r="F899" s="576">
        <v>40106091.710000001</v>
      </c>
      <c r="G899" s="588">
        <v>39356.60000000149</v>
      </c>
      <c r="H899" s="576">
        <v>0</v>
      </c>
      <c r="I899" s="589">
        <v>0</v>
      </c>
    </row>
    <row r="900" spans="1:9" ht="15.75" customHeight="1" x14ac:dyDescent="0.2">
      <c r="A900" s="577"/>
      <c r="B900" s="577"/>
      <c r="C900" s="576"/>
      <c r="D900" s="607">
        <v>46389</v>
      </c>
      <c r="E900" s="576" t="s">
        <v>718</v>
      </c>
      <c r="F900" s="576">
        <v>40145448.32</v>
      </c>
      <c r="G900" s="588">
        <v>39356.609999999404</v>
      </c>
      <c r="H900" s="576">
        <v>0</v>
      </c>
      <c r="I900" s="589">
        <v>0</v>
      </c>
    </row>
    <row r="901" spans="1:9" ht="15.75" customHeight="1" x14ac:dyDescent="0.2">
      <c r="A901" s="577"/>
      <c r="B901" s="577"/>
      <c r="C901" s="576"/>
      <c r="D901" s="607">
        <v>46390</v>
      </c>
      <c r="E901" s="576" t="s">
        <v>717</v>
      </c>
      <c r="F901" s="576">
        <v>40184804.920000002</v>
      </c>
      <c r="G901" s="588">
        <v>39356.60000000149</v>
      </c>
      <c r="H901" s="576">
        <v>0</v>
      </c>
      <c r="I901" s="589">
        <v>0</v>
      </c>
    </row>
    <row r="902" spans="1:9" ht="15.75" customHeight="1" x14ac:dyDescent="0.2">
      <c r="A902" s="577"/>
      <c r="B902" s="577"/>
      <c r="C902" s="576"/>
      <c r="D902" s="607">
        <v>46391</v>
      </c>
      <c r="E902" s="576" t="s">
        <v>716</v>
      </c>
      <c r="F902" s="576">
        <v>40224161.530000001</v>
      </c>
      <c r="G902" s="588">
        <v>39356.609999999404</v>
      </c>
      <c r="H902" s="576">
        <v>0</v>
      </c>
      <c r="I902" s="589">
        <v>0</v>
      </c>
    </row>
    <row r="903" spans="1:9" ht="15.75" customHeight="1" x14ac:dyDescent="0.2">
      <c r="A903" s="577"/>
      <c r="B903" s="577"/>
      <c r="C903" s="576"/>
      <c r="D903" s="607">
        <v>46392</v>
      </c>
      <c r="E903" s="576" t="s">
        <v>715</v>
      </c>
      <c r="F903" s="576">
        <v>40263518.130000003</v>
      </c>
      <c r="G903" s="588">
        <v>39356.60000000149</v>
      </c>
      <c r="H903" s="576">
        <v>0</v>
      </c>
      <c r="I903" s="589">
        <v>0</v>
      </c>
    </row>
    <row r="904" spans="1:9" ht="15.75" customHeight="1" x14ac:dyDescent="0.2">
      <c r="A904" s="577"/>
      <c r="B904" s="577"/>
      <c r="C904" s="576"/>
      <c r="D904" s="607">
        <v>46393</v>
      </c>
      <c r="E904" s="576" t="s">
        <v>721</v>
      </c>
      <c r="F904" s="576">
        <v>40302874.740000002</v>
      </c>
      <c r="G904" s="588">
        <v>39356.609999999404</v>
      </c>
      <c r="H904" s="576">
        <v>275496.24000000209</v>
      </c>
      <c r="I904" s="589">
        <v>0</v>
      </c>
    </row>
    <row r="905" spans="1:9" ht="15.75" customHeight="1" x14ac:dyDescent="0.2">
      <c r="A905" s="577"/>
      <c r="B905" s="577"/>
      <c r="C905" s="576"/>
      <c r="D905" s="607">
        <v>46394</v>
      </c>
      <c r="E905" s="576" t="s">
        <v>720</v>
      </c>
      <c r="F905" s="576">
        <v>40342231.340000004</v>
      </c>
      <c r="G905" s="588">
        <v>39356.60000000149</v>
      </c>
      <c r="H905" s="576">
        <v>0</v>
      </c>
      <c r="I905" s="589">
        <v>0</v>
      </c>
    </row>
    <row r="906" spans="1:9" ht="15.75" customHeight="1" x14ac:dyDescent="0.2">
      <c r="A906" s="577"/>
      <c r="B906" s="577"/>
      <c r="C906" s="576"/>
      <c r="D906" s="607">
        <v>46395</v>
      </c>
      <c r="E906" s="576" t="s">
        <v>719</v>
      </c>
      <c r="F906" s="576">
        <v>40381587.950000003</v>
      </c>
      <c r="G906" s="588">
        <v>39356.609999999404</v>
      </c>
      <c r="H906" s="576">
        <v>0</v>
      </c>
      <c r="I906" s="589">
        <v>0</v>
      </c>
    </row>
    <row r="907" spans="1:9" ht="15.75" customHeight="1" x14ac:dyDescent="0.2">
      <c r="A907" s="577"/>
      <c r="B907" s="577"/>
      <c r="C907" s="576"/>
      <c r="D907" s="607">
        <v>46396</v>
      </c>
      <c r="E907" s="576" t="s">
        <v>718</v>
      </c>
      <c r="F907" s="576">
        <v>40420944.549999997</v>
      </c>
      <c r="G907" s="588">
        <v>39356.59999999404</v>
      </c>
      <c r="H907" s="576">
        <v>0</v>
      </c>
      <c r="I907" s="589">
        <v>0</v>
      </c>
    </row>
    <row r="908" spans="1:9" ht="15.75" customHeight="1" x14ac:dyDescent="0.2">
      <c r="A908" s="577"/>
      <c r="B908" s="577"/>
      <c r="C908" s="576"/>
      <c r="D908" s="607">
        <v>46397</v>
      </c>
      <c r="E908" s="576" t="s">
        <v>717</v>
      </c>
      <c r="F908" s="576">
        <v>40460301.159999996</v>
      </c>
      <c r="G908" s="588">
        <v>39356.609999999404</v>
      </c>
      <c r="H908" s="576">
        <v>0</v>
      </c>
      <c r="I908" s="589">
        <v>0</v>
      </c>
    </row>
    <row r="909" spans="1:9" ht="15.75" customHeight="1" x14ac:dyDescent="0.2">
      <c r="A909" s="577"/>
      <c r="B909" s="577"/>
      <c r="C909" s="576"/>
      <c r="D909" s="607">
        <v>46398</v>
      </c>
      <c r="E909" s="576" t="s">
        <v>716</v>
      </c>
      <c r="F909" s="576">
        <v>40499657.759999998</v>
      </c>
      <c r="G909" s="588">
        <v>39356.60000000149</v>
      </c>
      <c r="H909" s="576">
        <v>0</v>
      </c>
      <c r="I909" s="589">
        <v>0</v>
      </c>
    </row>
    <row r="910" spans="1:9" ht="15.75" customHeight="1" x14ac:dyDescent="0.2">
      <c r="A910" s="577"/>
      <c r="B910" s="577"/>
      <c r="C910" s="576"/>
      <c r="D910" s="607">
        <v>46399</v>
      </c>
      <c r="E910" s="576" t="s">
        <v>715</v>
      </c>
      <c r="F910" s="576">
        <v>40539014.369999997</v>
      </c>
      <c r="G910" s="588">
        <v>39356.609999999404</v>
      </c>
      <c r="H910" s="576">
        <v>0</v>
      </c>
      <c r="I910" s="589">
        <v>0</v>
      </c>
    </row>
    <row r="911" spans="1:9" ht="15.75" customHeight="1" x14ac:dyDescent="0.2">
      <c r="A911" s="577"/>
      <c r="B911" s="577"/>
      <c r="C911" s="576"/>
      <c r="D911" s="607">
        <v>46400</v>
      </c>
      <c r="E911" s="576" t="s">
        <v>721</v>
      </c>
      <c r="F911" s="576">
        <v>40578370.969999999</v>
      </c>
      <c r="G911" s="588">
        <v>39356.60000000149</v>
      </c>
      <c r="H911" s="576">
        <v>275496.22999999672</v>
      </c>
      <c r="I911" s="589">
        <v>550992.46999999881</v>
      </c>
    </row>
    <row r="912" spans="1:9" ht="15.75" customHeight="1" x14ac:dyDescent="0.2">
      <c r="A912" s="577"/>
      <c r="B912" s="577"/>
      <c r="C912" s="576"/>
      <c r="D912" s="607">
        <v>46401</v>
      </c>
      <c r="E912" s="576" t="s">
        <v>720</v>
      </c>
      <c r="F912" s="576">
        <v>40617727.579999998</v>
      </c>
      <c r="G912" s="588">
        <v>39356.609999999404</v>
      </c>
      <c r="H912" s="576">
        <v>0</v>
      </c>
      <c r="I912" s="589">
        <v>0</v>
      </c>
    </row>
    <row r="913" spans="1:9" ht="15.75" customHeight="1" x14ac:dyDescent="0.2">
      <c r="A913" s="577"/>
      <c r="B913" s="577"/>
      <c r="C913" s="576"/>
      <c r="D913" s="607">
        <v>46402</v>
      </c>
      <c r="E913" s="576" t="s">
        <v>719</v>
      </c>
      <c r="F913" s="576">
        <v>40657084.18</v>
      </c>
      <c r="G913" s="588">
        <v>39356.60000000149</v>
      </c>
      <c r="H913" s="576">
        <v>0</v>
      </c>
      <c r="I913" s="589">
        <v>0</v>
      </c>
    </row>
    <row r="914" spans="1:9" ht="15.75" customHeight="1" x14ac:dyDescent="0.2">
      <c r="A914" s="577"/>
      <c r="B914" s="577"/>
      <c r="C914" s="576"/>
      <c r="D914" s="607">
        <v>46403</v>
      </c>
      <c r="E914" s="576" t="s">
        <v>718</v>
      </c>
      <c r="F914" s="576">
        <v>40696440.789999999</v>
      </c>
      <c r="G914" s="588">
        <v>39356.609999999404</v>
      </c>
      <c r="H914" s="576">
        <v>0</v>
      </c>
      <c r="I914" s="589">
        <v>0</v>
      </c>
    </row>
    <row r="915" spans="1:9" ht="15.75" customHeight="1" x14ac:dyDescent="0.2">
      <c r="A915" s="577"/>
      <c r="B915" s="577"/>
      <c r="C915" s="576"/>
      <c r="D915" s="607">
        <v>46404</v>
      </c>
      <c r="E915" s="576" t="s">
        <v>717</v>
      </c>
      <c r="F915" s="576">
        <v>40735797.390000001</v>
      </c>
      <c r="G915" s="588">
        <v>39356.60000000149</v>
      </c>
      <c r="H915" s="576">
        <v>0</v>
      </c>
      <c r="I915" s="589">
        <v>0</v>
      </c>
    </row>
    <row r="916" spans="1:9" ht="15.75" customHeight="1" x14ac:dyDescent="0.2">
      <c r="A916" s="577"/>
      <c r="B916" s="577"/>
      <c r="C916" s="576"/>
      <c r="D916" s="607">
        <v>46405</v>
      </c>
      <c r="E916" s="576" t="s">
        <v>716</v>
      </c>
      <c r="F916" s="576">
        <v>40775154</v>
      </c>
      <c r="G916" s="588">
        <v>39356.609999999404</v>
      </c>
      <c r="H916" s="576">
        <v>0</v>
      </c>
      <c r="I916" s="589">
        <v>0</v>
      </c>
    </row>
    <row r="917" spans="1:9" ht="15.75" customHeight="1" x14ac:dyDescent="0.2">
      <c r="A917" s="577"/>
      <c r="B917" s="577"/>
      <c r="C917" s="576"/>
      <c r="D917" s="607">
        <v>46406</v>
      </c>
      <c r="E917" s="576" t="s">
        <v>715</v>
      </c>
      <c r="F917" s="576">
        <v>40814510.600000001</v>
      </c>
      <c r="G917" s="588">
        <v>39356.60000000149</v>
      </c>
      <c r="H917" s="576">
        <v>0</v>
      </c>
      <c r="I917" s="589">
        <v>0</v>
      </c>
    </row>
    <row r="918" spans="1:9" ht="15.75" customHeight="1" x14ac:dyDescent="0.2">
      <c r="A918" s="577"/>
      <c r="B918" s="577"/>
      <c r="C918" s="576"/>
      <c r="D918" s="607">
        <v>46407</v>
      </c>
      <c r="E918" s="576" t="s">
        <v>721</v>
      </c>
      <c r="F918" s="576">
        <v>40853867.210000001</v>
      </c>
      <c r="G918" s="588">
        <v>39356.609999999404</v>
      </c>
      <c r="H918" s="576">
        <v>275496.24000000209</v>
      </c>
      <c r="I918" s="589">
        <v>0</v>
      </c>
    </row>
    <row r="919" spans="1:9" ht="15.75" customHeight="1" x14ac:dyDescent="0.2">
      <c r="A919" s="577"/>
      <c r="B919" s="577"/>
      <c r="C919" s="576"/>
      <c r="D919" s="607">
        <v>46408</v>
      </c>
      <c r="E919" s="576" t="s">
        <v>720</v>
      </c>
      <c r="F919" s="576">
        <v>40893223.810000002</v>
      </c>
      <c r="G919" s="588">
        <v>39356.60000000149</v>
      </c>
      <c r="H919" s="576">
        <v>0</v>
      </c>
      <c r="I919" s="589">
        <v>0</v>
      </c>
    </row>
    <row r="920" spans="1:9" ht="15.75" customHeight="1" x14ac:dyDescent="0.2">
      <c r="A920" s="577"/>
      <c r="B920" s="577"/>
      <c r="C920" s="576"/>
      <c r="D920" s="607">
        <v>46409</v>
      </c>
      <c r="E920" s="576" t="s">
        <v>719</v>
      </c>
      <c r="F920" s="576">
        <v>40932580.420000002</v>
      </c>
      <c r="G920" s="588">
        <v>39356.609999999404</v>
      </c>
      <c r="H920" s="576">
        <v>0</v>
      </c>
      <c r="I920" s="589">
        <v>0</v>
      </c>
    </row>
    <row r="921" spans="1:9" ht="15.75" customHeight="1" x14ac:dyDescent="0.2">
      <c r="A921" s="577"/>
      <c r="B921" s="577"/>
      <c r="C921" s="576"/>
      <c r="D921" s="607">
        <v>46410</v>
      </c>
      <c r="E921" s="576" t="s">
        <v>718</v>
      </c>
      <c r="F921" s="576">
        <v>40971937.020000003</v>
      </c>
      <c r="G921" s="588">
        <v>39356.60000000149</v>
      </c>
      <c r="H921" s="576">
        <v>0</v>
      </c>
      <c r="I921" s="589">
        <v>0</v>
      </c>
    </row>
    <row r="922" spans="1:9" ht="15.75" customHeight="1" x14ac:dyDescent="0.2">
      <c r="A922" s="577"/>
      <c r="B922" s="577"/>
      <c r="C922" s="576"/>
      <c r="D922" s="607">
        <v>46411</v>
      </c>
      <c r="E922" s="576" t="s">
        <v>717</v>
      </c>
      <c r="F922" s="576">
        <v>41011293.630000003</v>
      </c>
      <c r="G922" s="588">
        <v>39356.609999999404</v>
      </c>
      <c r="H922" s="576">
        <v>0</v>
      </c>
      <c r="I922" s="589">
        <v>0</v>
      </c>
    </row>
    <row r="923" spans="1:9" ht="15.75" customHeight="1" x14ac:dyDescent="0.2">
      <c r="A923" s="577"/>
      <c r="B923" s="577"/>
      <c r="C923" s="576"/>
      <c r="D923" s="607">
        <v>46412</v>
      </c>
      <c r="E923" s="576" t="s">
        <v>716</v>
      </c>
      <c r="F923" s="576">
        <v>41050650.229999997</v>
      </c>
      <c r="G923" s="588">
        <v>39356.59999999404</v>
      </c>
      <c r="H923" s="576">
        <v>0</v>
      </c>
      <c r="I923" s="589">
        <v>0</v>
      </c>
    </row>
    <row r="924" spans="1:9" ht="15.75" customHeight="1" x14ac:dyDescent="0.2">
      <c r="A924" s="577"/>
      <c r="B924" s="577"/>
      <c r="C924" s="576"/>
      <c r="D924" s="607">
        <v>46413</v>
      </c>
      <c r="E924" s="576" t="s">
        <v>715</v>
      </c>
      <c r="F924" s="576">
        <v>41090006.840000004</v>
      </c>
      <c r="G924" s="588">
        <v>39356.610000006855</v>
      </c>
      <c r="H924" s="576">
        <v>0</v>
      </c>
      <c r="I924" s="589">
        <v>0</v>
      </c>
    </row>
    <row r="925" spans="1:9" ht="15.75" customHeight="1" x14ac:dyDescent="0.2">
      <c r="A925" s="577"/>
      <c r="B925" s="577"/>
      <c r="C925" s="576"/>
      <c r="D925" s="607">
        <v>46414</v>
      </c>
      <c r="E925" s="576" t="s">
        <v>721</v>
      </c>
      <c r="F925" s="576">
        <v>41129363.439999998</v>
      </c>
      <c r="G925" s="588">
        <v>39356.59999999404</v>
      </c>
      <c r="H925" s="576">
        <v>275496.22999999672</v>
      </c>
      <c r="I925" s="589">
        <v>550992.46999999881</v>
      </c>
    </row>
    <row r="926" spans="1:9" ht="15.75" customHeight="1" x14ac:dyDescent="0.2">
      <c r="A926" s="577"/>
      <c r="B926" s="577"/>
      <c r="C926" s="576"/>
      <c r="D926" s="607">
        <v>46415</v>
      </c>
      <c r="E926" s="576" t="s">
        <v>720</v>
      </c>
      <c r="F926" s="576">
        <v>41168720.049999997</v>
      </c>
      <c r="G926" s="588">
        <v>39356.609999999404</v>
      </c>
      <c r="H926" s="576">
        <v>0</v>
      </c>
      <c r="I926" s="589">
        <v>0</v>
      </c>
    </row>
    <row r="927" spans="1:9" ht="15.75" customHeight="1" x14ac:dyDescent="0.2">
      <c r="A927" s="577"/>
      <c r="B927" s="577"/>
      <c r="C927" s="576"/>
      <c r="D927" s="607">
        <v>46416</v>
      </c>
      <c r="E927" s="576" t="s">
        <v>719</v>
      </c>
      <c r="F927" s="576">
        <v>41208076.649999999</v>
      </c>
      <c r="G927" s="588">
        <v>39356.60000000149</v>
      </c>
      <c r="H927" s="576">
        <v>0</v>
      </c>
      <c r="I927" s="589">
        <v>0</v>
      </c>
    </row>
    <row r="928" spans="1:9" ht="15.75" customHeight="1" x14ac:dyDescent="0.2">
      <c r="A928" s="577"/>
      <c r="B928" s="577"/>
      <c r="C928" s="576"/>
      <c r="D928" s="607">
        <v>46417</v>
      </c>
      <c r="E928" s="576" t="s">
        <v>718</v>
      </c>
      <c r="F928" s="576">
        <v>41247433.259999998</v>
      </c>
      <c r="G928" s="588">
        <v>39356.609999999404</v>
      </c>
      <c r="H928" s="576">
        <v>0</v>
      </c>
      <c r="I928" s="589">
        <v>0</v>
      </c>
    </row>
    <row r="929" spans="1:9" ht="15.75" customHeight="1" x14ac:dyDescent="0.2">
      <c r="A929" s="577"/>
      <c r="B929" s="577"/>
      <c r="C929" s="576"/>
      <c r="D929" s="607">
        <v>46418</v>
      </c>
      <c r="E929" s="576" t="s">
        <v>717</v>
      </c>
      <c r="F929" s="576">
        <v>41286789.859999999</v>
      </c>
      <c r="G929" s="588">
        <v>39356.60000000149</v>
      </c>
      <c r="H929" s="576">
        <v>0</v>
      </c>
      <c r="I929" s="589">
        <v>0</v>
      </c>
    </row>
    <row r="930" spans="1:9" ht="15.75" customHeight="1" x14ac:dyDescent="0.2">
      <c r="A930" s="577"/>
      <c r="B930" s="577"/>
      <c r="C930" s="576"/>
      <c r="D930" s="607">
        <v>46419</v>
      </c>
      <c r="E930" s="576" t="s">
        <v>716</v>
      </c>
      <c r="F930" s="576">
        <v>41326146.469999999</v>
      </c>
      <c r="G930" s="588">
        <v>39356.609999999404</v>
      </c>
      <c r="H930" s="576">
        <v>0</v>
      </c>
      <c r="I930" s="589">
        <v>0</v>
      </c>
    </row>
    <row r="931" spans="1:9" ht="15.75" customHeight="1" x14ac:dyDescent="0.2">
      <c r="A931" s="577"/>
      <c r="B931" s="577"/>
      <c r="C931" s="576"/>
      <c r="D931" s="607">
        <v>46420</v>
      </c>
      <c r="E931" s="576" t="s">
        <v>715</v>
      </c>
      <c r="F931" s="576">
        <v>41365503.079999998</v>
      </c>
      <c r="G931" s="588">
        <v>39356.609999999404</v>
      </c>
      <c r="H931" s="576">
        <v>0</v>
      </c>
      <c r="I931" s="589">
        <v>0</v>
      </c>
    </row>
    <row r="932" spans="1:9" ht="15.75" customHeight="1" x14ac:dyDescent="0.2">
      <c r="A932" s="577"/>
      <c r="B932" s="577"/>
      <c r="C932" s="576"/>
      <c r="D932" s="607">
        <v>46421</v>
      </c>
      <c r="E932" s="576" t="s">
        <v>721</v>
      </c>
      <c r="F932" s="576">
        <v>41404859.68</v>
      </c>
      <c r="G932" s="588">
        <v>39356.60000000149</v>
      </c>
      <c r="H932" s="576">
        <v>275496.24000000209</v>
      </c>
      <c r="I932" s="589">
        <v>0</v>
      </c>
    </row>
    <row r="933" spans="1:9" ht="15.75" customHeight="1" x14ac:dyDescent="0.2">
      <c r="A933" s="577"/>
      <c r="B933" s="577"/>
      <c r="C933" s="576"/>
      <c r="D933" s="607">
        <v>46422</v>
      </c>
      <c r="E933" s="576" t="s">
        <v>720</v>
      </c>
      <c r="F933" s="576">
        <v>41444216.289999999</v>
      </c>
      <c r="G933" s="588">
        <v>39356.609999999404</v>
      </c>
      <c r="H933" s="576">
        <v>0</v>
      </c>
      <c r="I933" s="589">
        <v>0</v>
      </c>
    </row>
    <row r="934" spans="1:9" ht="15.75" customHeight="1" x14ac:dyDescent="0.2">
      <c r="A934" s="577"/>
      <c r="B934" s="577"/>
      <c r="C934" s="576"/>
      <c r="D934" s="607">
        <v>46423</v>
      </c>
      <c r="E934" s="576" t="s">
        <v>719</v>
      </c>
      <c r="F934" s="576">
        <v>41483572.890000001</v>
      </c>
      <c r="G934" s="588">
        <v>39356.60000000149</v>
      </c>
      <c r="H934" s="576">
        <v>0</v>
      </c>
      <c r="I934" s="589">
        <v>0</v>
      </c>
    </row>
    <row r="935" spans="1:9" ht="15.75" customHeight="1" x14ac:dyDescent="0.2">
      <c r="A935" s="577"/>
      <c r="B935" s="577"/>
      <c r="C935" s="576"/>
      <c r="D935" s="607">
        <v>46424</v>
      </c>
      <c r="E935" s="576" t="s">
        <v>718</v>
      </c>
      <c r="F935" s="576">
        <v>41522929.5</v>
      </c>
      <c r="G935" s="588">
        <v>39356.609999999404</v>
      </c>
      <c r="H935" s="576">
        <v>0</v>
      </c>
      <c r="I935" s="589">
        <v>0</v>
      </c>
    </row>
    <row r="936" spans="1:9" ht="15.75" customHeight="1" x14ac:dyDescent="0.2">
      <c r="A936" s="577"/>
      <c r="B936" s="577"/>
      <c r="C936" s="576"/>
      <c r="D936" s="607">
        <v>46425</v>
      </c>
      <c r="E936" s="576" t="s">
        <v>717</v>
      </c>
      <c r="F936" s="576">
        <v>41562286.100000001</v>
      </c>
      <c r="G936" s="588">
        <v>39356.60000000149</v>
      </c>
      <c r="H936" s="576">
        <v>0</v>
      </c>
      <c r="I936" s="589">
        <v>0</v>
      </c>
    </row>
    <row r="937" spans="1:9" ht="15.75" customHeight="1" x14ac:dyDescent="0.2">
      <c r="A937" s="577"/>
      <c r="B937" s="577"/>
      <c r="C937" s="576"/>
      <c r="D937" s="607">
        <v>46426</v>
      </c>
      <c r="E937" s="576" t="s">
        <v>716</v>
      </c>
      <c r="F937" s="576">
        <v>41601642.710000001</v>
      </c>
      <c r="G937" s="588">
        <v>39356.609999999404</v>
      </c>
      <c r="H937" s="576">
        <v>0</v>
      </c>
      <c r="I937" s="589">
        <v>0</v>
      </c>
    </row>
    <row r="938" spans="1:9" ht="15.75" customHeight="1" x14ac:dyDescent="0.2">
      <c r="A938" s="577"/>
      <c r="B938" s="577"/>
      <c r="C938" s="576"/>
      <c r="D938" s="607">
        <v>46427</v>
      </c>
      <c r="E938" s="576" t="s">
        <v>715</v>
      </c>
      <c r="F938" s="576">
        <v>41640999.310000002</v>
      </c>
      <c r="G938" s="588">
        <v>39356.60000000149</v>
      </c>
      <c r="H938" s="576">
        <v>0</v>
      </c>
      <c r="I938" s="589">
        <v>0</v>
      </c>
    </row>
    <row r="939" spans="1:9" ht="15.75" customHeight="1" x14ac:dyDescent="0.2">
      <c r="A939" s="577"/>
      <c r="B939" s="577"/>
      <c r="C939" s="576"/>
      <c r="D939" s="607">
        <v>46428</v>
      </c>
      <c r="E939" s="576" t="s">
        <v>721</v>
      </c>
      <c r="F939" s="576">
        <v>41680355.920000002</v>
      </c>
      <c r="G939" s="588">
        <v>39356.609999999404</v>
      </c>
      <c r="H939" s="576">
        <v>275496.24000000209</v>
      </c>
      <c r="I939" s="589">
        <v>550992.48000000417</v>
      </c>
    </row>
    <row r="940" spans="1:9" ht="15.75" customHeight="1" x14ac:dyDescent="0.2">
      <c r="A940" s="577"/>
      <c r="B940" s="577"/>
      <c r="C940" s="576"/>
      <c r="D940" s="607">
        <v>46429</v>
      </c>
      <c r="E940" s="576" t="s">
        <v>720</v>
      </c>
      <c r="F940" s="576">
        <v>41719712.520000003</v>
      </c>
      <c r="G940" s="588">
        <v>39356.60000000149</v>
      </c>
      <c r="H940" s="576">
        <v>0</v>
      </c>
      <c r="I940" s="589">
        <v>0</v>
      </c>
    </row>
    <row r="941" spans="1:9" ht="15.75" customHeight="1" x14ac:dyDescent="0.2">
      <c r="A941" s="577"/>
      <c r="B941" s="577"/>
      <c r="C941" s="576"/>
      <c r="D941" s="607">
        <v>46430</v>
      </c>
      <c r="E941" s="576" t="s">
        <v>719</v>
      </c>
      <c r="F941" s="576">
        <v>41759069.130000003</v>
      </c>
      <c r="G941" s="588">
        <v>39356.609999999404</v>
      </c>
      <c r="H941" s="576">
        <v>0</v>
      </c>
      <c r="I941" s="589">
        <v>0</v>
      </c>
    </row>
    <row r="942" spans="1:9" ht="15.75" customHeight="1" x14ac:dyDescent="0.2">
      <c r="A942" s="577"/>
      <c r="B942" s="577"/>
      <c r="C942" s="576"/>
      <c r="D942" s="607">
        <v>46431</v>
      </c>
      <c r="E942" s="576" t="s">
        <v>718</v>
      </c>
      <c r="F942" s="576">
        <v>41798425.729999997</v>
      </c>
      <c r="G942" s="588">
        <v>39356.59999999404</v>
      </c>
      <c r="H942" s="576">
        <v>0</v>
      </c>
      <c r="I942" s="589">
        <v>0</v>
      </c>
    </row>
    <row r="943" spans="1:9" ht="15.75" customHeight="1" x14ac:dyDescent="0.2">
      <c r="A943" s="577"/>
      <c r="B943" s="577"/>
      <c r="C943" s="576"/>
      <c r="D943" s="607">
        <v>46432</v>
      </c>
      <c r="E943" s="576" t="s">
        <v>717</v>
      </c>
      <c r="F943" s="576">
        <v>41837782.340000004</v>
      </c>
      <c r="G943" s="588">
        <v>39356.610000006855</v>
      </c>
      <c r="H943" s="576">
        <v>0</v>
      </c>
      <c r="I943" s="589">
        <v>0</v>
      </c>
    </row>
    <row r="944" spans="1:9" ht="15.75" customHeight="1" x14ac:dyDescent="0.2">
      <c r="A944" s="577"/>
      <c r="B944" s="577"/>
      <c r="C944" s="576"/>
      <c r="D944" s="607">
        <v>46433</v>
      </c>
      <c r="E944" s="576" t="s">
        <v>716</v>
      </c>
      <c r="F944" s="576">
        <v>41877138.939999998</v>
      </c>
      <c r="G944" s="588">
        <v>39356.59999999404</v>
      </c>
      <c r="H944" s="576">
        <v>0</v>
      </c>
      <c r="I944" s="589">
        <v>0</v>
      </c>
    </row>
    <row r="945" spans="1:9" ht="15.75" customHeight="1" x14ac:dyDescent="0.2">
      <c r="A945" s="577"/>
      <c r="B945" s="577"/>
      <c r="C945" s="576"/>
      <c r="D945" s="607">
        <v>46434</v>
      </c>
      <c r="E945" s="576" t="s">
        <v>715</v>
      </c>
      <c r="F945" s="576">
        <v>41916495.549999997</v>
      </c>
      <c r="G945" s="588">
        <v>39356.609999999404</v>
      </c>
      <c r="H945" s="576">
        <v>0</v>
      </c>
      <c r="I945" s="589">
        <v>0</v>
      </c>
    </row>
    <row r="946" spans="1:9" ht="15.75" customHeight="1" x14ac:dyDescent="0.2">
      <c r="A946" s="577"/>
      <c r="B946" s="577"/>
      <c r="C946" s="576"/>
      <c r="D946" s="607">
        <v>46435</v>
      </c>
      <c r="E946" s="576" t="s">
        <v>721</v>
      </c>
      <c r="F946" s="576">
        <v>41955852.149999999</v>
      </c>
      <c r="G946" s="588">
        <v>39356.60000000149</v>
      </c>
      <c r="H946" s="576">
        <v>275496.22999999672</v>
      </c>
      <c r="I946" s="589">
        <v>0</v>
      </c>
    </row>
    <row r="947" spans="1:9" ht="15.75" customHeight="1" x14ac:dyDescent="0.2">
      <c r="A947" s="577"/>
      <c r="B947" s="577"/>
      <c r="C947" s="576"/>
      <c r="D947" s="607">
        <v>46436</v>
      </c>
      <c r="E947" s="576" t="s">
        <v>720</v>
      </c>
      <c r="F947" s="576">
        <v>41995208.759999998</v>
      </c>
      <c r="G947" s="588">
        <v>39356.609999999404</v>
      </c>
      <c r="H947" s="576">
        <v>0</v>
      </c>
      <c r="I947" s="589">
        <v>0</v>
      </c>
    </row>
    <row r="948" spans="1:9" ht="15.75" customHeight="1" x14ac:dyDescent="0.2">
      <c r="A948" s="577"/>
      <c r="B948" s="577"/>
      <c r="C948" s="576"/>
      <c r="D948" s="607">
        <v>46437</v>
      </c>
      <c r="E948" s="576" t="s">
        <v>719</v>
      </c>
      <c r="F948" s="576">
        <v>42034565.359999999</v>
      </c>
      <c r="G948" s="588">
        <v>39356.60000000149</v>
      </c>
      <c r="H948" s="576">
        <v>0</v>
      </c>
      <c r="I948" s="589">
        <v>0</v>
      </c>
    </row>
    <row r="949" spans="1:9" ht="15.75" customHeight="1" x14ac:dyDescent="0.2">
      <c r="A949" s="577"/>
      <c r="B949" s="577"/>
      <c r="C949" s="576"/>
      <c r="D949" s="607">
        <v>46438</v>
      </c>
      <c r="E949" s="576" t="s">
        <v>718</v>
      </c>
      <c r="F949" s="576">
        <v>42073921.969999999</v>
      </c>
      <c r="G949" s="588">
        <v>39356.609999999404</v>
      </c>
      <c r="H949" s="576">
        <v>0</v>
      </c>
      <c r="I949" s="589">
        <v>0</v>
      </c>
    </row>
    <row r="950" spans="1:9" ht="15.75" customHeight="1" x14ac:dyDescent="0.2">
      <c r="A950" s="577"/>
      <c r="B950" s="577"/>
      <c r="C950" s="576"/>
      <c r="D950" s="607">
        <v>46439</v>
      </c>
      <c r="E950" s="576" t="s">
        <v>717</v>
      </c>
      <c r="F950" s="576">
        <v>42113278.57</v>
      </c>
      <c r="G950" s="588">
        <v>39356.60000000149</v>
      </c>
      <c r="H950" s="576">
        <v>0</v>
      </c>
      <c r="I950" s="589">
        <v>0</v>
      </c>
    </row>
    <row r="951" spans="1:9" ht="15.75" customHeight="1" x14ac:dyDescent="0.2">
      <c r="A951" s="577"/>
      <c r="B951" s="577"/>
      <c r="C951" s="576"/>
      <c r="D951" s="607">
        <v>46440</v>
      </c>
      <c r="E951" s="576" t="s">
        <v>716</v>
      </c>
      <c r="F951" s="576">
        <v>42152635.18</v>
      </c>
      <c r="G951" s="588">
        <v>39356.609999999404</v>
      </c>
      <c r="H951" s="576">
        <v>0</v>
      </c>
      <c r="I951" s="589">
        <v>0</v>
      </c>
    </row>
    <row r="952" spans="1:9" ht="15.75" customHeight="1" x14ac:dyDescent="0.2">
      <c r="A952" s="577"/>
      <c r="B952" s="577"/>
      <c r="C952" s="576"/>
      <c r="D952" s="607">
        <v>46441</v>
      </c>
      <c r="E952" s="576" t="s">
        <v>715</v>
      </c>
      <c r="F952" s="576">
        <v>42191991.780000001</v>
      </c>
      <c r="G952" s="588">
        <v>39356.60000000149</v>
      </c>
      <c r="H952" s="576">
        <v>0</v>
      </c>
      <c r="I952" s="589">
        <v>0</v>
      </c>
    </row>
    <row r="953" spans="1:9" ht="15.75" customHeight="1" x14ac:dyDescent="0.2">
      <c r="A953" s="577"/>
      <c r="B953" s="577"/>
      <c r="C953" s="576"/>
      <c r="D953" s="607">
        <v>46442</v>
      </c>
      <c r="E953" s="576" t="s">
        <v>721</v>
      </c>
      <c r="F953" s="576">
        <v>42231348.390000001</v>
      </c>
      <c r="G953" s="588">
        <v>39356.609999999404</v>
      </c>
      <c r="H953" s="576">
        <v>275496.24000000209</v>
      </c>
      <c r="I953" s="589">
        <v>550992.46999999881</v>
      </c>
    </row>
    <row r="954" spans="1:9" ht="15.75" customHeight="1" x14ac:dyDescent="0.2">
      <c r="A954" s="577"/>
      <c r="B954" s="577"/>
      <c r="C954" s="576"/>
      <c r="D954" s="607">
        <v>46443</v>
      </c>
      <c r="E954" s="576" t="s">
        <v>720</v>
      </c>
      <c r="F954" s="576">
        <v>42270704.990000002</v>
      </c>
      <c r="G954" s="588">
        <v>39356.60000000149</v>
      </c>
      <c r="H954" s="576">
        <v>0</v>
      </c>
      <c r="I954" s="589">
        <v>0</v>
      </c>
    </row>
    <row r="955" spans="1:9" ht="15.75" customHeight="1" x14ac:dyDescent="0.2">
      <c r="A955" s="577"/>
      <c r="B955" s="577"/>
      <c r="C955" s="576"/>
      <c r="D955" s="607">
        <v>46444</v>
      </c>
      <c r="E955" s="576" t="s">
        <v>719</v>
      </c>
      <c r="F955" s="576">
        <v>42310061.600000001</v>
      </c>
      <c r="G955" s="588">
        <v>39356.609999999404</v>
      </c>
      <c r="H955" s="576">
        <v>0</v>
      </c>
      <c r="I955" s="589">
        <v>0</v>
      </c>
    </row>
    <row r="956" spans="1:9" ht="15.75" customHeight="1" x14ac:dyDescent="0.2">
      <c r="A956" s="577"/>
      <c r="B956" s="577"/>
      <c r="C956" s="576"/>
      <c r="D956" s="607">
        <v>46445</v>
      </c>
      <c r="E956" s="576" t="s">
        <v>718</v>
      </c>
      <c r="F956" s="576">
        <v>42349418.200000003</v>
      </c>
      <c r="G956" s="588">
        <v>39356.60000000149</v>
      </c>
      <c r="H956" s="576">
        <v>0</v>
      </c>
      <c r="I956" s="589">
        <v>0</v>
      </c>
    </row>
    <row r="957" spans="1:9" ht="15.75" customHeight="1" x14ac:dyDescent="0.2">
      <c r="A957" s="577"/>
      <c r="B957" s="577"/>
      <c r="C957" s="576"/>
      <c r="D957" s="607">
        <v>46446</v>
      </c>
      <c r="E957" s="576" t="s">
        <v>717</v>
      </c>
      <c r="F957" s="576">
        <v>42388774.810000002</v>
      </c>
      <c r="G957" s="588">
        <v>39356.609999999404</v>
      </c>
      <c r="H957" s="576">
        <v>0</v>
      </c>
      <c r="I957" s="589">
        <v>0</v>
      </c>
    </row>
    <row r="958" spans="1:9" ht="15.75" customHeight="1" x14ac:dyDescent="0.2">
      <c r="A958" s="577"/>
      <c r="B958" s="577"/>
      <c r="C958" s="576"/>
      <c r="D958" s="607">
        <v>46447</v>
      </c>
      <c r="E958" s="576" t="s">
        <v>716</v>
      </c>
      <c r="F958" s="576">
        <v>42428131.409999996</v>
      </c>
      <c r="G958" s="588">
        <v>39356.59999999404</v>
      </c>
      <c r="H958" s="576">
        <v>0</v>
      </c>
      <c r="I958" s="589">
        <v>0</v>
      </c>
    </row>
    <row r="959" spans="1:9" ht="15.75" customHeight="1" x14ac:dyDescent="0.2">
      <c r="A959" s="577"/>
      <c r="B959" s="577"/>
      <c r="C959" s="576"/>
      <c r="D959" s="607">
        <v>46448</v>
      </c>
      <c r="E959" s="576" t="s">
        <v>715</v>
      </c>
      <c r="F959" s="576">
        <v>42467488.020000003</v>
      </c>
      <c r="G959" s="588">
        <v>39356.610000006855</v>
      </c>
      <c r="H959" s="576">
        <v>0</v>
      </c>
      <c r="I959" s="589">
        <v>0</v>
      </c>
    </row>
    <row r="960" spans="1:9" ht="15.75" customHeight="1" x14ac:dyDescent="0.2">
      <c r="A960" s="577"/>
      <c r="B960" s="577"/>
      <c r="C960" s="576"/>
      <c r="D960" s="607">
        <v>46449</v>
      </c>
      <c r="E960" s="576" t="s">
        <v>721</v>
      </c>
      <c r="F960" s="576">
        <v>42506844.619999997</v>
      </c>
      <c r="G960" s="588">
        <v>39356.59999999404</v>
      </c>
      <c r="H960" s="576">
        <v>275496.22999999672</v>
      </c>
      <c r="I960" s="589">
        <v>0</v>
      </c>
    </row>
    <row r="961" spans="1:9" ht="15.75" customHeight="1" x14ac:dyDescent="0.2">
      <c r="A961" s="577"/>
      <c r="B961" s="577"/>
      <c r="C961" s="576"/>
      <c r="D961" s="607">
        <v>46450</v>
      </c>
      <c r="E961" s="576" t="s">
        <v>720</v>
      </c>
      <c r="F961" s="576">
        <v>42546201.229999997</v>
      </c>
      <c r="G961" s="588">
        <v>39356.609999999404</v>
      </c>
      <c r="H961" s="576">
        <v>0</v>
      </c>
      <c r="I961" s="589">
        <v>0</v>
      </c>
    </row>
    <row r="962" spans="1:9" ht="15.75" customHeight="1" x14ac:dyDescent="0.2">
      <c r="A962" s="577"/>
      <c r="B962" s="577"/>
      <c r="C962" s="576"/>
      <c r="D962" s="607">
        <v>46451</v>
      </c>
      <c r="E962" s="576" t="s">
        <v>719</v>
      </c>
      <c r="F962" s="576">
        <v>42585557.829999998</v>
      </c>
      <c r="G962" s="588">
        <v>39356.60000000149</v>
      </c>
      <c r="H962" s="576">
        <v>0</v>
      </c>
      <c r="I962" s="589">
        <v>0</v>
      </c>
    </row>
    <row r="963" spans="1:9" ht="15.75" customHeight="1" x14ac:dyDescent="0.2">
      <c r="A963" s="577"/>
      <c r="B963" s="577"/>
      <c r="C963" s="576"/>
      <c r="D963" s="607">
        <v>46452</v>
      </c>
      <c r="E963" s="576" t="s">
        <v>718</v>
      </c>
      <c r="F963" s="576">
        <v>42624914.439999998</v>
      </c>
      <c r="G963" s="588">
        <v>39356.609999999404</v>
      </c>
      <c r="H963" s="576">
        <v>0</v>
      </c>
      <c r="I963" s="589">
        <v>0</v>
      </c>
    </row>
    <row r="964" spans="1:9" ht="15.75" customHeight="1" x14ac:dyDescent="0.2">
      <c r="A964" s="577"/>
      <c r="B964" s="577"/>
      <c r="C964" s="576"/>
      <c r="D964" s="607">
        <v>46453</v>
      </c>
      <c r="E964" s="576" t="s">
        <v>717</v>
      </c>
      <c r="F964" s="576">
        <v>42664271.039999999</v>
      </c>
      <c r="G964" s="588">
        <v>39356.60000000149</v>
      </c>
      <c r="H964" s="576">
        <v>0</v>
      </c>
      <c r="I964" s="589">
        <v>0</v>
      </c>
    </row>
    <row r="965" spans="1:9" ht="15.75" customHeight="1" x14ac:dyDescent="0.2">
      <c r="A965" s="577"/>
      <c r="B965" s="577"/>
      <c r="C965" s="576"/>
      <c r="D965" s="607">
        <v>46454</v>
      </c>
      <c r="E965" s="576" t="s">
        <v>716</v>
      </c>
      <c r="F965" s="576">
        <v>42703627.649999999</v>
      </c>
      <c r="G965" s="588">
        <v>39356.609999999404</v>
      </c>
      <c r="H965" s="576">
        <v>0</v>
      </c>
      <c r="I965" s="589">
        <v>0</v>
      </c>
    </row>
    <row r="966" spans="1:9" ht="15.75" customHeight="1" x14ac:dyDescent="0.2">
      <c r="A966" s="577"/>
      <c r="B966" s="577"/>
      <c r="C966" s="576"/>
      <c r="D966" s="607">
        <v>46455</v>
      </c>
      <c r="E966" s="576" t="s">
        <v>715</v>
      </c>
      <c r="F966" s="576">
        <v>42742984.25</v>
      </c>
      <c r="G966" s="588">
        <v>39356.60000000149</v>
      </c>
      <c r="H966" s="576">
        <v>0</v>
      </c>
      <c r="I966" s="589">
        <v>0</v>
      </c>
    </row>
    <row r="967" spans="1:9" ht="15.75" customHeight="1" x14ac:dyDescent="0.2">
      <c r="A967" s="577"/>
      <c r="B967" s="577"/>
      <c r="C967" s="576"/>
      <c r="D967" s="607">
        <v>46456</v>
      </c>
      <c r="E967" s="576" t="s">
        <v>721</v>
      </c>
      <c r="F967" s="576">
        <v>42782340.859999999</v>
      </c>
      <c r="G967" s="588">
        <v>39356.609999999404</v>
      </c>
      <c r="H967" s="576">
        <v>275496.24000000209</v>
      </c>
      <c r="I967" s="589">
        <v>550992.46999999881</v>
      </c>
    </row>
    <row r="968" spans="1:9" ht="15.75" customHeight="1" x14ac:dyDescent="0.2">
      <c r="A968" s="577"/>
      <c r="B968" s="577"/>
      <c r="C968" s="576"/>
      <c r="D968" s="607">
        <v>46457</v>
      </c>
      <c r="E968" s="576" t="s">
        <v>720</v>
      </c>
      <c r="F968" s="576">
        <v>42821697.460000001</v>
      </c>
      <c r="G968" s="588">
        <v>39356.60000000149</v>
      </c>
      <c r="H968" s="576">
        <v>0</v>
      </c>
      <c r="I968" s="589">
        <v>0</v>
      </c>
    </row>
    <row r="969" spans="1:9" ht="15.75" customHeight="1" x14ac:dyDescent="0.2">
      <c r="A969" s="577"/>
      <c r="B969" s="577"/>
      <c r="C969" s="576"/>
      <c r="D969" s="607">
        <v>46458</v>
      </c>
      <c r="E969" s="576" t="s">
        <v>719</v>
      </c>
      <c r="F969" s="576">
        <v>42861054.07</v>
      </c>
      <c r="G969" s="588">
        <v>39356.609999999404</v>
      </c>
      <c r="H969" s="576">
        <v>0</v>
      </c>
      <c r="I969" s="589">
        <v>0</v>
      </c>
    </row>
    <row r="970" spans="1:9" ht="15.75" customHeight="1" x14ac:dyDescent="0.2">
      <c r="A970" s="577"/>
      <c r="B970" s="577"/>
      <c r="C970" s="576"/>
      <c r="D970" s="607">
        <v>46459</v>
      </c>
      <c r="E970" s="576" t="s">
        <v>718</v>
      </c>
      <c r="F970" s="576">
        <v>42900410.670000002</v>
      </c>
      <c r="G970" s="588">
        <v>39356.60000000149</v>
      </c>
      <c r="H970" s="576">
        <v>0</v>
      </c>
      <c r="I970" s="589">
        <v>0</v>
      </c>
    </row>
    <row r="971" spans="1:9" ht="15.75" customHeight="1" x14ac:dyDescent="0.2">
      <c r="A971" s="577"/>
      <c r="B971" s="577"/>
      <c r="C971" s="576"/>
      <c r="D971" s="607">
        <v>46460</v>
      </c>
      <c r="E971" s="576" t="s">
        <v>717</v>
      </c>
      <c r="F971" s="576">
        <v>42939767.280000001</v>
      </c>
      <c r="G971" s="588">
        <v>39356.609999999404</v>
      </c>
      <c r="H971" s="576">
        <v>0</v>
      </c>
      <c r="I971" s="589">
        <v>0</v>
      </c>
    </row>
    <row r="972" spans="1:9" ht="15.75" customHeight="1" x14ac:dyDescent="0.2">
      <c r="A972" s="577"/>
      <c r="B972" s="577"/>
      <c r="C972" s="576"/>
      <c r="D972" s="607">
        <v>46461</v>
      </c>
      <c r="E972" s="576" t="s">
        <v>716</v>
      </c>
      <c r="F972" s="576">
        <v>42979123.880000003</v>
      </c>
      <c r="G972" s="588">
        <v>39356.60000000149</v>
      </c>
      <c r="H972" s="576">
        <v>0</v>
      </c>
      <c r="I972" s="589">
        <v>0</v>
      </c>
    </row>
    <row r="973" spans="1:9" ht="15.75" customHeight="1" x14ac:dyDescent="0.2">
      <c r="A973" s="577"/>
      <c r="B973" s="577"/>
      <c r="C973" s="576"/>
      <c r="D973" s="607">
        <v>46462</v>
      </c>
      <c r="E973" s="576" t="s">
        <v>715</v>
      </c>
      <c r="F973" s="576">
        <v>43018480.490000002</v>
      </c>
      <c r="G973" s="588">
        <v>39356.609999999404</v>
      </c>
      <c r="H973" s="576">
        <v>0</v>
      </c>
      <c r="I973" s="589">
        <v>0</v>
      </c>
    </row>
    <row r="974" spans="1:9" ht="15.75" customHeight="1" x14ac:dyDescent="0.2">
      <c r="A974" s="577"/>
      <c r="B974" s="577"/>
      <c r="C974" s="576"/>
      <c r="D974" s="607">
        <v>46463</v>
      </c>
      <c r="E974" s="576" t="s">
        <v>721</v>
      </c>
      <c r="F974" s="576">
        <v>43057837.090000004</v>
      </c>
      <c r="G974" s="588">
        <v>39356.60000000149</v>
      </c>
      <c r="H974" s="576">
        <v>275496.23000000417</v>
      </c>
      <c r="I974" s="589">
        <v>0</v>
      </c>
    </row>
    <row r="975" spans="1:9" ht="15.75" customHeight="1" x14ac:dyDescent="0.2">
      <c r="A975" s="577"/>
      <c r="B975" s="577"/>
      <c r="C975" s="576"/>
      <c r="D975" s="607">
        <v>46464</v>
      </c>
      <c r="E975" s="576" t="s">
        <v>720</v>
      </c>
      <c r="F975" s="576">
        <v>43097193.700000003</v>
      </c>
      <c r="G975" s="588">
        <v>39356.609999999404</v>
      </c>
      <c r="H975" s="576">
        <v>0</v>
      </c>
      <c r="I975" s="589">
        <v>0</v>
      </c>
    </row>
    <row r="976" spans="1:9" ht="15.75" customHeight="1" x14ac:dyDescent="0.2">
      <c r="A976" s="577"/>
      <c r="B976" s="577"/>
      <c r="C976" s="576"/>
      <c r="D976" s="607">
        <v>46465</v>
      </c>
      <c r="E976" s="576" t="s">
        <v>719</v>
      </c>
      <c r="F976" s="576">
        <v>43136550.299999997</v>
      </c>
      <c r="G976" s="588">
        <v>39356.59999999404</v>
      </c>
      <c r="H976" s="576">
        <v>0</v>
      </c>
      <c r="I976" s="589">
        <v>0</v>
      </c>
    </row>
    <row r="977" spans="1:9" ht="15.75" customHeight="1" x14ac:dyDescent="0.2">
      <c r="A977" s="577"/>
      <c r="B977" s="577"/>
      <c r="C977" s="576"/>
      <c r="D977" s="607">
        <v>46466</v>
      </c>
      <c r="E977" s="576" t="s">
        <v>718</v>
      </c>
      <c r="F977" s="576">
        <v>43175906.909999996</v>
      </c>
      <c r="G977" s="588">
        <v>39356.609999999404</v>
      </c>
      <c r="H977" s="576">
        <v>0</v>
      </c>
      <c r="I977" s="589">
        <v>0</v>
      </c>
    </row>
    <row r="978" spans="1:9" ht="15.75" customHeight="1" x14ac:dyDescent="0.2">
      <c r="A978" s="577"/>
      <c r="B978" s="577"/>
      <c r="C978" s="576"/>
      <c r="D978" s="607">
        <v>46467</v>
      </c>
      <c r="E978" s="576" t="s">
        <v>717</v>
      </c>
      <c r="F978" s="576">
        <v>43215263.509999998</v>
      </c>
      <c r="G978" s="588">
        <v>39356.60000000149</v>
      </c>
      <c r="H978" s="576">
        <v>0</v>
      </c>
      <c r="I978" s="589">
        <v>0</v>
      </c>
    </row>
    <row r="979" spans="1:9" ht="15.75" customHeight="1" x14ac:dyDescent="0.2">
      <c r="A979" s="577"/>
      <c r="B979" s="577"/>
      <c r="C979" s="576"/>
      <c r="D979" s="607">
        <v>46468</v>
      </c>
      <c r="E979" s="576" t="s">
        <v>716</v>
      </c>
      <c r="F979" s="576">
        <v>43254620.119999997</v>
      </c>
      <c r="G979" s="588">
        <v>39356.609999999404</v>
      </c>
      <c r="H979" s="576">
        <v>0</v>
      </c>
      <c r="I979" s="589">
        <v>0</v>
      </c>
    </row>
    <row r="980" spans="1:9" ht="15.75" customHeight="1" x14ac:dyDescent="0.2">
      <c r="A980" s="577"/>
      <c r="B980" s="577"/>
      <c r="C980" s="576"/>
      <c r="D980" s="607">
        <v>46469</v>
      </c>
      <c r="E980" s="576" t="s">
        <v>715</v>
      </c>
      <c r="F980" s="576">
        <v>43293976.719999999</v>
      </c>
      <c r="G980" s="588">
        <v>39356.60000000149</v>
      </c>
      <c r="H980" s="576">
        <v>0</v>
      </c>
      <c r="I980" s="589">
        <v>0</v>
      </c>
    </row>
    <row r="981" spans="1:9" ht="15.75" customHeight="1" x14ac:dyDescent="0.2">
      <c r="A981" s="577"/>
      <c r="B981" s="577"/>
      <c r="C981" s="576"/>
      <c r="D981" s="607">
        <v>46470</v>
      </c>
      <c r="E981" s="576" t="s">
        <v>721</v>
      </c>
      <c r="F981" s="576">
        <v>43333333.329999998</v>
      </c>
      <c r="G981" s="588">
        <v>39356.609999999404</v>
      </c>
      <c r="H981" s="576">
        <v>275496.23999999464</v>
      </c>
      <c r="I981" s="589">
        <v>550992.46999999881</v>
      </c>
    </row>
    <row r="982" spans="1:9" ht="15.75" customHeight="1" x14ac:dyDescent="0.2">
      <c r="A982" s="577"/>
      <c r="B982" s="577"/>
      <c r="C982" s="576"/>
      <c r="D982" s="607">
        <v>46471</v>
      </c>
      <c r="E982" s="576" t="s">
        <v>720</v>
      </c>
      <c r="F982" s="576">
        <v>43372689.93</v>
      </c>
      <c r="G982" s="588">
        <v>39356.60000000149</v>
      </c>
      <c r="H982" s="576">
        <v>0</v>
      </c>
      <c r="I982" s="589">
        <v>0</v>
      </c>
    </row>
    <row r="983" spans="1:9" ht="15.75" customHeight="1" x14ac:dyDescent="0.2">
      <c r="A983" s="577"/>
      <c r="B983" s="577"/>
      <c r="C983" s="576"/>
      <c r="D983" s="607">
        <v>46472</v>
      </c>
      <c r="E983" s="576" t="s">
        <v>719</v>
      </c>
      <c r="F983" s="576">
        <v>43412046.539999999</v>
      </c>
      <c r="G983" s="588">
        <v>39356.609999999404</v>
      </c>
      <c r="H983" s="576">
        <v>0</v>
      </c>
      <c r="I983" s="589">
        <v>0</v>
      </c>
    </row>
    <row r="984" spans="1:9" ht="15.75" customHeight="1" x14ac:dyDescent="0.2">
      <c r="A984" s="577"/>
      <c r="B984" s="577"/>
      <c r="C984" s="576"/>
      <c r="D984" s="607">
        <v>46473</v>
      </c>
      <c r="E984" s="576" t="s">
        <v>718</v>
      </c>
      <c r="F984" s="576">
        <v>43451403.140000001</v>
      </c>
      <c r="G984" s="588">
        <v>39356.60000000149</v>
      </c>
      <c r="H984" s="576">
        <v>0</v>
      </c>
      <c r="I984" s="589">
        <v>0</v>
      </c>
    </row>
    <row r="985" spans="1:9" ht="15.75" customHeight="1" x14ac:dyDescent="0.2">
      <c r="A985" s="577"/>
      <c r="B985" s="577"/>
      <c r="C985" s="576"/>
      <c r="D985" s="607">
        <v>46474</v>
      </c>
      <c r="E985" s="576" t="s">
        <v>717</v>
      </c>
      <c r="F985" s="576">
        <v>43490759.75</v>
      </c>
      <c r="G985" s="588">
        <v>39356.609999999404</v>
      </c>
      <c r="H985" s="576">
        <v>0</v>
      </c>
      <c r="I985" s="589">
        <v>0</v>
      </c>
    </row>
    <row r="986" spans="1:9" ht="15.75" customHeight="1" x14ac:dyDescent="0.2">
      <c r="A986" s="577"/>
      <c r="B986" s="577"/>
      <c r="C986" s="576"/>
      <c r="D986" s="607">
        <v>46475</v>
      </c>
      <c r="E986" s="576" t="s">
        <v>716</v>
      </c>
      <c r="F986" s="576">
        <v>43530116.350000001</v>
      </c>
      <c r="G986" s="588">
        <v>39356.60000000149</v>
      </c>
      <c r="H986" s="576">
        <v>0</v>
      </c>
      <c r="I986" s="589">
        <v>0</v>
      </c>
    </row>
    <row r="987" spans="1:9" ht="15.75" customHeight="1" x14ac:dyDescent="0.2">
      <c r="A987" s="577"/>
      <c r="B987" s="577"/>
      <c r="C987" s="576"/>
      <c r="D987" s="607">
        <v>46476</v>
      </c>
      <c r="E987" s="576" t="s">
        <v>715</v>
      </c>
      <c r="F987" s="576">
        <v>43569472.960000001</v>
      </c>
      <c r="G987" s="588">
        <v>39356.609999999404</v>
      </c>
      <c r="H987" s="576">
        <v>0</v>
      </c>
      <c r="I987" s="589">
        <v>0</v>
      </c>
    </row>
    <row r="988" spans="1:9" ht="15.75" customHeight="1" x14ac:dyDescent="0.2">
      <c r="A988" s="577"/>
      <c r="B988" s="577"/>
      <c r="C988" s="576"/>
      <c r="D988" s="607">
        <v>46477</v>
      </c>
      <c r="E988" s="576" t="s">
        <v>721</v>
      </c>
      <c r="F988" s="576">
        <v>43608829.560000002</v>
      </c>
      <c r="G988" s="588">
        <v>39356.60000000149</v>
      </c>
      <c r="H988" s="576">
        <v>275496.23000000417</v>
      </c>
      <c r="I988" s="589">
        <v>0</v>
      </c>
    </row>
    <row r="989" spans="1:9" ht="15.75" customHeight="1" x14ac:dyDescent="0.2">
      <c r="A989" s="577"/>
      <c r="B989" s="577"/>
      <c r="C989" s="576"/>
      <c r="D989" s="607">
        <v>46478</v>
      </c>
      <c r="E989" s="576" t="s">
        <v>720</v>
      </c>
      <c r="F989" s="576">
        <v>43648186.170000002</v>
      </c>
      <c r="G989" s="588">
        <v>39356.609999999404</v>
      </c>
      <c r="H989" s="576">
        <v>0</v>
      </c>
      <c r="I989" s="589">
        <v>0</v>
      </c>
    </row>
    <row r="990" spans="1:9" ht="15.75" customHeight="1" x14ac:dyDescent="0.2">
      <c r="A990" s="577"/>
      <c r="B990" s="577"/>
      <c r="C990" s="576"/>
      <c r="D990" s="607">
        <v>46479</v>
      </c>
      <c r="E990" s="576" t="s">
        <v>719</v>
      </c>
      <c r="F990" s="576">
        <v>43687542.770000003</v>
      </c>
      <c r="G990" s="588">
        <v>39356.60000000149</v>
      </c>
      <c r="H990" s="576">
        <v>0</v>
      </c>
      <c r="I990" s="589">
        <v>0</v>
      </c>
    </row>
    <row r="991" spans="1:9" ht="15.75" customHeight="1" x14ac:dyDescent="0.2">
      <c r="A991" s="577"/>
      <c r="B991" s="577"/>
      <c r="C991" s="576"/>
      <c r="D991" s="607">
        <v>46480</v>
      </c>
      <c r="E991" s="576" t="s">
        <v>718</v>
      </c>
      <c r="F991" s="576">
        <v>43726899.380000003</v>
      </c>
      <c r="G991" s="588">
        <v>39356.609999999404</v>
      </c>
      <c r="H991" s="576">
        <v>0</v>
      </c>
      <c r="I991" s="589">
        <v>0</v>
      </c>
    </row>
    <row r="992" spans="1:9" ht="15.75" customHeight="1" x14ac:dyDescent="0.2">
      <c r="A992" s="577"/>
      <c r="B992" s="577"/>
      <c r="C992" s="576"/>
      <c r="D992" s="607">
        <v>46481</v>
      </c>
      <c r="E992" s="576" t="s">
        <v>717</v>
      </c>
      <c r="F992" s="576">
        <v>43766255.979999997</v>
      </c>
      <c r="G992" s="588">
        <v>39356.59999999404</v>
      </c>
      <c r="H992" s="576">
        <v>0</v>
      </c>
      <c r="I992" s="589">
        <v>0</v>
      </c>
    </row>
    <row r="993" spans="1:9" ht="15.75" customHeight="1" x14ac:dyDescent="0.2">
      <c r="A993" s="577"/>
      <c r="B993" s="577"/>
      <c r="C993" s="576"/>
      <c r="D993" s="607">
        <v>46482</v>
      </c>
      <c r="E993" s="576" t="s">
        <v>716</v>
      </c>
      <c r="F993" s="576">
        <v>43805612.590000004</v>
      </c>
      <c r="G993" s="588">
        <v>39356.610000006855</v>
      </c>
      <c r="H993" s="576">
        <v>0</v>
      </c>
      <c r="I993" s="589">
        <v>0</v>
      </c>
    </row>
    <row r="994" spans="1:9" ht="15.75" customHeight="1" x14ac:dyDescent="0.2">
      <c r="A994" s="577"/>
      <c r="B994" s="577"/>
      <c r="C994" s="576"/>
      <c r="D994" s="607">
        <v>46483</v>
      </c>
      <c r="E994" s="576" t="s">
        <v>715</v>
      </c>
      <c r="F994" s="576">
        <v>43844969.189999998</v>
      </c>
      <c r="G994" s="588">
        <v>39356.59999999404</v>
      </c>
      <c r="H994" s="576">
        <v>0</v>
      </c>
      <c r="I994" s="589">
        <v>0</v>
      </c>
    </row>
    <row r="995" spans="1:9" ht="15.75" customHeight="1" x14ac:dyDescent="0.2">
      <c r="A995" s="577"/>
      <c r="B995" s="577"/>
      <c r="C995" s="576"/>
      <c r="D995" s="607">
        <v>46484</v>
      </c>
      <c r="E995" s="576" t="s">
        <v>721</v>
      </c>
      <c r="F995" s="576">
        <v>43884325.799999997</v>
      </c>
      <c r="G995" s="588">
        <v>39356.609999999404</v>
      </c>
      <c r="H995" s="576">
        <v>275496.23999999464</v>
      </c>
      <c r="I995" s="589">
        <v>550992.46999999881</v>
      </c>
    </row>
    <row r="996" spans="1:9" ht="15.75" customHeight="1" x14ac:dyDescent="0.2">
      <c r="A996" s="577"/>
      <c r="B996" s="577"/>
      <c r="C996" s="576"/>
      <c r="D996" s="607">
        <v>46485</v>
      </c>
      <c r="E996" s="576" t="s">
        <v>720</v>
      </c>
      <c r="F996" s="576">
        <v>43923682.399999999</v>
      </c>
      <c r="G996" s="588">
        <v>39356.60000000149</v>
      </c>
      <c r="H996" s="576">
        <v>0</v>
      </c>
      <c r="I996" s="589">
        <v>0</v>
      </c>
    </row>
    <row r="997" spans="1:9" ht="15.75" customHeight="1" x14ac:dyDescent="0.2">
      <c r="A997" s="577"/>
      <c r="B997" s="577"/>
      <c r="C997" s="576"/>
      <c r="D997" s="607">
        <v>46486</v>
      </c>
      <c r="E997" s="576" t="s">
        <v>719</v>
      </c>
      <c r="F997" s="576">
        <v>43963039.009999998</v>
      </c>
      <c r="G997" s="588">
        <v>39356.609999999404</v>
      </c>
      <c r="H997" s="576">
        <v>0</v>
      </c>
      <c r="I997" s="589">
        <v>0</v>
      </c>
    </row>
    <row r="998" spans="1:9" ht="15.75" customHeight="1" x14ac:dyDescent="0.2">
      <c r="A998" s="577"/>
      <c r="B998" s="577"/>
      <c r="C998" s="576"/>
      <c r="D998" s="607">
        <v>46487</v>
      </c>
      <c r="E998" s="576" t="s">
        <v>718</v>
      </c>
      <c r="F998" s="576">
        <v>44002395.609999999</v>
      </c>
      <c r="G998" s="588">
        <v>39356.60000000149</v>
      </c>
      <c r="H998" s="576">
        <v>0</v>
      </c>
      <c r="I998" s="589">
        <v>0</v>
      </c>
    </row>
    <row r="999" spans="1:9" ht="15.75" customHeight="1" x14ac:dyDescent="0.2">
      <c r="A999" s="577"/>
      <c r="B999" s="577"/>
      <c r="C999" s="576"/>
      <c r="D999" s="607">
        <v>46488</v>
      </c>
      <c r="E999" s="576" t="s">
        <v>717</v>
      </c>
      <c r="F999" s="576">
        <v>44041752.219999999</v>
      </c>
      <c r="G999" s="588">
        <v>39356.609999999404</v>
      </c>
      <c r="H999" s="576">
        <v>0</v>
      </c>
      <c r="I999" s="589">
        <v>0</v>
      </c>
    </row>
    <row r="1000" spans="1:9" ht="15.75" customHeight="1" x14ac:dyDescent="0.2">
      <c r="A1000" s="577"/>
      <c r="B1000" s="577"/>
      <c r="C1000" s="576"/>
      <c r="D1000" s="607">
        <v>46489</v>
      </c>
      <c r="E1000" s="576" t="s">
        <v>716</v>
      </c>
      <c r="F1000" s="576">
        <v>44081108.82</v>
      </c>
      <c r="G1000" s="588">
        <v>39356.60000000149</v>
      </c>
      <c r="H1000" s="576">
        <v>0</v>
      </c>
      <c r="I1000" s="589">
        <v>0</v>
      </c>
    </row>
    <row r="1001" spans="1:9" ht="15.75" customHeight="1" x14ac:dyDescent="0.2">
      <c r="A1001" s="577"/>
      <c r="B1001" s="577"/>
      <c r="C1001" s="576"/>
      <c r="D1001" s="607">
        <v>46490</v>
      </c>
      <c r="E1001" s="576" t="s">
        <v>715</v>
      </c>
      <c r="F1001" s="576">
        <v>44120465.43</v>
      </c>
      <c r="G1001" s="588">
        <v>39356.609999999404</v>
      </c>
      <c r="H1001" s="576">
        <v>0</v>
      </c>
      <c r="I1001" s="589">
        <v>0</v>
      </c>
    </row>
    <row r="1002" spans="1:9" ht="15.75" customHeight="1" x14ac:dyDescent="0.2">
      <c r="A1002" s="577"/>
      <c r="B1002" s="577"/>
      <c r="C1002" s="576"/>
      <c r="D1002" s="607">
        <v>46491</v>
      </c>
      <c r="E1002" s="576" t="s">
        <v>721</v>
      </c>
      <c r="F1002" s="576">
        <v>44159822.030000001</v>
      </c>
      <c r="G1002" s="588">
        <v>39356.60000000149</v>
      </c>
      <c r="H1002" s="576">
        <v>275496.23000000417</v>
      </c>
      <c r="I1002" s="589">
        <v>0</v>
      </c>
    </row>
    <row r="1003" spans="1:9" ht="15.75" customHeight="1" x14ac:dyDescent="0.2">
      <c r="A1003" s="577"/>
      <c r="B1003" s="577"/>
      <c r="C1003" s="576"/>
      <c r="D1003" s="607">
        <v>46492</v>
      </c>
      <c r="E1003" s="576" t="s">
        <v>720</v>
      </c>
      <c r="F1003" s="576">
        <v>44199178.640000001</v>
      </c>
      <c r="G1003" s="588">
        <v>39356.609999999404</v>
      </c>
      <c r="H1003" s="576">
        <v>0</v>
      </c>
      <c r="I1003" s="589">
        <v>0</v>
      </c>
    </row>
    <row r="1004" spans="1:9" ht="15.75" customHeight="1" x14ac:dyDescent="0.2">
      <c r="A1004" s="577"/>
      <c r="B1004" s="577"/>
      <c r="C1004" s="576"/>
      <c r="D1004" s="607">
        <v>46493</v>
      </c>
      <c r="E1004" s="576" t="s">
        <v>719</v>
      </c>
      <c r="F1004" s="576">
        <v>44238535.240000002</v>
      </c>
      <c r="G1004" s="588">
        <v>39356.60000000149</v>
      </c>
      <c r="H1004" s="576">
        <v>0</v>
      </c>
      <c r="I1004" s="589">
        <v>0</v>
      </c>
    </row>
    <row r="1005" spans="1:9" ht="15.75" customHeight="1" x14ac:dyDescent="0.2">
      <c r="A1005" s="577"/>
      <c r="B1005" s="577"/>
      <c r="C1005" s="576"/>
      <c r="D1005" s="607">
        <v>46494</v>
      </c>
      <c r="E1005" s="576" t="s">
        <v>718</v>
      </c>
      <c r="F1005" s="576">
        <v>44277891.850000001</v>
      </c>
      <c r="G1005" s="588">
        <v>39356.609999999404</v>
      </c>
      <c r="H1005" s="576">
        <v>0</v>
      </c>
      <c r="I1005" s="589">
        <v>0</v>
      </c>
    </row>
    <row r="1006" spans="1:9" ht="15.75" customHeight="1" x14ac:dyDescent="0.2">
      <c r="A1006" s="577"/>
      <c r="B1006" s="577"/>
      <c r="C1006" s="576"/>
      <c r="D1006" s="607">
        <v>46495</v>
      </c>
      <c r="E1006" s="576" t="s">
        <v>717</v>
      </c>
      <c r="F1006" s="576">
        <v>44317248.450000003</v>
      </c>
      <c r="G1006" s="588">
        <v>39356.60000000149</v>
      </c>
      <c r="H1006" s="576">
        <v>0</v>
      </c>
      <c r="I1006" s="589">
        <v>0</v>
      </c>
    </row>
    <row r="1007" spans="1:9" ht="15.75" customHeight="1" x14ac:dyDescent="0.2">
      <c r="A1007" s="577"/>
      <c r="B1007" s="577"/>
      <c r="C1007" s="576"/>
      <c r="D1007" s="607">
        <v>46496</v>
      </c>
      <c r="E1007" s="576" t="s">
        <v>716</v>
      </c>
      <c r="F1007" s="576">
        <v>44356605.060000002</v>
      </c>
      <c r="G1007" s="588">
        <v>39356.609999999404</v>
      </c>
      <c r="H1007" s="576">
        <v>0</v>
      </c>
      <c r="I1007" s="589">
        <v>0</v>
      </c>
    </row>
    <row r="1008" spans="1:9" ht="15.75" customHeight="1" x14ac:dyDescent="0.2">
      <c r="A1008" s="577"/>
      <c r="B1008" s="577"/>
      <c r="C1008" s="576"/>
      <c r="D1008" s="607">
        <v>46497</v>
      </c>
      <c r="E1008" s="576" t="s">
        <v>715</v>
      </c>
      <c r="F1008" s="576">
        <v>44395961.670000002</v>
      </c>
      <c r="G1008" s="588">
        <v>39356.609999999404</v>
      </c>
      <c r="H1008" s="576">
        <v>0</v>
      </c>
      <c r="I1008" s="589">
        <v>0</v>
      </c>
    </row>
    <row r="1009" spans="1:9" ht="15.75" customHeight="1" x14ac:dyDescent="0.2">
      <c r="A1009" s="577"/>
      <c r="B1009" s="577"/>
      <c r="C1009" s="576"/>
      <c r="D1009" s="607">
        <v>46498</v>
      </c>
      <c r="E1009" s="576" t="s">
        <v>721</v>
      </c>
      <c r="F1009" s="576">
        <v>44435318.270000003</v>
      </c>
      <c r="G1009" s="588">
        <v>39356.60000000149</v>
      </c>
      <c r="H1009" s="576">
        <v>275496.24000000209</v>
      </c>
      <c r="I1009" s="589">
        <v>550992.47000000626</v>
      </c>
    </row>
    <row r="1010" spans="1:9" ht="15.75" customHeight="1" x14ac:dyDescent="0.2">
      <c r="A1010" s="577"/>
      <c r="B1010" s="577"/>
      <c r="C1010" s="576"/>
      <c r="D1010" s="607">
        <v>46499</v>
      </c>
      <c r="E1010" s="576" t="s">
        <v>720</v>
      </c>
      <c r="F1010" s="576">
        <v>44474674.880000003</v>
      </c>
      <c r="G1010" s="588">
        <v>39356.609999999404</v>
      </c>
      <c r="H1010" s="576">
        <v>0</v>
      </c>
      <c r="I1010" s="589">
        <v>0</v>
      </c>
    </row>
    <row r="1011" spans="1:9" ht="15.75" customHeight="1" x14ac:dyDescent="0.2">
      <c r="A1011" s="577"/>
      <c r="B1011" s="577"/>
      <c r="C1011" s="576"/>
      <c r="D1011" s="607">
        <v>46500</v>
      </c>
      <c r="E1011" s="576" t="s">
        <v>719</v>
      </c>
      <c r="F1011" s="576">
        <v>44514031.479999997</v>
      </c>
      <c r="G1011" s="588">
        <v>39356.59999999404</v>
      </c>
      <c r="H1011" s="576">
        <v>0</v>
      </c>
      <c r="I1011" s="589">
        <v>0</v>
      </c>
    </row>
    <row r="1012" spans="1:9" ht="15.75" customHeight="1" x14ac:dyDescent="0.2">
      <c r="A1012" s="577"/>
      <c r="B1012" s="577"/>
      <c r="C1012" s="576"/>
      <c r="D1012" s="607">
        <v>46501</v>
      </c>
      <c r="E1012" s="576" t="s">
        <v>718</v>
      </c>
      <c r="F1012" s="576">
        <v>44553388.090000004</v>
      </c>
      <c r="G1012" s="588">
        <v>39356.610000006855</v>
      </c>
      <c r="H1012" s="576">
        <v>0</v>
      </c>
      <c r="I1012" s="589">
        <v>0</v>
      </c>
    </row>
    <row r="1013" spans="1:9" ht="15.75" customHeight="1" x14ac:dyDescent="0.2">
      <c r="A1013" s="577"/>
      <c r="B1013" s="577"/>
      <c r="C1013" s="576"/>
      <c r="D1013" s="607">
        <v>46502</v>
      </c>
      <c r="E1013" s="576" t="s">
        <v>717</v>
      </c>
      <c r="F1013" s="576">
        <v>44592744.689999998</v>
      </c>
      <c r="G1013" s="588">
        <v>39356.59999999404</v>
      </c>
      <c r="H1013" s="576">
        <v>0</v>
      </c>
      <c r="I1013" s="589">
        <v>0</v>
      </c>
    </row>
    <row r="1014" spans="1:9" ht="15.75" customHeight="1" x14ac:dyDescent="0.2">
      <c r="A1014" s="577"/>
      <c r="B1014" s="577"/>
      <c r="C1014" s="576"/>
      <c r="D1014" s="607">
        <v>46503</v>
      </c>
      <c r="E1014" s="576" t="s">
        <v>716</v>
      </c>
      <c r="F1014" s="576">
        <v>44632101.299999997</v>
      </c>
      <c r="G1014" s="588">
        <v>39356.609999999404</v>
      </c>
      <c r="H1014" s="576">
        <v>0</v>
      </c>
      <c r="I1014" s="589">
        <v>0</v>
      </c>
    </row>
    <row r="1015" spans="1:9" ht="15.75" customHeight="1" x14ac:dyDescent="0.2">
      <c r="A1015" s="577"/>
      <c r="B1015" s="577"/>
      <c r="C1015" s="576"/>
      <c r="D1015" s="607">
        <v>46504</v>
      </c>
      <c r="E1015" s="576" t="s">
        <v>715</v>
      </c>
      <c r="F1015" s="576">
        <v>44671457.899999999</v>
      </c>
      <c r="G1015" s="588">
        <v>39356.60000000149</v>
      </c>
      <c r="H1015" s="576">
        <v>0</v>
      </c>
      <c r="I1015" s="589">
        <v>0</v>
      </c>
    </row>
    <row r="1016" spans="1:9" ht="15.75" customHeight="1" x14ac:dyDescent="0.2">
      <c r="A1016" s="577"/>
      <c r="B1016" s="577"/>
      <c r="C1016" s="576"/>
      <c r="D1016" s="607">
        <v>46505</v>
      </c>
      <c r="E1016" s="576" t="s">
        <v>721</v>
      </c>
      <c r="F1016" s="576">
        <v>44710814.509999998</v>
      </c>
      <c r="G1016" s="588">
        <v>39356.609999999404</v>
      </c>
      <c r="H1016" s="576">
        <v>275496.23999999464</v>
      </c>
      <c r="I1016" s="589">
        <v>0</v>
      </c>
    </row>
    <row r="1017" spans="1:9" ht="15.75" customHeight="1" x14ac:dyDescent="0.2">
      <c r="A1017" s="577"/>
      <c r="B1017" s="577"/>
      <c r="C1017" s="576"/>
      <c r="D1017" s="607">
        <v>46506</v>
      </c>
      <c r="E1017" s="576" t="s">
        <v>720</v>
      </c>
      <c r="F1017" s="576">
        <v>44750171.109999999</v>
      </c>
      <c r="G1017" s="588">
        <v>39356.60000000149</v>
      </c>
      <c r="H1017" s="576">
        <v>0</v>
      </c>
      <c r="I1017" s="589">
        <v>0</v>
      </c>
    </row>
    <row r="1018" spans="1:9" ht="15.75" customHeight="1" x14ac:dyDescent="0.2">
      <c r="A1018" s="577"/>
      <c r="B1018" s="577"/>
      <c r="C1018" s="576"/>
      <c r="D1018" s="607">
        <v>46507</v>
      </c>
      <c r="E1018" s="576" t="s">
        <v>719</v>
      </c>
      <c r="F1018" s="576">
        <v>44789527.719999999</v>
      </c>
      <c r="G1018" s="588">
        <v>39356.609999999404</v>
      </c>
      <c r="H1018" s="576">
        <v>0</v>
      </c>
      <c r="I1018" s="589">
        <v>0</v>
      </c>
    </row>
    <row r="1019" spans="1:9" ht="15.75" customHeight="1" x14ac:dyDescent="0.2">
      <c r="A1019" s="577"/>
      <c r="B1019" s="577"/>
      <c r="C1019" s="576"/>
      <c r="D1019" s="607">
        <v>46508</v>
      </c>
      <c r="E1019" s="576" t="s">
        <v>718</v>
      </c>
      <c r="F1019" s="576">
        <v>44828884.32</v>
      </c>
      <c r="G1019" s="588">
        <v>39356.60000000149</v>
      </c>
      <c r="H1019" s="576">
        <v>0</v>
      </c>
      <c r="I1019" s="589">
        <v>0</v>
      </c>
    </row>
    <row r="1020" spans="1:9" ht="15.75" customHeight="1" x14ac:dyDescent="0.2">
      <c r="A1020" s="577"/>
      <c r="B1020" s="577"/>
      <c r="C1020" s="576"/>
      <c r="D1020" s="607">
        <v>46509</v>
      </c>
      <c r="E1020" s="576" t="s">
        <v>717</v>
      </c>
      <c r="F1020" s="576">
        <v>44868240.93</v>
      </c>
      <c r="G1020" s="588">
        <v>39356.609999999404</v>
      </c>
      <c r="H1020" s="576">
        <v>0</v>
      </c>
      <c r="I1020" s="589">
        <v>0</v>
      </c>
    </row>
    <row r="1021" spans="1:9" ht="15.75" customHeight="1" x14ac:dyDescent="0.2">
      <c r="A1021" s="577"/>
      <c r="B1021" s="577"/>
      <c r="C1021" s="576"/>
      <c r="D1021" s="607">
        <v>46510</v>
      </c>
      <c r="E1021" s="576" t="s">
        <v>716</v>
      </c>
      <c r="F1021" s="576">
        <v>44907597.530000001</v>
      </c>
      <c r="G1021" s="588">
        <v>39356.60000000149</v>
      </c>
      <c r="H1021" s="576">
        <v>0</v>
      </c>
      <c r="I1021" s="589">
        <v>0</v>
      </c>
    </row>
    <row r="1022" spans="1:9" ht="15.75" customHeight="1" x14ac:dyDescent="0.2">
      <c r="A1022" s="577"/>
      <c r="B1022" s="577"/>
      <c r="C1022" s="576"/>
      <c r="D1022" s="607">
        <v>46511</v>
      </c>
      <c r="E1022" s="576" t="s">
        <v>715</v>
      </c>
      <c r="F1022" s="576">
        <v>44946954.140000001</v>
      </c>
      <c r="G1022" s="588">
        <v>39356.609999999404</v>
      </c>
      <c r="H1022" s="576">
        <v>0</v>
      </c>
      <c r="I1022" s="589">
        <v>0</v>
      </c>
    </row>
    <row r="1023" spans="1:9" ht="15.75" customHeight="1" x14ac:dyDescent="0.2">
      <c r="A1023" s="577"/>
      <c r="B1023" s="577"/>
      <c r="C1023" s="576"/>
      <c r="D1023" s="607">
        <v>46512</v>
      </c>
      <c r="E1023" s="576" t="s">
        <v>721</v>
      </c>
      <c r="F1023" s="576">
        <v>44986310.740000002</v>
      </c>
      <c r="G1023" s="588">
        <v>39356.60000000149</v>
      </c>
      <c r="H1023" s="576">
        <v>275496.23000000417</v>
      </c>
      <c r="I1023" s="589">
        <v>550992.46999999881</v>
      </c>
    </row>
    <row r="1024" spans="1:9" ht="15.75" customHeight="1" x14ac:dyDescent="0.2">
      <c r="A1024" s="577"/>
      <c r="B1024" s="577"/>
      <c r="C1024" s="576"/>
      <c r="D1024" s="607">
        <v>46513</v>
      </c>
      <c r="E1024" s="576" t="s">
        <v>720</v>
      </c>
      <c r="F1024" s="576">
        <v>45025667.350000001</v>
      </c>
      <c r="G1024" s="588">
        <v>39356.609999999404</v>
      </c>
      <c r="H1024" s="576">
        <v>0</v>
      </c>
      <c r="I1024" s="589">
        <v>0</v>
      </c>
    </row>
    <row r="1025" spans="1:9" ht="15.75" customHeight="1" x14ac:dyDescent="0.2">
      <c r="A1025" s="577"/>
      <c r="B1025" s="577"/>
      <c r="C1025" s="576"/>
      <c r="D1025" s="607">
        <v>46514</v>
      </c>
      <c r="E1025" s="576" t="s">
        <v>719</v>
      </c>
      <c r="F1025" s="576">
        <v>45065023.950000003</v>
      </c>
      <c r="G1025" s="588">
        <v>39356.60000000149</v>
      </c>
      <c r="H1025" s="576">
        <v>0</v>
      </c>
      <c r="I1025" s="589">
        <v>0</v>
      </c>
    </row>
    <row r="1026" spans="1:9" ht="15.75" customHeight="1" x14ac:dyDescent="0.2">
      <c r="A1026" s="577"/>
      <c r="B1026" s="577"/>
      <c r="C1026" s="576"/>
      <c r="D1026" s="607">
        <v>46515</v>
      </c>
      <c r="E1026" s="576" t="s">
        <v>718</v>
      </c>
      <c r="F1026" s="576">
        <v>45104380.560000002</v>
      </c>
      <c r="G1026" s="588">
        <v>39356.609999999404</v>
      </c>
      <c r="H1026" s="576">
        <v>0</v>
      </c>
      <c r="I1026" s="589">
        <v>0</v>
      </c>
    </row>
    <row r="1027" spans="1:9" ht="15.75" customHeight="1" x14ac:dyDescent="0.2">
      <c r="A1027" s="577"/>
      <c r="B1027" s="577"/>
      <c r="C1027" s="576"/>
      <c r="D1027" s="607">
        <v>46516</v>
      </c>
      <c r="E1027" s="576" t="s">
        <v>717</v>
      </c>
      <c r="F1027" s="576">
        <v>45143737.159999996</v>
      </c>
      <c r="G1027" s="588">
        <v>39356.59999999404</v>
      </c>
      <c r="H1027" s="576">
        <v>0</v>
      </c>
      <c r="I1027" s="589">
        <v>0</v>
      </c>
    </row>
    <row r="1028" spans="1:9" ht="15.75" customHeight="1" x14ac:dyDescent="0.2">
      <c r="A1028" s="577"/>
      <c r="B1028" s="577"/>
      <c r="C1028" s="576"/>
      <c r="D1028" s="607">
        <v>46517</v>
      </c>
      <c r="E1028" s="576" t="s">
        <v>716</v>
      </c>
      <c r="F1028" s="576">
        <v>45183093.770000003</v>
      </c>
      <c r="G1028" s="588">
        <v>39356.610000006855</v>
      </c>
      <c r="H1028" s="576">
        <v>0</v>
      </c>
      <c r="I1028" s="589">
        <v>0</v>
      </c>
    </row>
    <row r="1029" spans="1:9" ht="15.75" customHeight="1" x14ac:dyDescent="0.2">
      <c r="A1029" s="577"/>
      <c r="B1029" s="577"/>
      <c r="C1029" s="576"/>
      <c r="D1029" s="607">
        <v>46518</v>
      </c>
      <c r="E1029" s="576" t="s">
        <v>715</v>
      </c>
      <c r="F1029" s="576">
        <v>45222450.369999997</v>
      </c>
      <c r="G1029" s="588">
        <v>39356.59999999404</v>
      </c>
      <c r="H1029" s="576">
        <v>0</v>
      </c>
      <c r="I1029" s="589">
        <v>0</v>
      </c>
    </row>
    <row r="1030" spans="1:9" ht="15.75" customHeight="1" x14ac:dyDescent="0.2">
      <c r="A1030" s="577"/>
      <c r="B1030" s="577"/>
      <c r="C1030" s="576"/>
      <c r="D1030" s="607">
        <v>46519</v>
      </c>
      <c r="E1030" s="576" t="s">
        <v>721</v>
      </c>
      <c r="F1030" s="576">
        <v>45261806.979999997</v>
      </c>
      <c r="G1030" s="588">
        <v>39356.609999999404</v>
      </c>
      <c r="H1030" s="576">
        <v>275496.23999999464</v>
      </c>
      <c r="I1030" s="589">
        <v>0</v>
      </c>
    </row>
    <row r="1031" spans="1:9" ht="15.75" customHeight="1" x14ac:dyDescent="0.2">
      <c r="A1031" s="577"/>
      <c r="B1031" s="577"/>
      <c r="C1031" s="576"/>
      <c r="D1031" s="607">
        <v>46520</v>
      </c>
      <c r="E1031" s="576" t="s">
        <v>720</v>
      </c>
      <c r="F1031" s="576">
        <v>45301163.579999998</v>
      </c>
      <c r="G1031" s="588">
        <v>39356.60000000149</v>
      </c>
      <c r="H1031" s="576">
        <v>0</v>
      </c>
      <c r="I1031" s="589">
        <v>0</v>
      </c>
    </row>
    <row r="1032" spans="1:9" ht="15.75" customHeight="1" x14ac:dyDescent="0.2">
      <c r="A1032" s="577"/>
      <c r="B1032" s="577"/>
      <c r="C1032" s="576"/>
      <c r="D1032" s="607">
        <v>46521</v>
      </c>
      <c r="E1032" s="576" t="s">
        <v>719</v>
      </c>
      <c r="F1032" s="576">
        <v>45340520.189999998</v>
      </c>
      <c r="G1032" s="588">
        <v>39356.609999999404</v>
      </c>
      <c r="H1032" s="576">
        <v>0</v>
      </c>
      <c r="I1032" s="589">
        <v>0</v>
      </c>
    </row>
    <row r="1033" spans="1:9" ht="15.75" customHeight="1" x14ac:dyDescent="0.2">
      <c r="A1033" s="577"/>
      <c r="B1033" s="577"/>
      <c r="C1033" s="576"/>
      <c r="D1033" s="607">
        <v>46522</v>
      </c>
      <c r="E1033" s="576" t="s">
        <v>718</v>
      </c>
      <c r="F1033" s="576">
        <v>45379876.789999999</v>
      </c>
      <c r="G1033" s="588">
        <v>39356.60000000149</v>
      </c>
      <c r="H1033" s="576">
        <v>0</v>
      </c>
      <c r="I1033" s="589">
        <v>0</v>
      </c>
    </row>
    <row r="1034" spans="1:9" ht="15.75" customHeight="1" x14ac:dyDescent="0.2">
      <c r="A1034" s="577"/>
      <c r="B1034" s="577"/>
      <c r="C1034" s="576"/>
      <c r="D1034" s="607">
        <v>46523</v>
      </c>
      <c r="E1034" s="576" t="s">
        <v>717</v>
      </c>
      <c r="F1034" s="576">
        <v>45419233.399999999</v>
      </c>
      <c r="G1034" s="588">
        <v>39356.609999999404</v>
      </c>
      <c r="H1034" s="576">
        <v>0</v>
      </c>
      <c r="I1034" s="589">
        <v>0</v>
      </c>
    </row>
    <row r="1035" spans="1:9" ht="15.75" customHeight="1" x14ac:dyDescent="0.2">
      <c r="A1035" s="577"/>
      <c r="B1035" s="577"/>
      <c r="C1035" s="576"/>
      <c r="D1035" s="607">
        <v>46524</v>
      </c>
      <c r="E1035" s="576" t="s">
        <v>716</v>
      </c>
      <c r="F1035" s="576">
        <v>45458590</v>
      </c>
      <c r="G1035" s="588">
        <v>39356.60000000149</v>
      </c>
      <c r="H1035" s="576">
        <v>0</v>
      </c>
      <c r="I1035" s="589">
        <v>0</v>
      </c>
    </row>
    <row r="1036" spans="1:9" ht="15.75" customHeight="1" x14ac:dyDescent="0.2">
      <c r="A1036" s="577"/>
      <c r="B1036" s="577"/>
      <c r="C1036" s="576"/>
      <c r="D1036" s="607">
        <v>46525</v>
      </c>
      <c r="E1036" s="576" t="s">
        <v>715</v>
      </c>
      <c r="F1036" s="576">
        <v>45497946.609999999</v>
      </c>
      <c r="G1036" s="588">
        <v>39356.609999999404</v>
      </c>
      <c r="H1036" s="576">
        <v>0</v>
      </c>
      <c r="I1036" s="589">
        <v>0</v>
      </c>
    </row>
    <row r="1037" spans="1:9" ht="15.75" customHeight="1" x14ac:dyDescent="0.2">
      <c r="A1037" s="577"/>
      <c r="B1037" s="577"/>
      <c r="C1037" s="576"/>
      <c r="D1037" s="607">
        <v>46526</v>
      </c>
      <c r="E1037" s="576" t="s">
        <v>721</v>
      </c>
      <c r="F1037" s="576">
        <v>45537303.210000001</v>
      </c>
      <c r="G1037" s="588">
        <v>39356.60000000149</v>
      </c>
      <c r="H1037" s="576">
        <v>275496.23000000417</v>
      </c>
      <c r="I1037" s="589">
        <v>550992.46999999881</v>
      </c>
    </row>
    <row r="1038" spans="1:9" ht="15.75" customHeight="1" x14ac:dyDescent="0.2">
      <c r="A1038" s="577"/>
      <c r="B1038" s="577"/>
      <c r="C1038" s="576"/>
      <c r="D1038" s="607">
        <v>46527</v>
      </c>
      <c r="E1038" s="576" t="s">
        <v>720</v>
      </c>
      <c r="F1038" s="576">
        <v>45576659.82</v>
      </c>
      <c r="G1038" s="588">
        <v>39356.609999999404</v>
      </c>
      <c r="H1038" s="576">
        <v>0</v>
      </c>
      <c r="I1038" s="589">
        <v>0</v>
      </c>
    </row>
    <row r="1039" spans="1:9" ht="15.75" customHeight="1" x14ac:dyDescent="0.2">
      <c r="A1039" s="577"/>
      <c r="B1039" s="577"/>
      <c r="C1039" s="576"/>
      <c r="D1039" s="607">
        <v>46528</v>
      </c>
      <c r="E1039" s="576" t="s">
        <v>719</v>
      </c>
      <c r="F1039" s="576">
        <v>45616016.420000002</v>
      </c>
      <c r="G1039" s="588">
        <v>39356.60000000149</v>
      </c>
      <c r="H1039" s="576">
        <v>0</v>
      </c>
      <c r="I1039" s="589">
        <v>0</v>
      </c>
    </row>
    <row r="1040" spans="1:9" ht="15.75" customHeight="1" x14ac:dyDescent="0.2">
      <c r="A1040" s="577"/>
      <c r="B1040" s="577"/>
      <c r="C1040" s="576"/>
      <c r="D1040" s="607">
        <v>46529</v>
      </c>
      <c r="E1040" s="576" t="s">
        <v>718</v>
      </c>
      <c r="F1040" s="576">
        <v>45655373.030000001</v>
      </c>
      <c r="G1040" s="588">
        <v>39356.609999999404</v>
      </c>
      <c r="H1040" s="576">
        <v>0</v>
      </c>
      <c r="I1040" s="589">
        <v>0</v>
      </c>
    </row>
    <row r="1041" spans="1:9" ht="15.75" customHeight="1" x14ac:dyDescent="0.2">
      <c r="A1041" s="577"/>
      <c r="B1041" s="577"/>
      <c r="C1041" s="576"/>
      <c r="D1041" s="607">
        <v>46530</v>
      </c>
      <c r="E1041" s="576" t="s">
        <v>717</v>
      </c>
      <c r="F1041" s="576">
        <v>45694729.630000003</v>
      </c>
      <c r="G1041" s="588">
        <v>39356.60000000149</v>
      </c>
      <c r="H1041" s="576">
        <v>0</v>
      </c>
      <c r="I1041" s="589">
        <v>0</v>
      </c>
    </row>
    <row r="1042" spans="1:9" ht="15.75" customHeight="1" x14ac:dyDescent="0.2">
      <c r="A1042" s="577"/>
      <c r="B1042" s="577"/>
      <c r="C1042" s="576"/>
      <c r="D1042" s="607">
        <v>46531</v>
      </c>
      <c r="E1042" s="576" t="s">
        <v>716</v>
      </c>
      <c r="F1042" s="576">
        <v>45734086.240000002</v>
      </c>
      <c r="G1042" s="588">
        <v>39356.609999999404</v>
      </c>
      <c r="H1042" s="576">
        <v>0</v>
      </c>
      <c r="I1042" s="589">
        <v>0</v>
      </c>
    </row>
    <row r="1043" spans="1:9" ht="15.75" customHeight="1" x14ac:dyDescent="0.2">
      <c r="A1043" s="577"/>
      <c r="B1043" s="577"/>
      <c r="C1043" s="576"/>
      <c r="D1043" s="607">
        <v>46532</v>
      </c>
      <c r="E1043" s="576" t="s">
        <v>715</v>
      </c>
      <c r="F1043" s="576">
        <v>45773442.840000004</v>
      </c>
      <c r="G1043" s="588">
        <v>39356.60000000149</v>
      </c>
      <c r="H1043" s="576">
        <v>0</v>
      </c>
      <c r="I1043" s="589">
        <v>0</v>
      </c>
    </row>
    <row r="1044" spans="1:9" ht="15.75" customHeight="1" x14ac:dyDescent="0.2">
      <c r="A1044" s="577"/>
      <c r="B1044" s="577"/>
      <c r="C1044" s="576"/>
      <c r="D1044" s="607">
        <v>46533</v>
      </c>
      <c r="E1044" s="576" t="s">
        <v>721</v>
      </c>
      <c r="F1044" s="576">
        <v>45812799.450000003</v>
      </c>
      <c r="G1044" s="588">
        <v>39356.609999999404</v>
      </c>
      <c r="H1044" s="576">
        <v>275496.24000000209</v>
      </c>
      <c r="I1044" s="589">
        <v>0</v>
      </c>
    </row>
    <row r="1045" spans="1:9" ht="15.75" customHeight="1" x14ac:dyDescent="0.2">
      <c r="A1045" s="577"/>
      <c r="B1045" s="577"/>
      <c r="C1045" s="576"/>
      <c r="D1045" s="607">
        <v>46534</v>
      </c>
      <c r="E1045" s="576" t="s">
        <v>720</v>
      </c>
      <c r="F1045" s="576">
        <v>45852156.049999997</v>
      </c>
      <c r="G1045" s="588">
        <v>39356.59999999404</v>
      </c>
      <c r="H1045" s="576">
        <v>0</v>
      </c>
      <c r="I1045" s="589">
        <v>0</v>
      </c>
    </row>
    <row r="1046" spans="1:9" ht="15.75" customHeight="1" x14ac:dyDescent="0.2">
      <c r="A1046" s="577"/>
      <c r="B1046" s="577"/>
      <c r="C1046" s="576"/>
      <c r="D1046" s="607">
        <v>46535</v>
      </c>
      <c r="E1046" s="576" t="s">
        <v>719</v>
      </c>
      <c r="F1046" s="576">
        <v>45891512.659999996</v>
      </c>
      <c r="G1046" s="588">
        <v>39356.609999999404</v>
      </c>
      <c r="H1046" s="576">
        <v>0</v>
      </c>
      <c r="I1046" s="589">
        <v>0</v>
      </c>
    </row>
    <row r="1047" spans="1:9" ht="15.75" customHeight="1" x14ac:dyDescent="0.2">
      <c r="A1047" s="577"/>
      <c r="B1047" s="577"/>
      <c r="C1047" s="576"/>
      <c r="D1047" s="607">
        <v>46536</v>
      </c>
      <c r="E1047" s="576" t="s">
        <v>718</v>
      </c>
      <c r="F1047" s="576">
        <v>45930869.259999998</v>
      </c>
      <c r="G1047" s="588">
        <v>39356.60000000149</v>
      </c>
      <c r="H1047" s="576">
        <v>0</v>
      </c>
      <c r="I1047" s="589">
        <v>0</v>
      </c>
    </row>
    <row r="1048" spans="1:9" ht="15.75" customHeight="1" x14ac:dyDescent="0.2">
      <c r="A1048" s="577"/>
      <c r="B1048" s="577"/>
      <c r="C1048" s="576"/>
      <c r="D1048" s="607">
        <v>46537</v>
      </c>
      <c r="E1048" s="576" t="s">
        <v>717</v>
      </c>
      <c r="F1048" s="576">
        <v>45970225.869999997</v>
      </c>
      <c r="G1048" s="588">
        <v>39356.609999999404</v>
      </c>
      <c r="H1048" s="576">
        <v>0</v>
      </c>
      <c r="I1048" s="589">
        <v>0</v>
      </c>
    </row>
    <row r="1049" spans="1:9" ht="15.75" customHeight="1" x14ac:dyDescent="0.2">
      <c r="A1049" s="577"/>
      <c r="B1049" s="577"/>
      <c r="C1049" s="576"/>
      <c r="D1049" s="607">
        <v>46538</v>
      </c>
      <c r="E1049" s="576" t="s">
        <v>716</v>
      </c>
      <c r="F1049" s="576">
        <v>46009582.469999999</v>
      </c>
      <c r="G1049" s="588">
        <v>39356.60000000149</v>
      </c>
      <c r="H1049" s="576">
        <v>0</v>
      </c>
      <c r="I1049" s="589">
        <v>0</v>
      </c>
    </row>
    <row r="1050" spans="1:9" ht="15.75" customHeight="1" x14ac:dyDescent="0.2">
      <c r="A1050" s="577"/>
      <c r="B1050" s="577"/>
      <c r="C1050" s="576"/>
      <c r="D1050" s="607">
        <v>46539</v>
      </c>
      <c r="E1050" s="576" t="s">
        <v>715</v>
      </c>
      <c r="F1050" s="576">
        <v>46048939.079999998</v>
      </c>
      <c r="G1050" s="588">
        <v>39356.609999999404</v>
      </c>
      <c r="H1050" s="576">
        <v>0</v>
      </c>
      <c r="I1050" s="589">
        <v>0</v>
      </c>
    </row>
    <row r="1051" spans="1:9" ht="15.75" customHeight="1" x14ac:dyDescent="0.2">
      <c r="A1051" s="577"/>
      <c r="B1051" s="577"/>
      <c r="C1051" s="576"/>
      <c r="D1051" s="607">
        <v>46540</v>
      </c>
      <c r="E1051" s="576" t="s">
        <v>721</v>
      </c>
      <c r="F1051" s="576">
        <v>46088295.68</v>
      </c>
      <c r="G1051" s="588">
        <v>39356.60000000149</v>
      </c>
      <c r="H1051" s="576">
        <v>275496.22999999672</v>
      </c>
      <c r="I1051" s="589">
        <v>550992.46999999881</v>
      </c>
    </row>
    <row r="1052" spans="1:9" ht="15.75" customHeight="1" x14ac:dyDescent="0.2">
      <c r="A1052" s="577"/>
      <c r="B1052" s="577"/>
      <c r="C1052" s="576"/>
      <c r="D1052" s="607">
        <v>46541</v>
      </c>
      <c r="E1052" s="576" t="s">
        <v>720</v>
      </c>
      <c r="F1052" s="576">
        <v>46127652.289999999</v>
      </c>
      <c r="G1052" s="588">
        <v>39356.609999999404</v>
      </c>
      <c r="H1052" s="576">
        <v>0</v>
      </c>
      <c r="I1052" s="589">
        <v>0</v>
      </c>
    </row>
    <row r="1053" spans="1:9" ht="15.75" customHeight="1" x14ac:dyDescent="0.2">
      <c r="A1053" s="577"/>
      <c r="B1053" s="577"/>
      <c r="C1053" s="576"/>
      <c r="D1053" s="607">
        <v>46542</v>
      </c>
      <c r="E1053" s="576" t="s">
        <v>719</v>
      </c>
      <c r="F1053" s="576">
        <v>46167008.890000001</v>
      </c>
      <c r="G1053" s="588">
        <v>39356.60000000149</v>
      </c>
      <c r="H1053" s="576">
        <v>0</v>
      </c>
      <c r="I1053" s="589">
        <v>0</v>
      </c>
    </row>
    <row r="1054" spans="1:9" ht="15.75" customHeight="1" x14ac:dyDescent="0.2">
      <c r="A1054" s="577"/>
      <c r="B1054" s="577"/>
      <c r="C1054" s="576"/>
      <c r="D1054" s="607">
        <v>46543</v>
      </c>
      <c r="E1054" s="576" t="s">
        <v>718</v>
      </c>
      <c r="F1054" s="576">
        <v>46206365.5</v>
      </c>
      <c r="G1054" s="588">
        <v>39356.609999999404</v>
      </c>
      <c r="H1054" s="576">
        <v>0</v>
      </c>
      <c r="I1054" s="589">
        <v>0</v>
      </c>
    </row>
    <row r="1055" spans="1:9" ht="15.75" customHeight="1" x14ac:dyDescent="0.2">
      <c r="A1055" s="577"/>
      <c r="B1055" s="577"/>
      <c r="C1055" s="576"/>
      <c r="D1055" s="607">
        <v>46544</v>
      </c>
      <c r="E1055" s="576" t="s">
        <v>717</v>
      </c>
      <c r="F1055" s="576">
        <v>46245722.100000001</v>
      </c>
      <c r="G1055" s="588">
        <v>39356.60000000149</v>
      </c>
      <c r="H1055" s="576">
        <v>0</v>
      </c>
      <c r="I1055" s="589">
        <v>0</v>
      </c>
    </row>
    <row r="1056" spans="1:9" ht="15.75" customHeight="1" x14ac:dyDescent="0.2">
      <c r="A1056" s="577"/>
      <c r="B1056" s="577"/>
      <c r="C1056" s="576"/>
      <c r="D1056" s="607">
        <v>46545</v>
      </c>
      <c r="E1056" s="576" t="s">
        <v>716</v>
      </c>
      <c r="F1056" s="576">
        <v>46285078.710000001</v>
      </c>
      <c r="G1056" s="588">
        <v>39356.609999999404</v>
      </c>
      <c r="H1056" s="576">
        <v>0</v>
      </c>
      <c r="I1056" s="589">
        <v>0</v>
      </c>
    </row>
    <row r="1057" spans="1:9" ht="15.75" customHeight="1" x14ac:dyDescent="0.2">
      <c r="A1057" s="577"/>
      <c r="B1057" s="577"/>
      <c r="C1057" s="576"/>
      <c r="D1057" s="607">
        <v>46546</v>
      </c>
      <c r="E1057" s="576" t="s">
        <v>715</v>
      </c>
      <c r="F1057" s="576">
        <v>46324435.310000002</v>
      </c>
      <c r="G1057" s="588">
        <v>39356.60000000149</v>
      </c>
      <c r="H1057" s="576">
        <v>0</v>
      </c>
      <c r="I1057" s="589">
        <v>0</v>
      </c>
    </row>
    <row r="1058" spans="1:9" ht="15.75" customHeight="1" x14ac:dyDescent="0.2">
      <c r="A1058" s="577"/>
      <c r="B1058" s="577"/>
      <c r="C1058" s="576"/>
      <c r="D1058" s="607">
        <v>46547</v>
      </c>
      <c r="E1058" s="576" t="s">
        <v>721</v>
      </c>
      <c r="F1058" s="576">
        <v>46363791.920000002</v>
      </c>
      <c r="G1058" s="588">
        <v>39356.609999999404</v>
      </c>
      <c r="H1058" s="576">
        <v>275496.24000000209</v>
      </c>
      <c r="I1058" s="589">
        <v>0</v>
      </c>
    </row>
    <row r="1059" spans="1:9" ht="15.75" customHeight="1" x14ac:dyDescent="0.2">
      <c r="A1059" s="577"/>
      <c r="B1059" s="577"/>
      <c r="C1059" s="576"/>
      <c r="D1059" s="607">
        <v>46548</v>
      </c>
      <c r="E1059" s="576" t="s">
        <v>720</v>
      </c>
      <c r="F1059" s="576">
        <v>46403148.520000003</v>
      </c>
      <c r="G1059" s="588">
        <v>39356.60000000149</v>
      </c>
      <c r="H1059" s="576">
        <v>0</v>
      </c>
      <c r="I1059" s="589">
        <v>0</v>
      </c>
    </row>
    <row r="1060" spans="1:9" ht="15.75" customHeight="1" x14ac:dyDescent="0.2">
      <c r="A1060" s="577"/>
      <c r="B1060" s="577"/>
      <c r="C1060" s="576"/>
      <c r="D1060" s="607">
        <v>46549</v>
      </c>
      <c r="E1060" s="576" t="s">
        <v>719</v>
      </c>
      <c r="F1060" s="576">
        <v>46442505.130000003</v>
      </c>
      <c r="G1060" s="588">
        <v>39356.609999999404</v>
      </c>
      <c r="H1060" s="576">
        <v>0</v>
      </c>
      <c r="I1060" s="589">
        <v>0</v>
      </c>
    </row>
    <row r="1061" spans="1:9" ht="15.75" customHeight="1" x14ac:dyDescent="0.2">
      <c r="A1061" s="577"/>
      <c r="B1061" s="577"/>
      <c r="C1061" s="576"/>
      <c r="D1061" s="607">
        <v>46550</v>
      </c>
      <c r="E1061" s="576" t="s">
        <v>718</v>
      </c>
      <c r="F1061" s="576">
        <v>46481861.729999997</v>
      </c>
      <c r="G1061" s="588">
        <v>39356.59999999404</v>
      </c>
      <c r="H1061" s="576">
        <v>0</v>
      </c>
      <c r="I1061" s="589">
        <v>0</v>
      </c>
    </row>
    <row r="1062" spans="1:9" ht="15.75" customHeight="1" x14ac:dyDescent="0.2">
      <c r="A1062" s="577"/>
      <c r="B1062" s="577"/>
      <c r="C1062" s="576"/>
      <c r="D1062" s="607">
        <v>46551</v>
      </c>
      <c r="E1062" s="576" t="s">
        <v>717</v>
      </c>
      <c r="F1062" s="576">
        <v>46521218.340000004</v>
      </c>
      <c r="G1062" s="588">
        <v>39356.610000006855</v>
      </c>
      <c r="H1062" s="576">
        <v>0</v>
      </c>
      <c r="I1062" s="589">
        <v>0</v>
      </c>
    </row>
    <row r="1063" spans="1:9" ht="15.75" customHeight="1" x14ac:dyDescent="0.2">
      <c r="A1063" s="577"/>
      <c r="B1063" s="577"/>
      <c r="C1063" s="576"/>
      <c r="D1063" s="607">
        <v>46552</v>
      </c>
      <c r="E1063" s="576" t="s">
        <v>716</v>
      </c>
      <c r="F1063" s="576">
        <v>46560574.939999998</v>
      </c>
      <c r="G1063" s="588">
        <v>39356.59999999404</v>
      </c>
      <c r="H1063" s="576">
        <v>0</v>
      </c>
      <c r="I1063" s="589">
        <v>0</v>
      </c>
    </row>
    <row r="1064" spans="1:9" ht="15.75" customHeight="1" x14ac:dyDescent="0.2">
      <c r="A1064" s="577"/>
      <c r="B1064" s="577"/>
      <c r="C1064" s="576"/>
      <c r="D1064" s="607">
        <v>46553</v>
      </c>
      <c r="E1064" s="576" t="s">
        <v>715</v>
      </c>
      <c r="F1064" s="576">
        <v>46599931.549999997</v>
      </c>
      <c r="G1064" s="588">
        <v>39356.609999999404</v>
      </c>
      <c r="H1064" s="576">
        <v>0</v>
      </c>
      <c r="I1064" s="589">
        <v>0</v>
      </c>
    </row>
    <row r="1065" spans="1:9" ht="15.75" customHeight="1" x14ac:dyDescent="0.2">
      <c r="A1065" s="577"/>
      <c r="B1065" s="577"/>
      <c r="C1065" s="576"/>
      <c r="D1065" s="607">
        <v>46554</v>
      </c>
      <c r="E1065" s="576" t="s">
        <v>721</v>
      </c>
      <c r="F1065" s="576">
        <v>46639288.149999999</v>
      </c>
      <c r="G1065" s="588">
        <v>39356.60000000149</v>
      </c>
      <c r="H1065" s="576">
        <v>275496.22999999672</v>
      </c>
      <c r="I1065" s="589">
        <v>550992.46999999881</v>
      </c>
    </row>
    <row r="1066" spans="1:9" ht="15.75" customHeight="1" x14ac:dyDescent="0.2">
      <c r="A1066" s="577"/>
      <c r="B1066" s="577"/>
      <c r="C1066" s="576"/>
      <c r="D1066" s="607">
        <v>46555</v>
      </c>
      <c r="E1066" s="576" t="s">
        <v>720</v>
      </c>
      <c r="F1066" s="576">
        <v>46678644.759999998</v>
      </c>
      <c r="G1066" s="588">
        <v>39356.609999999404</v>
      </c>
      <c r="H1066" s="576">
        <v>0</v>
      </c>
      <c r="I1066" s="589">
        <v>0</v>
      </c>
    </row>
    <row r="1067" spans="1:9" ht="15.75" customHeight="1" x14ac:dyDescent="0.2">
      <c r="A1067" s="577"/>
      <c r="B1067" s="577"/>
      <c r="C1067" s="576"/>
      <c r="D1067" s="607">
        <v>46556</v>
      </c>
      <c r="E1067" s="576" t="s">
        <v>719</v>
      </c>
      <c r="F1067" s="576">
        <v>46718001.359999999</v>
      </c>
      <c r="G1067" s="588">
        <v>39356.60000000149</v>
      </c>
      <c r="H1067" s="576">
        <v>0</v>
      </c>
      <c r="I1067" s="589">
        <v>0</v>
      </c>
    </row>
    <row r="1068" spans="1:9" ht="15.75" customHeight="1" x14ac:dyDescent="0.2">
      <c r="A1068" s="577"/>
      <c r="B1068" s="577"/>
      <c r="C1068" s="576"/>
      <c r="D1068" s="607">
        <v>46557</v>
      </c>
      <c r="E1068" s="576" t="s">
        <v>718</v>
      </c>
      <c r="F1068" s="576">
        <v>46757357.969999999</v>
      </c>
      <c r="G1068" s="588">
        <v>39356.609999999404</v>
      </c>
      <c r="H1068" s="576">
        <v>0</v>
      </c>
      <c r="I1068" s="589">
        <v>0</v>
      </c>
    </row>
    <row r="1069" spans="1:9" ht="15.75" customHeight="1" x14ac:dyDescent="0.2">
      <c r="A1069" s="577"/>
      <c r="B1069" s="577"/>
      <c r="C1069" s="576"/>
      <c r="D1069" s="607">
        <v>46558</v>
      </c>
      <c r="E1069" s="576" t="s">
        <v>717</v>
      </c>
      <c r="F1069" s="576">
        <v>46796714.57</v>
      </c>
      <c r="G1069" s="588">
        <v>39356.60000000149</v>
      </c>
      <c r="H1069" s="576">
        <v>0</v>
      </c>
      <c r="I1069" s="589">
        <v>0</v>
      </c>
    </row>
    <row r="1070" spans="1:9" ht="15.75" customHeight="1" x14ac:dyDescent="0.2">
      <c r="A1070" s="577"/>
      <c r="B1070" s="577"/>
      <c r="C1070" s="576"/>
      <c r="D1070" s="607">
        <v>46559</v>
      </c>
      <c r="E1070" s="576" t="s">
        <v>716</v>
      </c>
      <c r="F1070" s="576">
        <v>46836071.18</v>
      </c>
      <c r="G1070" s="588">
        <v>39356.609999999404</v>
      </c>
      <c r="H1070" s="576">
        <v>0</v>
      </c>
      <c r="I1070" s="589">
        <v>0</v>
      </c>
    </row>
    <row r="1071" spans="1:9" ht="15.75" customHeight="1" x14ac:dyDescent="0.2">
      <c r="A1071" s="577"/>
      <c r="B1071" s="577"/>
      <c r="C1071" s="576"/>
      <c r="D1071" s="607">
        <v>46560</v>
      </c>
      <c r="E1071" s="576" t="s">
        <v>715</v>
      </c>
      <c r="F1071" s="576">
        <v>46875427.780000001</v>
      </c>
      <c r="G1071" s="588">
        <v>39356.60000000149</v>
      </c>
      <c r="H1071" s="576">
        <v>0</v>
      </c>
      <c r="I1071" s="589">
        <v>0</v>
      </c>
    </row>
    <row r="1072" spans="1:9" ht="15.75" customHeight="1" x14ac:dyDescent="0.2">
      <c r="A1072" s="577"/>
      <c r="B1072" s="577"/>
      <c r="C1072" s="576"/>
      <c r="D1072" s="607">
        <v>46561</v>
      </c>
      <c r="E1072" s="576" t="s">
        <v>721</v>
      </c>
      <c r="F1072" s="576">
        <v>46914784.390000001</v>
      </c>
      <c r="G1072" s="588">
        <v>39356.609999999404</v>
      </c>
      <c r="H1072" s="576">
        <v>275496.24000000209</v>
      </c>
      <c r="I1072" s="589">
        <v>0</v>
      </c>
    </row>
    <row r="1073" spans="1:9" ht="15.75" customHeight="1" x14ac:dyDescent="0.2">
      <c r="A1073" s="577"/>
      <c r="B1073" s="577"/>
      <c r="C1073" s="576"/>
      <c r="D1073" s="607">
        <v>46562</v>
      </c>
      <c r="E1073" s="576" t="s">
        <v>720</v>
      </c>
      <c r="F1073" s="576">
        <v>46954140.990000002</v>
      </c>
      <c r="G1073" s="588">
        <v>39356.60000000149</v>
      </c>
      <c r="H1073" s="576">
        <v>0</v>
      </c>
      <c r="I1073" s="589">
        <v>0</v>
      </c>
    </row>
    <row r="1074" spans="1:9" ht="15.75" customHeight="1" x14ac:dyDescent="0.2">
      <c r="A1074" s="577"/>
      <c r="B1074" s="577"/>
      <c r="C1074" s="576"/>
      <c r="D1074" s="607">
        <v>46563</v>
      </c>
      <c r="E1074" s="576" t="s">
        <v>719</v>
      </c>
      <c r="F1074" s="576">
        <v>46993497.600000001</v>
      </c>
      <c r="G1074" s="588">
        <v>39356.609999999404</v>
      </c>
      <c r="H1074" s="576">
        <v>0</v>
      </c>
      <c r="I1074" s="589">
        <v>0</v>
      </c>
    </row>
    <row r="1075" spans="1:9" ht="15.75" customHeight="1" x14ac:dyDescent="0.2">
      <c r="A1075" s="577"/>
      <c r="B1075" s="577"/>
      <c r="C1075" s="576"/>
      <c r="D1075" s="607">
        <v>46564</v>
      </c>
      <c r="E1075" s="576" t="s">
        <v>718</v>
      </c>
      <c r="F1075" s="576">
        <v>47032854.200000003</v>
      </c>
      <c r="G1075" s="588">
        <v>39356.60000000149</v>
      </c>
      <c r="H1075" s="576">
        <v>0</v>
      </c>
      <c r="I1075" s="589">
        <v>0</v>
      </c>
    </row>
    <row r="1076" spans="1:9" ht="15.75" customHeight="1" x14ac:dyDescent="0.2">
      <c r="A1076" s="577"/>
      <c r="B1076" s="577"/>
      <c r="C1076" s="576"/>
      <c r="D1076" s="607">
        <v>46565</v>
      </c>
      <c r="E1076" s="576" t="s">
        <v>717</v>
      </c>
      <c r="F1076" s="576">
        <v>47072210.810000002</v>
      </c>
      <c r="G1076" s="588">
        <v>39356.609999999404</v>
      </c>
      <c r="H1076" s="576">
        <v>0</v>
      </c>
      <c r="I1076" s="589">
        <v>0</v>
      </c>
    </row>
    <row r="1077" spans="1:9" ht="15.75" customHeight="1" x14ac:dyDescent="0.2">
      <c r="A1077" s="577"/>
      <c r="B1077" s="577"/>
      <c r="C1077" s="576"/>
      <c r="D1077" s="607">
        <v>46566</v>
      </c>
      <c r="E1077" s="576" t="s">
        <v>716</v>
      </c>
      <c r="F1077" s="576">
        <v>47111567.409999996</v>
      </c>
      <c r="G1077" s="588">
        <v>39356.59999999404</v>
      </c>
      <c r="H1077" s="576">
        <v>0</v>
      </c>
      <c r="I1077" s="589">
        <v>0</v>
      </c>
    </row>
    <row r="1078" spans="1:9" ht="15.75" customHeight="1" x14ac:dyDescent="0.2">
      <c r="A1078" s="577"/>
      <c r="B1078" s="577"/>
      <c r="C1078" s="576"/>
      <c r="D1078" s="607">
        <v>46567</v>
      </c>
      <c r="E1078" s="576" t="s">
        <v>715</v>
      </c>
      <c r="F1078" s="576">
        <v>47150924.020000003</v>
      </c>
      <c r="G1078" s="588">
        <v>39356.610000006855</v>
      </c>
      <c r="H1078" s="576">
        <v>0</v>
      </c>
      <c r="I1078" s="589">
        <v>0</v>
      </c>
    </row>
    <row r="1079" spans="1:9" ht="15.75" customHeight="1" x14ac:dyDescent="0.2">
      <c r="A1079" s="577"/>
      <c r="B1079" s="577"/>
      <c r="C1079" s="576"/>
      <c r="D1079" s="607">
        <v>46568</v>
      </c>
      <c r="E1079" s="576" t="s">
        <v>721</v>
      </c>
      <c r="F1079" s="576">
        <v>47190280.619999997</v>
      </c>
      <c r="G1079" s="588">
        <v>39356.59999999404</v>
      </c>
      <c r="H1079" s="576">
        <v>275496.22999999672</v>
      </c>
      <c r="I1079" s="589">
        <v>550992.46999999881</v>
      </c>
    </row>
    <row r="1080" spans="1:9" ht="15.75" customHeight="1" x14ac:dyDescent="0.2">
      <c r="A1080" s="577"/>
      <c r="B1080" s="577"/>
      <c r="C1080" s="576"/>
      <c r="D1080" s="607">
        <v>46569</v>
      </c>
      <c r="E1080" s="576" t="s">
        <v>720</v>
      </c>
      <c r="F1080" s="576">
        <v>47229637.229999997</v>
      </c>
      <c r="G1080" s="588">
        <v>39356.609999999404</v>
      </c>
      <c r="H1080" s="576">
        <v>0</v>
      </c>
      <c r="I1080" s="589">
        <v>0</v>
      </c>
    </row>
    <row r="1081" spans="1:9" ht="15.75" customHeight="1" x14ac:dyDescent="0.2">
      <c r="A1081" s="577"/>
      <c r="B1081" s="577"/>
      <c r="C1081" s="576"/>
      <c r="D1081" s="607">
        <v>46570</v>
      </c>
      <c r="E1081" s="576" t="s">
        <v>719</v>
      </c>
      <c r="F1081" s="576">
        <v>47268993.829999998</v>
      </c>
      <c r="G1081" s="588">
        <v>39356.60000000149</v>
      </c>
      <c r="H1081" s="576">
        <v>0</v>
      </c>
      <c r="I1081" s="589">
        <v>0</v>
      </c>
    </row>
    <row r="1082" spans="1:9" ht="15.75" customHeight="1" x14ac:dyDescent="0.2">
      <c r="A1082" s="577"/>
      <c r="B1082" s="577"/>
      <c r="C1082" s="576"/>
      <c r="D1082" s="607">
        <v>46571</v>
      </c>
      <c r="E1082" s="576" t="s">
        <v>718</v>
      </c>
      <c r="F1082" s="576">
        <v>47308350.439999998</v>
      </c>
      <c r="G1082" s="588">
        <v>39356.609999999404</v>
      </c>
      <c r="H1082" s="576">
        <v>0</v>
      </c>
      <c r="I1082" s="589">
        <v>0</v>
      </c>
    </row>
    <row r="1083" spans="1:9" ht="15.75" customHeight="1" x14ac:dyDescent="0.2">
      <c r="A1083" s="577"/>
      <c r="B1083" s="577"/>
      <c r="C1083" s="576"/>
      <c r="D1083" s="607">
        <v>46572</v>
      </c>
      <c r="E1083" s="576" t="s">
        <v>717</v>
      </c>
      <c r="F1083" s="576">
        <v>47347707.039999999</v>
      </c>
      <c r="G1083" s="588">
        <v>39356.60000000149</v>
      </c>
      <c r="H1083" s="576">
        <v>0</v>
      </c>
      <c r="I1083" s="589">
        <v>0</v>
      </c>
    </row>
    <row r="1084" spans="1:9" ht="15.75" customHeight="1" x14ac:dyDescent="0.2">
      <c r="A1084" s="577"/>
      <c r="B1084" s="577"/>
      <c r="C1084" s="576"/>
      <c r="D1084" s="607">
        <v>46573</v>
      </c>
      <c r="E1084" s="576" t="s">
        <v>716</v>
      </c>
      <c r="F1084" s="576">
        <v>47387063.649999999</v>
      </c>
      <c r="G1084" s="588">
        <v>39356.609999999404</v>
      </c>
      <c r="H1084" s="576">
        <v>0</v>
      </c>
      <c r="I1084" s="589">
        <v>0</v>
      </c>
    </row>
    <row r="1085" spans="1:9" ht="15.75" customHeight="1" x14ac:dyDescent="0.2">
      <c r="A1085" s="577"/>
      <c r="B1085" s="577"/>
      <c r="C1085" s="576"/>
      <c r="D1085" s="607">
        <v>46574</v>
      </c>
      <c r="E1085" s="576" t="s">
        <v>715</v>
      </c>
      <c r="F1085" s="576">
        <v>47426420.259999998</v>
      </c>
      <c r="G1085" s="588">
        <v>39356.609999999404</v>
      </c>
      <c r="H1085" s="576">
        <v>0</v>
      </c>
      <c r="I1085" s="589">
        <v>0</v>
      </c>
    </row>
    <row r="1086" spans="1:9" ht="15.75" customHeight="1" x14ac:dyDescent="0.2">
      <c r="A1086" s="577"/>
      <c r="B1086" s="577"/>
      <c r="C1086" s="576"/>
      <c r="D1086" s="607">
        <v>46575</v>
      </c>
      <c r="E1086" s="576" t="s">
        <v>721</v>
      </c>
      <c r="F1086" s="576">
        <v>47465776.859999999</v>
      </c>
      <c r="G1086" s="588">
        <v>39356.60000000149</v>
      </c>
      <c r="H1086" s="576">
        <v>275496.24000000209</v>
      </c>
      <c r="I1086" s="589">
        <v>0</v>
      </c>
    </row>
    <row r="1087" spans="1:9" ht="15.75" customHeight="1" x14ac:dyDescent="0.2">
      <c r="A1087" s="577"/>
      <c r="B1087" s="577"/>
      <c r="C1087" s="576"/>
      <c r="D1087" s="607">
        <v>46576</v>
      </c>
      <c r="E1087" s="576" t="s">
        <v>720</v>
      </c>
      <c r="F1087" s="576">
        <v>47505133.469999999</v>
      </c>
      <c r="G1087" s="588">
        <v>39356.609999999404</v>
      </c>
      <c r="H1087" s="576">
        <v>0</v>
      </c>
      <c r="I1087" s="589">
        <v>0</v>
      </c>
    </row>
    <row r="1088" spans="1:9" ht="15.75" customHeight="1" x14ac:dyDescent="0.2">
      <c r="A1088" s="577"/>
      <c r="B1088" s="577"/>
      <c r="C1088" s="576"/>
      <c r="D1088" s="607">
        <v>46577</v>
      </c>
      <c r="E1088" s="576" t="s">
        <v>719</v>
      </c>
      <c r="F1088" s="576">
        <v>47544490.07</v>
      </c>
      <c r="G1088" s="588">
        <v>39356.60000000149</v>
      </c>
      <c r="H1088" s="576">
        <v>0</v>
      </c>
      <c r="I1088" s="589">
        <v>0</v>
      </c>
    </row>
    <row r="1089" spans="1:9" ht="15.75" customHeight="1" x14ac:dyDescent="0.2">
      <c r="A1089" s="577"/>
      <c r="B1089" s="577"/>
      <c r="C1089" s="576"/>
      <c r="D1089" s="607">
        <v>46578</v>
      </c>
      <c r="E1089" s="576" t="s">
        <v>718</v>
      </c>
      <c r="F1089" s="576">
        <v>47583846.68</v>
      </c>
      <c r="G1089" s="588">
        <v>39356.609999999404</v>
      </c>
      <c r="H1089" s="576">
        <v>0</v>
      </c>
      <c r="I1089" s="589">
        <v>0</v>
      </c>
    </row>
    <row r="1090" spans="1:9" ht="15.75" customHeight="1" x14ac:dyDescent="0.2">
      <c r="A1090" s="577"/>
      <c r="B1090" s="577"/>
      <c r="C1090" s="576"/>
      <c r="D1090" s="607">
        <v>46579</v>
      </c>
      <c r="E1090" s="576" t="s">
        <v>717</v>
      </c>
      <c r="F1090" s="576">
        <v>47623203.280000001</v>
      </c>
      <c r="G1090" s="588">
        <v>39356.60000000149</v>
      </c>
      <c r="H1090" s="576">
        <v>0</v>
      </c>
      <c r="I1090" s="589">
        <v>0</v>
      </c>
    </row>
    <row r="1091" spans="1:9" ht="15.75" customHeight="1" x14ac:dyDescent="0.2">
      <c r="A1091" s="577"/>
      <c r="B1091" s="577"/>
      <c r="C1091" s="576"/>
      <c r="D1091" s="607">
        <v>46580</v>
      </c>
      <c r="E1091" s="576" t="s">
        <v>716</v>
      </c>
      <c r="F1091" s="576">
        <v>47662559.890000001</v>
      </c>
      <c r="G1091" s="588">
        <v>39356.609999999404</v>
      </c>
      <c r="H1091" s="576">
        <v>0</v>
      </c>
      <c r="I1091" s="589">
        <v>0</v>
      </c>
    </row>
    <row r="1092" spans="1:9" ht="15.75" customHeight="1" x14ac:dyDescent="0.2">
      <c r="A1092" s="577"/>
      <c r="B1092" s="577"/>
      <c r="C1092" s="576"/>
      <c r="D1092" s="607">
        <v>46581</v>
      </c>
      <c r="E1092" s="576" t="s">
        <v>715</v>
      </c>
      <c r="F1092" s="576">
        <v>47701916.490000002</v>
      </c>
      <c r="G1092" s="588">
        <v>39356.60000000149</v>
      </c>
      <c r="H1092" s="576">
        <v>0</v>
      </c>
      <c r="I1092" s="589">
        <v>0</v>
      </c>
    </row>
    <row r="1093" spans="1:9" ht="15.75" customHeight="1" x14ac:dyDescent="0.2">
      <c r="A1093" s="577"/>
      <c r="B1093" s="577"/>
      <c r="C1093" s="576"/>
      <c r="D1093" s="607">
        <v>46582</v>
      </c>
      <c r="E1093" s="576" t="s">
        <v>721</v>
      </c>
      <c r="F1093" s="576">
        <v>47741273.100000001</v>
      </c>
      <c r="G1093" s="588">
        <v>39356.609999999404</v>
      </c>
      <c r="H1093" s="576">
        <v>275496.24000000209</v>
      </c>
      <c r="I1093" s="589">
        <v>550992.48000000417</v>
      </c>
    </row>
    <row r="1094" spans="1:9" ht="15.75" customHeight="1" x14ac:dyDescent="0.2">
      <c r="A1094" s="577"/>
      <c r="B1094" s="577"/>
      <c r="C1094" s="576"/>
      <c r="D1094" s="607">
        <v>46583</v>
      </c>
      <c r="E1094" s="576" t="s">
        <v>720</v>
      </c>
      <c r="F1094" s="576">
        <v>47780629.700000003</v>
      </c>
      <c r="G1094" s="588">
        <v>39356.60000000149</v>
      </c>
      <c r="H1094" s="576">
        <v>0</v>
      </c>
      <c r="I1094" s="589">
        <v>0</v>
      </c>
    </row>
    <row r="1095" spans="1:9" ht="15.75" customHeight="1" x14ac:dyDescent="0.2">
      <c r="A1095" s="577"/>
      <c r="B1095" s="577"/>
      <c r="C1095" s="576"/>
      <c r="D1095" s="607">
        <v>46584</v>
      </c>
      <c r="E1095" s="576" t="s">
        <v>719</v>
      </c>
      <c r="F1095" s="576">
        <v>47819986.310000002</v>
      </c>
      <c r="G1095" s="588">
        <v>39356.609999999404</v>
      </c>
      <c r="H1095" s="576">
        <v>0</v>
      </c>
      <c r="I1095" s="589">
        <v>0</v>
      </c>
    </row>
    <row r="1096" spans="1:9" ht="15.75" customHeight="1" x14ac:dyDescent="0.2">
      <c r="A1096" s="577"/>
      <c r="B1096" s="577"/>
      <c r="C1096" s="576"/>
      <c r="D1096" s="607">
        <v>46585</v>
      </c>
      <c r="E1096" s="576" t="s">
        <v>718</v>
      </c>
      <c r="F1096" s="576">
        <v>47859342.909999996</v>
      </c>
      <c r="G1096" s="588">
        <v>39356.59999999404</v>
      </c>
      <c r="H1096" s="576">
        <v>0</v>
      </c>
      <c r="I1096" s="589">
        <v>0</v>
      </c>
    </row>
    <row r="1097" spans="1:9" ht="15.75" customHeight="1" x14ac:dyDescent="0.2">
      <c r="A1097" s="577"/>
      <c r="B1097" s="577"/>
      <c r="C1097" s="576"/>
      <c r="D1097" s="607">
        <v>46586</v>
      </c>
      <c r="E1097" s="576" t="s">
        <v>717</v>
      </c>
      <c r="F1097" s="576">
        <v>47898699.520000003</v>
      </c>
      <c r="G1097" s="588">
        <v>39356.610000006855</v>
      </c>
      <c r="H1097" s="576">
        <v>0</v>
      </c>
      <c r="I1097" s="589">
        <v>0</v>
      </c>
    </row>
    <row r="1098" spans="1:9" ht="15.75" customHeight="1" x14ac:dyDescent="0.2">
      <c r="A1098" s="577"/>
      <c r="B1098" s="577"/>
      <c r="C1098" s="576"/>
      <c r="D1098" s="607">
        <v>46587</v>
      </c>
      <c r="E1098" s="576" t="s">
        <v>716</v>
      </c>
      <c r="F1098" s="576">
        <v>47938056.119999997</v>
      </c>
      <c r="G1098" s="588">
        <v>39356.59999999404</v>
      </c>
      <c r="H1098" s="576">
        <v>0</v>
      </c>
      <c r="I1098" s="589">
        <v>0</v>
      </c>
    </row>
    <row r="1099" spans="1:9" ht="15.75" customHeight="1" x14ac:dyDescent="0.2">
      <c r="A1099" s="577"/>
      <c r="B1099" s="577"/>
      <c r="C1099" s="576"/>
      <c r="D1099" s="607">
        <v>46588</v>
      </c>
      <c r="E1099" s="576" t="s">
        <v>715</v>
      </c>
      <c r="F1099" s="576">
        <v>47977412.729999997</v>
      </c>
      <c r="G1099" s="588">
        <v>39356.609999999404</v>
      </c>
      <c r="H1099" s="576">
        <v>0</v>
      </c>
      <c r="I1099" s="589">
        <v>0</v>
      </c>
    </row>
    <row r="1100" spans="1:9" ht="15.75" customHeight="1" x14ac:dyDescent="0.2">
      <c r="A1100" s="577"/>
      <c r="B1100" s="577"/>
      <c r="C1100" s="576"/>
      <c r="D1100" s="607">
        <v>46589</v>
      </c>
      <c r="E1100" s="576" t="s">
        <v>721</v>
      </c>
      <c r="F1100" s="576">
        <v>48016769.329999998</v>
      </c>
      <c r="G1100" s="588">
        <v>39356.60000000149</v>
      </c>
      <c r="H1100" s="576">
        <v>275496.22999999672</v>
      </c>
      <c r="I1100" s="589">
        <v>0</v>
      </c>
    </row>
    <row r="1101" spans="1:9" ht="15.75" customHeight="1" x14ac:dyDescent="0.2">
      <c r="A1101" s="577"/>
      <c r="B1101" s="577"/>
      <c r="C1101" s="576"/>
      <c r="D1101" s="607">
        <v>46590</v>
      </c>
      <c r="E1101" s="576" t="s">
        <v>720</v>
      </c>
      <c r="F1101" s="576">
        <v>48056125.939999998</v>
      </c>
      <c r="G1101" s="588">
        <v>39356.609999999404</v>
      </c>
      <c r="H1101" s="576">
        <v>0</v>
      </c>
      <c r="I1101" s="589">
        <v>0</v>
      </c>
    </row>
    <row r="1102" spans="1:9" ht="15.75" customHeight="1" x14ac:dyDescent="0.2">
      <c r="A1102" s="577"/>
      <c r="B1102" s="577"/>
      <c r="C1102" s="576"/>
      <c r="D1102" s="607">
        <v>46591</v>
      </c>
      <c r="E1102" s="576" t="s">
        <v>719</v>
      </c>
      <c r="F1102" s="576">
        <v>48095482.539999999</v>
      </c>
      <c r="G1102" s="588">
        <v>39356.60000000149</v>
      </c>
      <c r="H1102" s="576">
        <v>0</v>
      </c>
      <c r="I1102" s="589">
        <v>0</v>
      </c>
    </row>
    <row r="1103" spans="1:9" ht="15.75" customHeight="1" x14ac:dyDescent="0.2">
      <c r="A1103" s="577"/>
      <c r="B1103" s="577"/>
      <c r="C1103" s="576"/>
      <c r="D1103" s="607">
        <v>46592</v>
      </c>
      <c r="E1103" s="576" t="s">
        <v>718</v>
      </c>
      <c r="F1103" s="576">
        <v>48134839.149999999</v>
      </c>
      <c r="G1103" s="588">
        <v>39356.609999999404</v>
      </c>
      <c r="H1103" s="576">
        <v>0</v>
      </c>
      <c r="I1103" s="589">
        <v>0</v>
      </c>
    </row>
    <row r="1104" spans="1:9" ht="15.75" customHeight="1" x14ac:dyDescent="0.2">
      <c r="A1104" s="577"/>
      <c r="B1104" s="577"/>
      <c r="C1104" s="576"/>
      <c r="D1104" s="607">
        <v>46593</v>
      </c>
      <c r="E1104" s="576" t="s">
        <v>717</v>
      </c>
      <c r="F1104" s="576">
        <v>48174195.75</v>
      </c>
      <c r="G1104" s="588">
        <v>39356.60000000149</v>
      </c>
      <c r="H1104" s="576">
        <v>0</v>
      </c>
      <c r="I1104" s="589">
        <v>0</v>
      </c>
    </row>
    <row r="1105" spans="1:9" ht="15.75" customHeight="1" x14ac:dyDescent="0.2">
      <c r="A1105" s="577"/>
      <c r="B1105" s="577"/>
      <c r="C1105" s="576"/>
      <c r="D1105" s="607">
        <v>46594</v>
      </c>
      <c r="E1105" s="576" t="s">
        <v>716</v>
      </c>
      <c r="F1105" s="576">
        <v>48213552.359999999</v>
      </c>
      <c r="G1105" s="588">
        <v>39356.609999999404</v>
      </c>
      <c r="H1105" s="576">
        <v>0</v>
      </c>
      <c r="I1105" s="589">
        <v>0</v>
      </c>
    </row>
    <row r="1106" spans="1:9" ht="15.75" customHeight="1" x14ac:dyDescent="0.2">
      <c r="A1106" s="577"/>
      <c r="B1106" s="577"/>
      <c r="C1106" s="576"/>
      <c r="D1106" s="607">
        <v>46595</v>
      </c>
      <c r="E1106" s="576" t="s">
        <v>715</v>
      </c>
      <c r="F1106" s="576">
        <v>48252908.960000001</v>
      </c>
      <c r="G1106" s="588">
        <v>39356.60000000149</v>
      </c>
      <c r="H1106" s="576">
        <v>0</v>
      </c>
      <c r="I1106" s="589">
        <v>0</v>
      </c>
    </row>
    <row r="1107" spans="1:9" ht="15.75" customHeight="1" x14ac:dyDescent="0.2">
      <c r="A1107" s="577"/>
      <c r="B1107" s="577"/>
      <c r="C1107" s="576"/>
      <c r="D1107" s="607">
        <v>46596</v>
      </c>
      <c r="E1107" s="576" t="s">
        <v>721</v>
      </c>
      <c r="F1107" s="576">
        <v>48292265.57</v>
      </c>
      <c r="G1107" s="588">
        <v>39356.609999999404</v>
      </c>
      <c r="H1107" s="576">
        <v>275496.24000000209</v>
      </c>
      <c r="I1107" s="589">
        <v>550992.46999999881</v>
      </c>
    </row>
    <row r="1108" spans="1:9" ht="15.75" customHeight="1" x14ac:dyDescent="0.2">
      <c r="A1108" s="577"/>
      <c r="B1108" s="577"/>
      <c r="C1108" s="576"/>
      <c r="D1108" s="607">
        <v>46597</v>
      </c>
      <c r="E1108" s="576" t="s">
        <v>720</v>
      </c>
      <c r="F1108" s="576">
        <v>48331622.170000002</v>
      </c>
      <c r="G1108" s="588">
        <v>39356.60000000149</v>
      </c>
      <c r="H1108" s="576">
        <v>0</v>
      </c>
      <c r="I1108" s="589">
        <v>0</v>
      </c>
    </row>
    <row r="1109" spans="1:9" ht="15.75" customHeight="1" x14ac:dyDescent="0.2">
      <c r="A1109" s="577"/>
      <c r="B1109" s="577"/>
      <c r="C1109" s="576"/>
      <c r="D1109" s="607">
        <v>46598</v>
      </c>
      <c r="E1109" s="576" t="s">
        <v>719</v>
      </c>
      <c r="F1109" s="576">
        <v>48370978.780000001</v>
      </c>
      <c r="G1109" s="588">
        <v>39356.609999999404</v>
      </c>
      <c r="H1109" s="576">
        <v>0</v>
      </c>
      <c r="I1109" s="589">
        <v>0</v>
      </c>
    </row>
    <row r="1110" spans="1:9" ht="15.75" customHeight="1" x14ac:dyDescent="0.2">
      <c r="A1110" s="577"/>
      <c r="B1110" s="577"/>
      <c r="C1110" s="576"/>
      <c r="D1110" s="607">
        <v>46599</v>
      </c>
      <c r="E1110" s="576" t="s">
        <v>718</v>
      </c>
      <c r="F1110" s="576">
        <v>48410335.380000003</v>
      </c>
      <c r="G1110" s="588">
        <v>39356.60000000149</v>
      </c>
      <c r="H1110" s="576">
        <v>0</v>
      </c>
      <c r="I1110" s="589">
        <v>0</v>
      </c>
    </row>
    <row r="1111" spans="1:9" ht="15.75" customHeight="1" x14ac:dyDescent="0.2">
      <c r="A1111" s="577"/>
      <c r="B1111" s="577"/>
      <c r="C1111" s="576"/>
      <c r="D1111" s="607">
        <v>46600</v>
      </c>
      <c r="E1111" s="576" t="s">
        <v>717</v>
      </c>
      <c r="F1111" s="576">
        <v>48449691.990000002</v>
      </c>
      <c r="G1111" s="588">
        <v>39356.609999999404</v>
      </c>
      <c r="H1111" s="576">
        <v>0</v>
      </c>
      <c r="I1111" s="589">
        <v>0</v>
      </c>
    </row>
    <row r="1112" spans="1:9" ht="15.75" customHeight="1" x14ac:dyDescent="0.2">
      <c r="A1112" s="577"/>
      <c r="B1112" s="577"/>
      <c r="C1112" s="576"/>
      <c r="D1112" s="607">
        <v>46601</v>
      </c>
      <c r="E1112" s="576" t="s">
        <v>716</v>
      </c>
      <c r="F1112" s="576">
        <v>48489048.590000004</v>
      </c>
      <c r="G1112" s="588">
        <v>39356.60000000149</v>
      </c>
      <c r="H1112" s="576">
        <v>0</v>
      </c>
      <c r="I1112" s="589">
        <v>0</v>
      </c>
    </row>
    <row r="1113" spans="1:9" ht="15.75" customHeight="1" x14ac:dyDescent="0.2">
      <c r="A1113" s="577"/>
      <c r="B1113" s="577"/>
      <c r="C1113" s="576"/>
      <c r="D1113" s="607">
        <v>46602</v>
      </c>
      <c r="E1113" s="576" t="s">
        <v>715</v>
      </c>
      <c r="F1113" s="576">
        <v>48528405.200000003</v>
      </c>
      <c r="G1113" s="588">
        <v>39356.609999999404</v>
      </c>
      <c r="H1113" s="576">
        <v>0</v>
      </c>
      <c r="I1113" s="589">
        <v>0</v>
      </c>
    </row>
    <row r="1114" spans="1:9" ht="15.75" customHeight="1" x14ac:dyDescent="0.2">
      <c r="A1114" s="577"/>
      <c r="B1114" s="577"/>
      <c r="C1114" s="576"/>
      <c r="D1114" s="607">
        <v>46603</v>
      </c>
      <c r="E1114" s="576" t="s">
        <v>721</v>
      </c>
      <c r="F1114" s="576">
        <v>48567761.799999997</v>
      </c>
      <c r="G1114" s="588">
        <v>39356.59999999404</v>
      </c>
      <c r="H1114" s="576">
        <v>275496.22999999672</v>
      </c>
      <c r="I1114" s="589">
        <v>0</v>
      </c>
    </row>
    <row r="1115" spans="1:9" ht="15.75" customHeight="1" x14ac:dyDescent="0.2">
      <c r="A1115" s="577"/>
      <c r="B1115" s="577"/>
      <c r="C1115" s="576"/>
      <c r="D1115" s="607">
        <v>46604</v>
      </c>
      <c r="E1115" s="576" t="s">
        <v>720</v>
      </c>
      <c r="F1115" s="576">
        <v>48607118.409999996</v>
      </c>
      <c r="G1115" s="588">
        <v>39356.609999999404</v>
      </c>
      <c r="H1115" s="576">
        <v>0</v>
      </c>
      <c r="I1115" s="589">
        <v>0</v>
      </c>
    </row>
    <row r="1116" spans="1:9" ht="15.75" customHeight="1" x14ac:dyDescent="0.2">
      <c r="A1116" s="577"/>
      <c r="B1116" s="577"/>
      <c r="C1116" s="576"/>
      <c r="D1116" s="607">
        <v>46605</v>
      </c>
      <c r="E1116" s="576" t="s">
        <v>719</v>
      </c>
      <c r="F1116" s="576">
        <v>48646475.009999998</v>
      </c>
      <c r="G1116" s="588">
        <v>39356.60000000149</v>
      </c>
      <c r="H1116" s="576">
        <v>0</v>
      </c>
      <c r="I1116" s="589">
        <v>0</v>
      </c>
    </row>
    <row r="1117" spans="1:9" ht="15.75" customHeight="1" x14ac:dyDescent="0.2">
      <c r="A1117" s="577"/>
      <c r="B1117" s="577"/>
      <c r="C1117" s="576"/>
      <c r="D1117" s="607">
        <v>46606</v>
      </c>
      <c r="E1117" s="576" t="s">
        <v>718</v>
      </c>
      <c r="F1117" s="576">
        <v>48685831.619999997</v>
      </c>
      <c r="G1117" s="588">
        <v>39356.609999999404</v>
      </c>
      <c r="H1117" s="576">
        <v>0</v>
      </c>
      <c r="I1117" s="589">
        <v>0</v>
      </c>
    </row>
    <row r="1118" spans="1:9" ht="15.75" customHeight="1" x14ac:dyDescent="0.2">
      <c r="A1118" s="577"/>
      <c r="B1118" s="577"/>
      <c r="C1118" s="576"/>
      <c r="D1118" s="607">
        <v>46607</v>
      </c>
      <c r="E1118" s="576" t="s">
        <v>717</v>
      </c>
      <c r="F1118" s="576">
        <v>48725188.219999999</v>
      </c>
      <c r="G1118" s="588">
        <v>39356.60000000149</v>
      </c>
      <c r="H1118" s="576">
        <v>0</v>
      </c>
      <c r="I1118" s="589">
        <v>0</v>
      </c>
    </row>
    <row r="1119" spans="1:9" ht="15.75" customHeight="1" x14ac:dyDescent="0.2">
      <c r="A1119" s="577"/>
      <c r="B1119" s="577"/>
      <c r="C1119" s="576"/>
      <c r="D1119" s="607">
        <v>46608</v>
      </c>
      <c r="E1119" s="576" t="s">
        <v>716</v>
      </c>
      <c r="F1119" s="576">
        <v>48764544.829999998</v>
      </c>
      <c r="G1119" s="588">
        <v>39356.609999999404</v>
      </c>
      <c r="H1119" s="576">
        <v>0</v>
      </c>
      <c r="I1119" s="589">
        <v>0</v>
      </c>
    </row>
    <row r="1120" spans="1:9" ht="15.75" customHeight="1" x14ac:dyDescent="0.2">
      <c r="A1120" s="577"/>
      <c r="B1120" s="577"/>
      <c r="C1120" s="576"/>
      <c r="D1120" s="607">
        <v>46609</v>
      </c>
      <c r="E1120" s="576" t="s">
        <v>715</v>
      </c>
      <c r="F1120" s="576">
        <v>48803901.43</v>
      </c>
      <c r="G1120" s="588">
        <v>39356.60000000149</v>
      </c>
      <c r="H1120" s="576">
        <v>0</v>
      </c>
      <c r="I1120" s="589">
        <v>0</v>
      </c>
    </row>
    <row r="1121" spans="1:9" ht="15.75" customHeight="1" x14ac:dyDescent="0.2">
      <c r="A1121" s="577"/>
      <c r="B1121" s="577"/>
      <c r="C1121" s="576"/>
      <c r="D1121" s="607">
        <v>46610</v>
      </c>
      <c r="E1121" s="576" t="s">
        <v>721</v>
      </c>
      <c r="F1121" s="576">
        <v>48843258.039999999</v>
      </c>
      <c r="G1121" s="588">
        <v>39356.609999999404</v>
      </c>
      <c r="H1121" s="576">
        <v>275496.24000000209</v>
      </c>
      <c r="I1121" s="589">
        <v>550992.46999999881</v>
      </c>
    </row>
    <row r="1122" spans="1:9" ht="15.75" customHeight="1" x14ac:dyDescent="0.2">
      <c r="A1122" s="577"/>
      <c r="B1122" s="577"/>
      <c r="C1122" s="576"/>
      <c r="D1122" s="607">
        <v>46611</v>
      </c>
      <c r="E1122" s="576" t="s">
        <v>720</v>
      </c>
      <c r="F1122" s="576">
        <v>48882614.640000001</v>
      </c>
      <c r="G1122" s="588">
        <v>39356.60000000149</v>
      </c>
      <c r="H1122" s="576">
        <v>0</v>
      </c>
      <c r="I1122" s="589">
        <v>0</v>
      </c>
    </row>
    <row r="1123" spans="1:9" ht="15.75" customHeight="1" x14ac:dyDescent="0.2">
      <c r="A1123" s="577"/>
      <c r="B1123" s="577"/>
      <c r="C1123" s="576"/>
      <c r="D1123" s="607">
        <v>46612</v>
      </c>
      <c r="E1123" s="576" t="s">
        <v>719</v>
      </c>
      <c r="F1123" s="576">
        <v>48921971.25</v>
      </c>
      <c r="G1123" s="588">
        <v>39356.609999999404</v>
      </c>
      <c r="H1123" s="576">
        <v>0</v>
      </c>
      <c r="I1123" s="589">
        <v>0</v>
      </c>
    </row>
    <row r="1124" spans="1:9" ht="15.75" customHeight="1" x14ac:dyDescent="0.2">
      <c r="A1124" s="577"/>
      <c r="B1124" s="577"/>
      <c r="C1124" s="576"/>
      <c r="D1124" s="607">
        <v>46613</v>
      </c>
      <c r="E1124" s="576" t="s">
        <v>718</v>
      </c>
      <c r="F1124" s="576">
        <v>48961327.850000001</v>
      </c>
      <c r="G1124" s="588">
        <v>39356.60000000149</v>
      </c>
      <c r="H1124" s="576">
        <v>0</v>
      </c>
      <c r="I1124" s="589">
        <v>0</v>
      </c>
    </row>
    <row r="1125" spans="1:9" ht="15.75" customHeight="1" x14ac:dyDescent="0.2">
      <c r="A1125" s="577"/>
      <c r="B1125" s="577"/>
      <c r="C1125" s="576"/>
      <c r="D1125" s="607">
        <v>46614</v>
      </c>
      <c r="E1125" s="576" t="s">
        <v>717</v>
      </c>
      <c r="F1125" s="576">
        <v>49000684.460000001</v>
      </c>
      <c r="G1125" s="588">
        <v>39356.609999999404</v>
      </c>
      <c r="H1125" s="576">
        <v>0</v>
      </c>
      <c r="I1125" s="589">
        <v>0</v>
      </c>
    </row>
    <row r="1126" spans="1:9" ht="15.75" customHeight="1" x14ac:dyDescent="0.2">
      <c r="A1126" s="577"/>
      <c r="B1126" s="577"/>
      <c r="C1126" s="576"/>
      <c r="D1126" s="607">
        <v>46615</v>
      </c>
      <c r="E1126" s="576" t="s">
        <v>716</v>
      </c>
      <c r="F1126" s="576">
        <v>49040041.060000002</v>
      </c>
      <c r="G1126" s="588">
        <v>39356.60000000149</v>
      </c>
      <c r="H1126" s="576">
        <v>0</v>
      </c>
      <c r="I1126" s="589">
        <v>0</v>
      </c>
    </row>
    <row r="1127" spans="1:9" ht="15.75" customHeight="1" x14ac:dyDescent="0.2">
      <c r="A1127" s="577"/>
      <c r="B1127" s="577"/>
      <c r="C1127" s="576"/>
      <c r="D1127" s="607">
        <v>46616</v>
      </c>
      <c r="E1127" s="576" t="s">
        <v>715</v>
      </c>
      <c r="F1127" s="576">
        <v>49079397.670000002</v>
      </c>
      <c r="G1127" s="588">
        <v>39356.609999999404</v>
      </c>
      <c r="H1127" s="576">
        <v>0</v>
      </c>
      <c r="I1127" s="589">
        <v>0</v>
      </c>
    </row>
    <row r="1128" spans="1:9" ht="15.75" customHeight="1" x14ac:dyDescent="0.2">
      <c r="A1128" s="577"/>
      <c r="B1128" s="577"/>
      <c r="C1128" s="576"/>
      <c r="D1128" s="607">
        <v>46617</v>
      </c>
      <c r="E1128" s="576" t="s">
        <v>721</v>
      </c>
      <c r="F1128" s="576">
        <v>49118754.270000003</v>
      </c>
      <c r="G1128" s="588">
        <v>39356.60000000149</v>
      </c>
      <c r="H1128" s="576">
        <v>275496.23000000417</v>
      </c>
      <c r="I1128" s="589">
        <v>0</v>
      </c>
    </row>
    <row r="1129" spans="1:9" ht="15.75" customHeight="1" x14ac:dyDescent="0.2">
      <c r="A1129" s="577"/>
      <c r="B1129" s="577"/>
      <c r="C1129" s="576"/>
      <c r="D1129" s="607">
        <v>46618</v>
      </c>
      <c r="E1129" s="576" t="s">
        <v>720</v>
      </c>
      <c r="F1129" s="576">
        <v>49158110.880000003</v>
      </c>
      <c r="G1129" s="588">
        <v>39356.609999999404</v>
      </c>
      <c r="H1129" s="576">
        <v>0</v>
      </c>
      <c r="I1129" s="589">
        <v>0</v>
      </c>
    </row>
    <row r="1130" spans="1:9" ht="15.75" customHeight="1" x14ac:dyDescent="0.2">
      <c r="A1130" s="577"/>
      <c r="B1130" s="577"/>
      <c r="C1130" s="576"/>
      <c r="D1130" s="607">
        <v>46619</v>
      </c>
      <c r="E1130" s="576" t="s">
        <v>719</v>
      </c>
      <c r="F1130" s="576">
        <v>49197467.479999997</v>
      </c>
      <c r="G1130" s="588">
        <v>39356.59999999404</v>
      </c>
      <c r="H1130" s="576">
        <v>0</v>
      </c>
      <c r="I1130" s="589">
        <v>0</v>
      </c>
    </row>
    <row r="1131" spans="1:9" ht="15.75" customHeight="1" x14ac:dyDescent="0.2">
      <c r="A1131" s="577"/>
      <c r="B1131" s="577"/>
      <c r="C1131" s="576"/>
      <c r="D1131" s="607">
        <v>46620</v>
      </c>
      <c r="E1131" s="576" t="s">
        <v>718</v>
      </c>
      <c r="F1131" s="576">
        <v>49236824.090000004</v>
      </c>
      <c r="G1131" s="588">
        <v>39356.610000006855</v>
      </c>
      <c r="H1131" s="576">
        <v>0</v>
      </c>
      <c r="I1131" s="589">
        <v>0</v>
      </c>
    </row>
    <row r="1132" spans="1:9" ht="15.75" customHeight="1" x14ac:dyDescent="0.2">
      <c r="A1132" s="577"/>
      <c r="B1132" s="577"/>
      <c r="C1132" s="576"/>
      <c r="D1132" s="607">
        <v>46621</v>
      </c>
      <c r="E1132" s="576" t="s">
        <v>717</v>
      </c>
      <c r="F1132" s="576">
        <v>49276180.689999998</v>
      </c>
      <c r="G1132" s="588">
        <v>39356.59999999404</v>
      </c>
      <c r="H1132" s="576">
        <v>0</v>
      </c>
      <c r="I1132" s="589">
        <v>0</v>
      </c>
    </row>
    <row r="1133" spans="1:9" ht="15.75" customHeight="1" x14ac:dyDescent="0.2">
      <c r="A1133" s="577"/>
      <c r="B1133" s="577"/>
      <c r="C1133" s="576"/>
      <c r="D1133" s="607">
        <v>46622</v>
      </c>
      <c r="E1133" s="576" t="s">
        <v>716</v>
      </c>
      <c r="F1133" s="576">
        <v>49315537.299999997</v>
      </c>
      <c r="G1133" s="588">
        <v>39356.609999999404</v>
      </c>
      <c r="H1133" s="576">
        <v>0</v>
      </c>
      <c r="I1133" s="589">
        <v>0</v>
      </c>
    </row>
    <row r="1134" spans="1:9" ht="15.75" customHeight="1" x14ac:dyDescent="0.2">
      <c r="A1134" s="577"/>
      <c r="B1134" s="577"/>
      <c r="C1134" s="576"/>
      <c r="D1134" s="607">
        <v>46623</v>
      </c>
      <c r="E1134" s="576" t="s">
        <v>715</v>
      </c>
      <c r="F1134" s="576">
        <v>49354893.899999999</v>
      </c>
      <c r="G1134" s="588">
        <v>39356.60000000149</v>
      </c>
      <c r="H1134" s="576">
        <v>0</v>
      </c>
      <c r="I1134" s="589">
        <v>0</v>
      </c>
    </row>
    <row r="1135" spans="1:9" ht="15.75" customHeight="1" x14ac:dyDescent="0.2">
      <c r="A1135" s="577"/>
      <c r="B1135" s="577"/>
      <c r="C1135" s="576"/>
      <c r="D1135" s="607">
        <v>46624</v>
      </c>
      <c r="E1135" s="576" t="s">
        <v>721</v>
      </c>
      <c r="F1135" s="576">
        <v>49394250.509999998</v>
      </c>
      <c r="G1135" s="588">
        <v>39356.609999999404</v>
      </c>
      <c r="H1135" s="576">
        <v>275496.23999999464</v>
      </c>
      <c r="I1135" s="589">
        <v>550992.46999999881</v>
      </c>
    </row>
    <row r="1136" spans="1:9" ht="15.75" customHeight="1" x14ac:dyDescent="0.2">
      <c r="A1136" s="577"/>
      <c r="B1136" s="577"/>
      <c r="C1136" s="576"/>
      <c r="D1136" s="607">
        <v>46625</v>
      </c>
      <c r="E1136" s="576" t="s">
        <v>720</v>
      </c>
      <c r="F1136" s="576">
        <v>49433607.109999999</v>
      </c>
      <c r="G1136" s="588">
        <v>39356.60000000149</v>
      </c>
      <c r="H1136" s="576">
        <v>0</v>
      </c>
      <c r="I1136" s="589">
        <v>0</v>
      </c>
    </row>
    <row r="1137" spans="1:9" ht="15.75" customHeight="1" x14ac:dyDescent="0.2">
      <c r="A1137" s="577"/>
      <c r="B1137" s="577"/>
      <c r="C1137" s="576"/>
      <c r="D1137" s="607">
        <v>46626</v>
      </c>
      <c r="E1137" s="576" t="s">
        <v>719</v>
      </c>
      <c r="F1137" s="576">
        <v>49472963.719999999</v>
      </c>
      <c r="G1137" s="588">
        <v>39356.609999999404</v>
      </c>
      <c r="H1137" s="576">
        <v>0</v>
      </c>
      <c r="I1137" s="589">
        <v>0</v>
      </c>
    </row>
    <row r="1138" spans="1:9" ht="15.75" customHeight="1" x14ac:dyDescent="0.2">
      <c r="A1138" s="577"/>
      <c r="B1138" s="577"/>
      <c r="C1138" s="576"/>
      <c r="D1138" s="607">
        <v>46627</v>
      </c>
      <c r="E1138" s="576" t="s">
        <v>718</v>
      </c>
      <c r="F1138" s="576">
        <v>49512320.32</v>
      </c>
      <c r="G1138" s="588">
        <v>39356.60000000149</v>
      </c>
      <c r="H1138" s="576">
        <v>0</v>
      </c>
      <c r="I1138" s="589">
        <v>0</v>
      </c>
    </row>
    <row r="1139" spans="1:9" ht="15.75" customHeight="1" x14ac:dyDescent="0.2">
      <c r="A1139" s="577"/>
      <c r="B1139" s="577"/>
      <c r="C1139" s="576"/>
      <c r="D1139" s="607">
        <v>46628</v>
      </c>
      <c r="E1139" s="576" t="s">
        <v>717</v>
      </c>
      <c r="F1139" s="576">
        <v>49551676.93</v>
      </c>
      <c r="G1139" s="588">
        <v>39356.609999999404</v>
      </c>
      <c r="H1139" s="576">
        <v>0</v>
      </c>
      <c r="I1139" s="589">
        <v>0</v>
      </c>
    </row>
    <row r="1140" spans="1:9" ht="15.75" customHeight="1" x14ac:dyDescent="0.2">
      <c r="A1140" s="577"/>
      <c r="B1140" s="577"/>
      <c r="C1140" s="576"/>
      <c r="D1140" s="607">
        <v>46629</v>
      </c>
      <c r="E1140" s="576" t="s">
        <v>716</v>
      </c>
      <c r="F1140" s="576">
        <v>49591033.530000001</v>
      </c>
      <c r="G1140" s="588">
        <v>39356.60000000149</v>
      </c>
      <c r="H1140" s="576">
        <v>0</v>
      </c>
      <c r="I1140" s="589">
        <v>0</v>
      </c>
    </row>
    <row r="1141" spans="1:9" ht="15.75" customHeight="1" x14ac:dyDescent="0.2">
      <c r="A1141" s="577"/>
      <c r="B1141" s="577"/>
      <c r="C1141" s="576"/>
      <c r="D1141" s="607">
        <v>46630</v>
      </c>
      <c r="E1141" s="576" t="s">
        <v>715</v>
      </c>
      <c r="F1141" s="576">
        <v>49630390.140000001</v>
      </c>
      <c r="G1141" s="588">
        <v>39356.609999999404</v>
      </c>
      <c r="H1141" s="576">
        <v>0</v>
      </c>
      <c r="I1141" s="589">
        <v>0</v>
      </c>
    </row>
    <row r="1142" spans="1:9" ht="15.75" customHeight="1" x14ac:dyDescent="0.2">
      <c r="A1142" s="577"/>
      <c r="B1142" s="577"/>
      <c r="C1142" s="576"/>
      <c r="D1142" s="607">
        <v>46631</v>
      </c>
      <c r="E1142" s="576" t="s">
        <v>721</v>
      </c>
      <c r="F1142" s="576">
        <v>49669746.740000002</v>
      </c>
      <c r="G1142" s="588">
        <v>39356.60000000149</v>
      </c>
      <c r="H1142" s="576">
        <v>275496.23000000417</v>
      </c>
      <c r="I1142" s="589">
        <v>0</v>
      </c>
    </row>
    <row r="1143" spans="1:9" ht="15.75" customHeight="1" x14ac:dyDescent="0.2">
      <c r="A1143" s="577"/>
      <c r="B1143" s="577"/>
      <c r="C1143" s="576"/>
      <c r="D1143" s="607">
        <v>46632</v>
      </c>
      <c r="E1143" s="576" t="s">
        <v>720</v>
      </c>
      <c r="F1143" s="576">
        <v>49709103.350000001</v>
      </c>
      <c r="G1143" s="588">
        <v>39356.609999999404</v>
      </c>
      <c r="H1143" s="576">
        <v>0</v>
      </c>
      <c r="I1143" s="589">
        <v>0</v>
      </c>
    </row>
    <row r="1144" spans="1:9" ht="15.75" customHeight="1" x14ac:dyDescent="0.2">
      <c r="A1144" s="577"/>
      <c r="B1144" s="577"/>
      <c r="C1144" s="576"/>
      <c r="D1144" s="607">
        <v>46633</v>
      </c>
      <c r="E1144" s="576" t="s">
        <v>719</v>
      </c>
      <c r="F1144" s="576">
        <v>49748459.950000003</v>
      </c>
      <c r="G1144" s="588">
        <v>39356.60000000149</v>
      </c>
      <c r="H1144" s="576">
        <v>0</v>
      </c>
      <c r="I1144" s="589">
        <v>0</v>
      </c>
    </row>
    <row r="1145" spans="1:9" ht="15.75" customHeight="1" x14ac:dyDescent="0.2">
      <c r="A1145" s="577"/>
      <c r="B1145" s="577"/>
      <c r="C1145" s="576"/>
      <c r="D1145" s="607">
        <v>46634</v>
      </c>
      <c r="E1145" s="576" t="s">
        <v>718</v>
      </c>
      <c r="F1145" s="576">
        <v>49787816.560000002</v>
      </c>
      <c r="G1145" s="588">
        <v>39356.609999999404</v>
      </c>
      <c r="H1145" s="576">
        <v>0</v>
      </c>
      <c r="I1145" s="589">
        <v>0</v>
      </c>
    </row>
    <row r="1146" spans="1:9" ht="15.75" customHeight="1" x14ac:dyDescent="0.2">
      <c r="A1146" s="577"/>
      <c r="B1146" s="577"/>
      <c r="C1146" s="576"/>
      <c r="D1146" s="607">
        <v>46635</v>
      </c>
      <c r="E1146" s="576" t="s">
        <v>717</v>
      </c>
      <c r="F1146" s="576">
        <v>49827173.159999996</v>
      </c>
      <c r="G1146" s="588">
        <v>39356.59999999404</v>
      </c>
      <c r="H1146" s="576">
        <v>0</v>
      </c>
      <c r="I1146" s="589">
        <v>0</v>
      </c>
    </row>
    <row r="1147" spans="1:9" ht="15.75" customHeight="1" x14ac:dyDescent="0.2">
      <c r="A1147" s="577"/>
      <c r="B1147" s="577"/>
      <c r="C1147" s="576"/>
      <c r="D1147" s="607">
        <v>46636</v>
      </c>
      <c r="E1147" s="576" t="s">
        <v>716</v>
      </c>
      <c r="F1147" s="576">
        <v>49866529.770000003</v>
      </c>
      <c r="G1147" s="588">
        <v>39356.610000006855</v>
      </c>
      <c r="H1147" s="576">
        <v>0</v>
      </c>
      <c r="I1147" s="589">
        <v>0</v>
      </c>
    </row>
    <row r="1148" spans="1:9" ht="15.75" customHeight="1" x14ac:dyDescent="0.2">
      <c r="A1148" s="577"/>
      <c r="B1148" s="577"/>
      <c r="C1148" s="576"/>
      <c r="D1148" s="607">
        <v>46637</v>
      </c>
      <c r="E1148" s="576" t="s">
        <v>715</v>
      </c>
      <c r="F1148" s="576">
        <v>49905886.369999997</v>
      </c>
      <c r="G1148" s="588">
        <v>39356.59999999404</v>
      </c>
      <c r="H1148" s="576">
        <v>0</v>
      </c>
      <c r="I1148" s="589">
        <v>0</v>
      </c>
    </row>
    <row r="1149" spans="1:9" ht="15.75" customHeight="1" x14ac:dyDescent="0.2">
      <c r="A1149" s="577"/>
      <c r="B1149" s="577"/>
      <c r="C1149" s="576"/>
      <c r="D1149" s="607">
        <v>46638</v>
      </c>
      <c r="E1149" s="576" t="s">
        <v>721</v>
      </c>
      <c r="F1149" s="576">
        <v>49945242.979999997</v>
      </c>
      <c r="G1149" s="588">
        <v>39356.609999999404</v>
      </c>
      <c r="H1149" s="576">
        <v>275496.23999999464</v>
      </c>
      <c r="I1149" s="589">
        <v>550992.46999999881</v>
      </c>
    </row>
    <row r="1150" spans="1:9" ht="15.75" customHeight="1" x14ac:dyDescent="0.2">
      <c r="A1150" s="577"/>
      <c r="B1150" s="577"/>
      <c r="C1150" s="576"/>
      <c r="D1150" s="607">
        <v>46639</v>
      </c>
      <c r="E1150" s="576" t="s">
        <v>720</v>
      </c>
      <c r="F1150" s="576">
        <v>49984599.579999998</v>
      </c>
      <c r="G1150" s="588">
        <v>39356.60000000149</v>
      </c>
      <c r="H1150" s="576">
        <v>0</v>
      </c>
      <c r="I1150" s="589">
        <v>0</v>
      </c>
    </row>
    <row r="1151" spans="1:9" ht="15.75" customHeight="1" x14ac:dyDescent="0.2">
      <c r="A1151" s="577"/>
      <c r="B1151" s="577"/>
      <c r="C1151" s="576"/>
      <c r="D1151" s="607">
        <v>46640</v>
      </c>
      <c r="E1151" s="576" t="s">
        <v>719</v>
      </c>
      <c r="F1151" s="576">
        <v>50023956.189999998</v>
      </c>
      <c r="G1151" s="588">
        <v>39356.609999999404</v>
      </c>
      <c r="H1151" s="576">
        <v>0</v>
      </c>
      <c r="I1151" s="589">
        <v>0</v>
      </c>
    </row>
    <row r="1152" spans="1:9" ht="15.75" customHeight="1" x14ac:dyDescent="0.2">
      <c r="A1152" s="577"/>
      <c r="B1152" s="577"/>
      <c r="C1152" s="576"/>
      <c r="D1152" s="607">
        <v>46641</v>
      </c>
      <c r="E1152" s="576" t="s">
        <v>718</v>
      </c>
      <c r="F1152" s="576">
        <v>50063312.789999999</v>
      </c>
      <c r="G1152" s="588">
        <v>39356.60000000149</v>
      </c>
      <c r="H1152" s="576">
        <v>0</v>
      </c>
      <c r="I1152" s="589">
        <v>0</v>
      </c>
    </row>
    <row r="1153" spans="1:9" ht="15.75" customHeight="1" x14ac:dyDescent="0.2">
      <c r="A1153" s="577"/>
      <c r="B1153" s="577"/>
      <c r="C1153" s="576"/>
      <c r="D1153" s="607">
        <v>46642</v>
      </c>
      <c r="E1153" s="576" t="s">
        <v>717</v>
      </c>
      <c r="F1153" s="576">
        <v>50102669.399999999</v>
      </c>
      <c r="G1153" s="588">
        <v>39356.609999999404</v>
      </c>
      <c r="H1153" s="576">
        <v>0</v>
      </c>
      <c r="I1153" s="589">
        <v>0</v>
      </c>
    </row>
    <row r="1154" spans="1:9" ht="15.75" customHeight="1" x14ac:dyDescent="0.2">
      <c r="A1154" s="577"/>
      <c r="B1154" s="577"/>
      <c r="C1154" s="576"/>
      <c r="D1154" s="607">
        <v>46643</v>
      </c>
      <c r="E1154" s="576" t="s">
        <v>716</v>
      </c>
      <c r="F1154" s="576">
        <v>50142026</v>
      </c>
      <c r="G1154" s="588">
        <v>39356.60000000149</v>
      </c>
      <c r="H1154" s="576">
        <v>0</v>
      </c>
      <c r="I1154" s="589">
        <v>0</v>
      </c>
    </row>
    <row r="1155" spans="1:9" ht="15.75" customHeight="1" x14ac:dyDescent="0.2">
      <c r="A1155" s="577"/>
      <c r="B1155" s="577"/>
      <c r="C1155" s="576"/>
      <c r="D1155" s="607">
        <v>46644</v>
      </c>
      <c r="E1155" s="576" t="s">
        <v>715</v>
      </c>
      <c r="F1155" s="576">
        <v>50181382.609999999</v>
      </c>
      <c r="G1155" s="588">
        <v>39356.609999999404</v>
      </c>
      <c r="H1155" s="576">
        <v>0</v>
      </c>
      <c r="I1155" s="589">
        <v>0</v>
      </c>
    </row>
    <row r="1156" spans="1:9" ht="15.75" customHeight="1" x14ac:dyDescent="0.2">
      <c r="A1156" s="577"/>
      <c r="B1156" s="577"/>
      <c r="C1156" s="576"/>
      <c r="D1156" s="607">
        <v>46645</v>
      </c>
      <c r="E1156" s="576" t="s">
        <v>721</v>
      </c>
      <c r="F1156" s="576">
        <v>50220739.210000001</v>
      </c>
      <c r="G1156" s="588">
        <v>39356.60000000149</v>
      </c>
      <c r="H1156" s="576">
        <v>275496.23000000417</v>
      </c>
      <c r="I1156" s="589">
        <v>0</v>
      </c>
    </row>
    <row r="1157" spans="1:9" ht="15.75" customHeight="1" x14ac:dyDescent="0.2">
      <c r="A1157" s="577"/>
      <c r="B1157" s="577"/>
      <c r="C1157" s="576"/>
      <c r="D1157" s="607">
        <v>46646</v>
      </c>
      <c r="E1157" s="576" t="s">
        <v>720</v>
      </c>
      <c r="F1157" s="576">
        <v>50260095.82</v>
      </c>
      <c r="G1157" s="588">
        <v>39356.609999999404</v>
      </c>
      <c r="H1157" s="576">
        <v>0</v>
      </c>
      <c r="I1157" s="589">
        <v>0</v>
      </c>
    </row>
    <row r="1158" spans="1:9" ht="15.75" customHeight="1" x14ac:dyDescent="0.2">
      <c r="A1158" s="577"/>
      <c r="B1158" s="577"/>
      <c r="C1158" s="576"/>
      <c r="D1158" s="607">
        <v>46647</v>
      </c>
      <c r="E1158" s="576" t="s">
        <v>719</v>
      </c>
      <c r="F1158" s="576">
        <v>50299452.420000002</v>
      </c>
      <c r="G1158" s="588">
        <v>39356.60000000149</v>
      </c>
      <c r="H1158" s="576">
        <v>0</v>
      </c>
      <c r="I1158" s="589">
        <v>0</v>
      </c>
    </row>
    <row r="1159" spans="1:9" ht="15.75" customHeight="1" x14ac:dyDescent="0.2">
      <c r="A1159" s="577"/>
      <c r="B1159" s="577"/>
      <c r="C1159" s="576"/>
      <c r="D1159" s="607">
        <v>46648</v>
      </c>
      <c r="E1159" s="576" t="s">
        <v>718</v>
      </c>
      <c r="F1159" s="576">
        <v>50338809.030000001</v>
      </c>
      <c r="G1159" s="588">
        <v>39356.609999999404</v>
      </c>
      <c r="H1159" s="576">
        <v>0</v>
      </c>
      <c r="I1159" s="589">
        <v>0</v>
      </c>
    </row>
    <row r="1160" spans="1:9" ht="15.75" customHeight="1" x14ac:dyDescent="0.2">
      <c r="A1160" s="577"/>
      <c r="B1160" s="577"/>
      <c r="C1160" s="576"/>
      <c r="D1160" s="607">
        <v>46649</v>
      </c>
      <c r="E1160" s="576" t="s">
        <v>717</v>
      </c>
      <c r="F1160" s="576">
        <v>50378165.630000003</v>
      </c>
      <c r="G1160" s="588">
        <v>39356.60000000149</v>
      </c>
      <c r="H1160" s="576">
        <v>0</v>
      </c>
      <c r="I1160" s="589">
        <v>0</v>
      </c>
    </row>
    <row r="1161" spans="1:9" ht="15.75" customHeight="1" x14ac:dyDescent="0.2">
      <c r="A1161" s="577"/>
      <c r="B1161" s="577"/>
      <c r="C1161" s="576"/>
      <c r="D1161" s="607">
        <v>46650</v>
      </c>
      <c r="E1161" s="576" t="s">
        <v>716</v>
      </c>
      <c r="F1161" s="576">
        <v>50417522.240000002</v>
      </c>
      <c r="G1161" s="588">
        <v>39356.609999999404</v>
      </c>
      <c r="H1161" s="576">
        <v>0</v>
      </c>
      <c r="I1161" s="589">
        <v>0</v>
      </c>
    </row>
    <row r="1162" spans="1:9" ht="15.75" customHeight="1" x14ac:dyDescent="0.2">
      <c r="A1162" s="577"/>
      <c r="B1162" s="577"/>
      <c r="C1162" s="576"/>
      <c r="D1162" s="607">
        <v>46651</v>
      </c>
      <c r="E1162" s="576" t="s">
        <v>715</v>
      </c>
      <c r="F1162" s="576">
        <v>50456878.850000001</v>
      </c>
      <c r="G1162" s="588">
        <v>39356.609999999404</v>
      </c>
      <c r="H1162" s="576">
        <v>0</v>
      </c>
      <c r="I1162" s="589">
        <v>0</v>
      </c>
    </row>
    <row r="1163" spans="1:9" ht="15.75" customHeight="1" x14ac:dyDescent="0.2">
      <c r="A1163" s="577"/>
      <c r="B1163" s="577"/>
      <c r="C1163" s="576"/>
      <c r="D1163" s="607">
        <v>46652</v>
      </c>
      <c r="E1163" s="576" t="s">
        <v>721</v>
      </c>
      <c r="F1163" s="576">
        <v>50496235.450000003</v>
      </c>
      <c r="G1163" s="588">
        <v>39356.60000000149</v>
      </c>
      <c r="H1163" s="576">
        <v>275496.24000000209</v>
      </c>
      <c r="I1163" s="589">
        <v>550992.47000000626</v>
      </c>
    </row>
    <row r="1164" spans="1:9" ht="15.75" customHeight="1" x14ac:dyDescent="0.2">
      <c r="A1164" s="577"/>
      <c r="B1164" s="577"/>
      <c r="C1164" s="576"/>
      <c r="D1164" s="607">
        <v>46653</v>
      </c>
      <c r="E1164" s="576" t="s">
        <v>720</v>
      </c>
      <c r="F1164" s="576">
        <v>50535592.060000002</v>
      </c>
      <c r="G1164" s="588">
        <v>39356.609999999404</v>
      </c>
      <c r="H1164" s="576">
        <v>0</v>
      </c>
      <c r="I1164" s="589">
        <v>0</v>
      </c>
    </row>
    <row r="1165" spans="1:9" ht="15.75" customHeight="1" x14ac:dyDescent="0.2">
      <c r="A1165" s="577"/>
      <c r="B1165" s="577"/>
      <c r="C1165" s="576"/>
      <c r="D1165" s="607">
        <v>46654</v>
      </c>
      <c r="E1165" s="576" t="s">
        <v>719</v>
      </c>
      <c r="F1165" s="576">
        <v>50574948.659999996</v>
      </c>
      <c r="G1165" s="588">
        <v>39356.59999999404</v>
      </c>
      <c r="H1165" s="576">
        <v>0</v>
      </c>
      <c r="I1165" s="589">
        <v>0</v>
      </c>
    </row>
    <row r="1166" spans="1:9" ht="15.75" customHeight="1" x14ac:dyDescent="0.2">
      <c r="A1166" s="577"/>
      <c r="B1166" s="577"/>
      <c r="C1166" s="576"/>
      <c r="D1166" s="607">
        <v>46655</v>
      </c>
      <c r="E1166" s="576" t="s">
        <v>718</v>
      </c>
      <c r="F1166" s="576">
        <v>50614305.270000003</v>
      </c>
      <c r="G1166" s="588">
        <v>39356.610000006855</v>
      </c>
      <c r="H1166" s="576">
        <v>0</v>
      </c>
      <c r="I1166" s="589">
        <v>0</v>
      </c>
    </row>
    <row r="1167" spans="1:9" ht="15.75" customHeight="1" x14ac:dyDescent="0.2">
      <c r="A1167" s="577"/>
      <c r="B1167" s="577"/>
      <c r="C1167" s="576"/>
      <c r="D1167" s="607">
        <v>46656</v>
      </c>
      <c r="E1167" s="576" t="s">
        <v>717</v>
      </c>
      <c r="F1167" s="576">
        <v>50653661.869999997</v>
      </c>
      <c r="G1167" s="588">
        <v>39356.59999999404</v>
      </c>
      <c r="H1167" s="576">
        <v>0</v>
      </c>
      <c r="I1167" s="589">
        <v>0</v>
      </c>
    </row>
    <row r="1168" spans="1:9" ht="15.75" customHeight="1" x14ac:dyDescent="0.2">
      <c r="A1168" s="577"/>
      <c r="B1168" s="577"/>
      <c r="C1168" s="576"/>
      <c r="D1168" s="607">
        <v>46657</v>
      </c>
      <c r="E1168" s="576" t="s">
        <v>716</v>
      </c>
      <c r="F1168" s="576">
        <v>50693018.479999997</v>
      </c>
      <c r="G1168" s="588">
        <v>39356.609999999404</v>
      </c>
      <c r="H1168" s="576">
        <v>0</v>
      </c>
      <c r="I1168" s="589">
        <v>0</v>
      </c>
    </row>
    <row r="1169" spans="1:9" ht="15.75" customHeight="1" x14ac:dyDescent="0.2">
      <c r="A1169" s="577"/>
      <c r="B1169" s="577"/>
      <c r="C1169" s="576"/>
      <c r="D1169" s="607">
        <v>46658</v>
      </c>
      <c r="E1169" s="576" t="s">
        <v>715</v>
      </c>
      <c r="F1169" s="576">
        <v>50732375.079999998</v>
      </c>
      <c r="G1169" s="588">
        <v>39356.60000000149</v>
      </c>
      <c r="H1169" s="576">
        <v>0</v>
      </c>
      <c r="I1169" s="589">
        <v>0</v>
      </c>
    </row>
    <row r="1170" spans="1:9" ht="15.75" customHeight="1" x14ac:dyDescent="0.2">
      <c r="A1170" s="577"/>
      <c r="B1170" s="577"/>
      <c r="C1170" s="576"/>
      <c r="D1170" s="607">
        <v>46659</v>
      </c>
      <c r="E1170" s="576" t="s">
        <v>721</v>
      </c>
      <c r="F1170" s="576">
        <v>50771731.689999998</v>
      </c>
      <c r="G1170" s="588">
        <v>39356.609999999404</v>
      </c>
      <c r="H1170" s="576">
        <v>275496.23999999464</v>
      </c>
      <c r="I1170" s="589">
        <v>0</v>
      </c>
    </row>
    <row r="1171" spans="1:9" ht="15.75" customHeight="1" x14ac:dyDescent="0.2">
      <c r="A1171" s="577"/>
      <c r="B1171" s="577"/>
      <c r="C1171" s="576"/>
      <c r="D1171" s="607">
        <v>46660</v>
      </c>
      <c r="E1171" s="576" t="s">
        <v>720</v>
      </c>
      <c r="F1171" s="576">
        <v>50811088.289999999</v>
      </c>
      <c r="G1171" s="588">
        <v>39356.60000000149</v>
      </c>
      <c r="H1171" s="576">
        <v>0</v>
      </c>
      <c r="I1171" s="589">
        <v>0</v>
      </c>
    </row>
    <row r="1172" spans="1:9" ht="15.75" customHeight="1" x14ac:dyDescent="0.2">
      <c r="A1172" s="577"/>
      <c r="B1172" s="577"/>
      <c r="C1172" s="576"/>
      <c r="D1172" s="607">
        <v>46661</v>
      </c>
      <c r="E1172" s="576" t="s">
        <v>719</v>
      </c>
      <c r="F1172" s="576">
        <v>50850444.899999999</v>
      </c>
      <c r="G1172" s="588">
        <v>39356.609999999404</v>
      </c>
      <c r="H1172" s="576">
        <v>0</v>
      </c>
      <c r="I1172" s="589">
        <v>0</v>
      </c>
    </row>
    <row r="1173" spans="1:9" ht="15.75" customHeight="1" x14ac:dyDescent="0.2">
      <c r="A1173" s="577"/>
      <c r="B1173" s="577"/>
      <c r="C1173" s="576"/>
      <c r="D1173" s="607">
        <v>46662</v>
      </c>
      <c r="E1173" s="576" t="s">
        <v>718</v>
      </c>
      <c r="F1173" s="576">
        <v>50889801.5</v>
      </c>
      <c r="G1173" s="588">
        <v>39356.60000000149</v>
      </c>
      <c r="H1173" s="576">
        <v>0</v>
      </c>
      <c r="I1173" s="589">
        <v>0</v>
      </c>
    </row>
    <row r="1174" spans="1:9" ht="15.75" customHeight="1" x14ac:dyDescent="0.2">
      <c r="A1174" s="577"/>
      <c r="B1174" s="577"/>
      <c r="C1174" s="576"/>
      <c r="D1174" s="607">
        <v>46663</v>
      </c>
      <c r="E1174" s="576" t="s">
        <v>717</v>
      </c>
      <c r="F1174" s="576">
        <v>50929158.109999999</v>
      </c>
      <c r="G1174" s="588">
        <v>39356.609999999404</v>
      </c>
      <c r="H1174" s="576">
        <v>0</v>
      </c>
      <c r="I1174" s="589">
        <v>0</v>
      </c>
    </row>
    <row r="1175" spans="1:9" ht="15.75" customHeight="1" x14ac:dyDescent="0.2">
      <c r="A1175" s="577"/>
      <c r="B1175" s="577"/>
      <c r="C1175" s="576"/>
      <c r="D1175" s="607">
        <v>46664</v>
      </c>
      <c r="E1175" s="576" t="s">
        <v>716</v>
      </c>
      <c r="F1175" s="576">
        <v>50968514.710000001</v>
      </c>
      <c r="G1175" s="588">
        <v>39356.60000000149</v>
      </c>
      <c r="H1175" s="576">
        <v>0</v>
      </c>
      <c r="I1175" s="589">
        <v>0</v>
      </c>
    </row>
    <row r="1176" spans="1:9" ht="15.75" customHeight="1" x14ac:dyDescent="0.2">
      <c r="A1176" s="577"/>
      <c r="B1176" s="577"/>
      <c r="C1176" s="576"/>
      <c r="D1176" s="607">
        <v>46665</v>
      </c>
      <c r="E1176" s="576" t="s">
        <v>715</v>
      </c>
      <c r="F1176" s="576">
        <v>51007871.32</v>
      </c>
      <c r="G1176" s="588">
        <v>39356.609999999404</v>
      </c>
      <c r="H1176" s="576">
        <v>0</v>
      </c>
      <c r="I1176" s="589">
        <v>0</v>
      </c>
    </row>
    <row r="1177" spans="1:9" ht="15.75" customHeight="1" x14ac:dyDescent="0.2">
      <c r="A1177" s="577"/>
      <c r="B1177" s="577"/>
      <c r="C1177" s="576"/>
      <c r="D1177" s="607">
        <v>46666</v>
      </c>
      <c r="E1177" s="576" t="s">
        <v>721</v>
      </c>
      <c r="F1177" s="576">
        <v>51047227.920000002</v>
      </c>
      <c r="G1177" s="588">
        <v>39356.60000000149</v>
      </c>
      <c r="H1177" s="576">
        <v>275496.23000000417</v>
      </c>
      <c r="I1177" s="589">
        <v>550992.46999999881</v>
      </c>
    </row>
    <row r="1178" spans="1:9" ht="15.75" customHeight="1" x14ac:dyDescent="0.2">
      <c r="A1178" s="577"/>
      <c r="B1178" s="577"/>
      <c r="C1178" s="576"/>
      <c r="D1178" s="607">
        <v>46667</v>
      </c>
      <c r="E1178" s="576" t="s">
        <v>720</v>
      </c>
      <c r="F1178" s="576">
        <v>51086584.530000001</v>
      </c>
      <c r="G1178" s="588">
        <v>39356.609999999404</v>
      </c>
      <c r="H1178" s="576">
        <v>0</v>
      </c>
      <c r="I1178" s="589">
        <v>0</v>
      </c>
    </row>
    <row r="1179" spans="1:9" ht="15.75" customHeight="1" x14ac:dyDescent="0.2">
      <c r="A1179" s="577"/>
      <c r="B1179" s="577"/>
      <c r="C1179" s="576"/>
      <c r="D1179" s="607">
        <v>46668</v>
      </c>
      <c r="E1179" s="576" t="s">
        <v>719</v>
      </c>
      <c r="F1179" s="576">
        <v>51125941.130000003</v>
      </c>
      <c r="G1179" s="588">
        <v>39356.60000000149</v>
      </c>
      <c r="H1179" s="576">
        <v>0</v>
      </c>
      <c r="I1179" s="589">
        <v>0</v>
      </c>
    </row>
    <row r="1180" spans="1:9" ht="15.75" customHeight="1" x14ac:dyDescent="0.2">
      <c r="A1180" s="577"/>
      <c r="B1180" s="577"/>
      <c r="C1180" s="576"/>
      <c r="D1180" s="607">
        <v>46669</v>
      </c>
      <c r="E1180" s="576" t="s">
        <v>718</v>
      </c>
      <c r="F1180" s="576">
        <v>51165297.740000002</v>
      </c>
      <c r="G1180" s="588">
        <v>39356.609999999404</v>
      </c>
      <c r="H1180" s="576">
        <v>0</v>
      </c>
      <c r="I1180" s="589">
        <v>0</v>
      </c>
    </row>
    <row r="1181" spans="1:9" ht="15.75" customHeight="1" x14ac:dyDescent="0.2">
      <c r="A1181" s="577"/>
      <c r="B1181" s="577"/>
      <c r="C1181" s="576"/>
      <c r="D1181" s="607">
        <v>46670</v>
      </c>
      <c r="E1181" s="576" t="s">
        <v>717</v>
      </c>
      <c r="F1181" s="576">
        <v>51204654.340000004</v>
      </c>
      <c r="G1181" s="588">
        <v>39356.60000000149</v>
      </c>
      <c r="H1181" s="576">
        <v>0</v>
      </c>
      <c r="I1181" s="589">
        <v>0</v>
      </c>
    </row>
    <row r="1182" spans="1:9" ht="15.75" customHeight="1" x14ac:dyDescent="0.2">
      <c r="A1182" s="577"/>
      <c r="B1182" s="577"/>
      <c r="C1182" s="576"/>
      <c r="D1182" s="607">
        <v>46671</v>
      </c>
      <c r="E1182" s="576" t="s">
        <v>716</v>
      </c>
      <c r="F1182" s="576">
        <v>51244010.950000003</v>
      </c>
      <c r="G1182" s="588">
        <v>39356.609999999404</v>
      </c>
      <c r="H1182" s="576">
        <v>0</v>
      </c>
      <c r="I1182" s="589">
        <v>0</v>
      </c>
    </row>
    <row r="1183" spans="1:9" ht="15.75" customHeight="1" x14ac:dyDescent="0.2">
      <c r="A1183" s="577"/>
      <c r="B1183" s="577"/>
      <c r="C1183" s="576"/>
      <c r="D1183" s="607">
        <v>46672</v>
      </c>
      <c r="E1183" s="576" t="s">
        <v>715</v>
      </c>
      <c r="F1183" s="576">
        <v>51283367.549999997</v>
      </c>
      <c r="G1183" s="588">
        <v>39356.59999999404</v>
      </c>
      <c r="H1183" s="576">
        <v>0</v>
      </c>
      <c r="I1183" s="589">
        <v>0</v>
      </c>
    </row>
    <row r="1184" spans="1:9" ht="15.75" customHeight="1" x14ac:dyDescent="0.2">
      <c r="A1184" s="577"/>
      <c r="B1184" s="577"/>
      <c r="C1184" s="576"/>
      <c r="D1184" s="607">
        <v>46673</v>
      </c>
      <c r="E1184" s="576" t="s">
        <v>721</v>
      </c>
      <c r="F1184" s="576">
        <v>51322724.159999996</v>
      </c>
      <c r="G1184" s="588">
        <v>39356.609999999404</v>
      </c>
      <c r="H1184" s="576">
        <v>275496.23999999464</v>
      </c>
      <c r="I1184" s="589">
        <v>0</v>
      </c>
    </row>
    <row r="1185" spans="1:9" ht="15.75" customHeight="1" x14ac:dyDescent="0.2">
      <c r="A1185" s="577"/>
      <c r="B1185" s="577"/>
      <c r="C1185" s="576"/>
      <c r="D1185" s="607">
        <v>46674</v>
      </c>
      <c r="E1185" s="576" t="s">
        <v>720</v>
      </c>
      <c r="F1185" s="576">
        <v>51362080.759999998</v>
      </c>
      <c r="G1185" s="588">
        <v>39356.60000000149</v>
      </c>
      <c r="H1185" s="576">
        <v>0</v>
      </c>
      <c r="I1185" s="589">
        <v>0</v>
      </c>
    </row>
    <row r="1186" spans="1:9" ht="15.75" customHeight="1" x14ac:dyDescent="0.2">
      <c r="A1186" s="577"/>
      <c r="B1186" s="577"/>
      <c r="C1186" s="576"/>
      <c r="D1186" s="607">
        <v>46675</v>
      </c>
      <c r="E1186" s="576" t="s">
        <v>719</v>
      </c>
      <c r="F1186" s="576">
        <v>51401437.369999997</v>
      </c>
      <c r="G1186" s="588">
        <v>39356.609999999404</v>
      </c>
      <c r="H1186" s="576">
        <v>0</v>
      </c>
      <c r="I1186" s="589">
        <v>0</v>
      </c>
    </row>
    <row r="1187" spans="1:9" ht="15.75" customHeight="1" x14ac:dyDescent="0.2">
      <c r="A1187" s="577"/>
      <c r="B1187" s="577"/>
      <c r="C1187" s="576"/>
      <c r="D1187" s="607">
        <v>46676</v>
      </c>
      <c r="E1187" s="576" t="s">
        <v>718</v>
      </c>
      <c r="F1187" s="576">
        <v>51440793.969999999</v>
      </c>
      <c r="G1187" s="588">
        <v>39356.60000000149</v>
      </c>
      <c r="H1187" s="576">
        <v>0</v>
      </c>
      <c r="I1187" s="589">
        <v>0</v>
      </c>
    </row>
    <row r="1188" spans="1:9" ht="15.75" customHeight="1" x14ac:dyDescent="0.2">
      <c r="A1188" s="577"/>
      <c r="B1188" s="577"/>
      <c r="C1188" s="576"/>
      <c r="D1188" s="607">
        <v>46677</v>
      </c>
      <c r="E1188" s="576" t="s">
        <v>717</v>
      </c>
      <c r="F1188" s="576">
        <v>51480150.579999998</v>
      </c>
      <c r="G1188" s="588">
        <v>39356.609999999404</v>
      </c>
      <c r="H1188" s="576">
        <v>0</v>
      </c>
      <c r="I1188" s="589">
        <v>0</v>
      </c>
    </row>
    <row r="1189" spans="1:9" ht="15.75" customHeight="1" x14ac:dyDescent="0.2">
      <c r="A1189" s="577"/>
      <c r="B1189" s="577"/>
      <c r="C1189" s="576"/>
      <c r="D1189" s="607">
        <v>46678</v>
      </c>
      <c r="E1189" s="576" t="s">
        <v>716</v>
      </c>
      <c r="F1189" s="576">
        <v>51519507.18</v>
      </c>
      <c r="G1189" s="588">
        <v>39356.60000000149</v>
      </c>
      <c r="H1189" s="576">
        <v>0</v>
      </c>
      <c r="I1189" s="589">
        <v>0</v>
      </c>
    </row>
    <row r="1190" spans="1:9" ht="15.75" customHeight="1" x14ac:dyDescent="0.2">
      <c r="A1190" s="577"/>
      <c r="B1190" s="577"/>
      <c r="C1190" s="576"/>
      <c r="D1190" s="607">
        <v>46679</v>
      </c>
      <c r="E1190" s="576" t="s">
        <v>715</v>
      </c>
      <c r="F1190" s="576">
        <v>51558863.789999999</v>
      </c>
      <c r="G1190" s="588">
        <v>39356.609999999404</v>
      </c>
      <c r="H1190" s="576">
        <v>0</v>
      </c>
      <c r="I1190" s="589">
        <v>0</v>
      </c>
    </row>
    <row r="1191" spans="1:9" ht="15.75" customHeight="1" x14ac:dyDescent="0.2">
      <c r="A1191" s="577"/>
      <c r="B1191" s="577"/>
      <c r="C1191" s="576"/>
      <c r="D1191" s="607">
        <v>46680</v>
      </c>
      <c r="E1191" s="576" t="s">
        <v>721</v>
      </c>
      <c r="F1191" s="576">
        <v>51598220.390000001</v>
      </c>
      <c r="G1191" s="588">
        <v>39356.60000000149</v>
      </c>
      <c r="H1191" s="576">
        <v>275496.23000000417</v>
      </c>
      <c r="I1191" s="589">
        <v>550992.46999999881</v>
      </c>
    </row>
    <row r="1192" spans="1:9" ht="15.75" customHeight="1" x14ac:dyDescent="0.2">
      <c r="A1192" s="577"/>
      <c r="B1192" s="577"/>
      <c r="C1192" s="576"/>
      <c r="D1192" s="607">
        <v>46681</v>
      </c>
      <c r="E1192" s="576" t="s">
        <v>720</v>
      </c>
      <c r="F1192" s="576">
        <v>51637577</v>
      </c>
      <c r="G1192" s="588">
        <v>39356.609999999404</v>
      </c>
      <c r="H1192" s="576">
        <v>0</v>
      </c>
      <c r="I1192" s="589">
        <v>0</v>
      </c>
    </row>
    <row r="1193" spans="1:9" ht="15.75" customHeight="1" x14ac:dyDescent="0.2">
      <c r="A1193" s="577"/>
      <c r="B1193" s="577"/>
      <c r="C1193" s="576"/>
      <c r="D1193" s="607">
        <v>46682</v>
      </c>
      <c r="E1193" s="576" t="s">
        <v>719</v>
      </c>
      <c r="F1193" s="576">
        <v>51676933.600000001</v>
      </c>
      <c r="G1193" s="588">
        <v>39356.60000000149</v>
      </c>
      <c r="H1193" s="576">
        <v>0</v>
      </c>
      <c r="I1193" s="589">
        <v>0</v>
      </c>
    </row>
    <row r="1194" spans="1:9" ht="15.75" customHeight="1" x14ac:dyDescent="0.2">
      <c r="A1194" s="577"/>
      <c r="B1194" s="577"/>
      <c r="C1194" s="576"/>
      <c r="D1194" s="607">
        <v>46683</v>
      </c>
      <c r="E1194" s="576" t="s">
        <v>718</v>
      </c>
      <c r="F1194" s="576">
        <v>51716290.210000001</v>
      </c>
      <c r="G1194" s="588">
        <v>39356.609999999404</v>
      </c>
      <c r="H1194" s="576">
        <v>0</v>
      </c>
      <c r="I1194" s="589">
        <v>0</v>
      </c>
    </row>
    <row r="1195" spans="1:9" ht="15.75" customHeight="1" x14ac:dyDescent="0.2">
      <c r="A1195" s="577"/>
      <c r="B1195" s="577"/>
      <c r="C1195" s="576"/>
      <c r="D1195" s="607">
        <v>46684</v>
      </c>
      <c r="E1195" s="576" t="s">
        <v>717</v>
      </c>
      <c r="F1195" s="576">
        <v>51755646.810000002</v>
      </c>
      <c r="G1195" s="588">
        <v>39356.60000000149</v>
      </c>
      <c r="H1195" s="576">
        <v>0</v>
      </c>
      <c r="I1195" s="589">
        <v>0</v>
      </c>
    </row>
    <row r="1196" spans="1:9" ht="15.75" customHeight="1" x14ac:dyDescent="0.2">
      <c r="A1196" s="577"/>
      <c r="B1196" s="577"/>
      <c r="C1196" s="576"/>
      <c r="D1196" s="607">
        <v>46685</v>
      </c>
      <c r="E1196" s="576" t="s">
        <v>716</v>
      </c>
      <c r="F1196" s="576">
        <v>51795003.420000002</v>
      </c>
      <c r="G1196" s="588">
        <v>39356.609999999404</v>
      </c>
      <c r="H1196" s="576">
        <v>0</v>
      </c>
      <c r="I1196" s="589">
        <v>0</v>
      </c>
    </row>
    <row r="1197" spans="1:9" ht="15.75" customHeight="1" x14ac:dyDescent="0.2">
      <c r="A1197" s="577"/>
      <c r="B1197" s="577"/>
      <c r="C1197" s="576"/>
      <c r="D1197" s="607">
        <v>46686</v>
      </c>
      <c r="E1197" s="576" t="s">
        <v>715</v>
      </c>
      <c r="F1197" s="576">
        <v>51834360.020000003</v>
      </c>
      <c r="G1197" s="588">
        <v>39356.60000000149</v>
      </c>
      <c r="H1197" s="576">
        <v>0</v>
      </c>
      <c r="I1197" s="589">
        <v>0</v>
      </c>
    </row>
    <row r="1198" spans="1:9" ht="15.75" customHeight="1" x14ac:dyDescent="0.2">
      <c r="A1198" s="577"/>
      <c r="B1198" s="577"/>
      <c r="C1198" s="576"/>
      <c r="D1198" s="607">
        <v>46687</v>
      </c>
      <c r="E1198" s="576" t="s">
        <v>721</v>
      </c>
      <c r="F1198" s="576">
        <v>51873716.630000003</v>
      </c>
      <c r="G1198" s="588">
        <v>39356.609999999404</v>
      </c>
      <c r="H1198" s="576">
        <v>275496.24000000209</v>
      </c>
      <c r="I1198" s="589">
        <v>0</v>
      </c>
    </row>
    <row r="1199" spans="1:9" ht="15.75" customHeight="1" x14ac:dyDescent="0.2">
      <c r="A1199" s="577"/>
      <c r="B1199" s="577"/>
      <c r="C1199" s="576"/>
      <c r="D1199" s="607">
        <v>46688</v>
      </c>
      <c r="E1199" s="576" t="s">
        <v>720</v>
      </c>
      <c r="F1199" s="576">
        <v>51913073.229999997</v>
      </c>
      <c r="G1199" s="588">
        <v>39356.59999999404</v>
      </c>
      <c r="H1199" s="576">
        <v>0</v>
      </c>
      <c r="I1199" s="589">
        <v>0</v>
      </c>
    </row>
    <row r="1200" spans="1:9" ht="15.75" customHeight="1" x14ac:dyDescent="0.2">
      <c r="A1200" s="577"/>
      <c r="B1200" s="577"/>
      <c r="C1200" s="576"/>
      <c r="D1200" s="607">
        <v>46689</v>
      </c>
      <c r="E1200" s="576" t="s">
        <v>719</v>
      </c>
      <c r="F1200" s="576">
        <v>51952429.840000004</v>
      </c>
      <c r="G1200" s="588">
        <v>39356.610000006855</v>
      </c>
      <c r="H1200" s="576">
        <v>0</v>
      </c>
      <c r="I1200" s="589">
        <v>0</v>
      </c>
    </row>
    <row r="1201" spans="1:9" ht="15.75" customHeight="1" x14ac:dyDescent="0.2">
      <c r="A1201" s="577"/>
      <c r="B1201" s="577"/>
      <c r="C1201" s="576"/>
      <c r="D1201" s="607">
        <v>46690</v>
      </c>
      <c r="E1201" s="576" t="s">
        <v>718</v>
      </c>
      <c r="F1201" s="576">
        <v>51991786.439999998</v>
      </c>
      <c r="G1201" s="588">
        <v>39356.59999999404</v>
      </c>
      <c r="H1201" s="576">
        <v>0</v>
      </c>
      <c r="I1201" s="589">
        <v>0</v>
      </c>
    </row>
    <row r="1202" spans="1:9" ht="15.75" customHeight="1" x14ac:dyDescent="0.2">
      <c r="A1202" s="577"/>
      <c r="B1202" s="577"/>
      <c r="C1202" s="576"/>
      <c r="D1202" s="607">
        <v>46691</v>
      </c>
      <c r="E1202" s="576" t="s">
        <v>717</v>
      </c>
      <c r="F1202" s="576">
        <v>52031143.049999997</v>
      </c>
      <c r="G1202" s="588">
        <v>39356.609999999404</v>
      </c>
      <c r="H1202" s="576">
        <v>0</v>
      </c>
      <c r="I1202" s="589">
        <v>0</v>
      </c>
    </row>
    <row r="1203" spans="1:9" ht="15.75" customHeight="1" x14ac:dyDescent="0.2">
      <c r="A1203" s="577"/>
      <c r="B1203" s="577"/>
      <c r="C1203" s="576"/>
      <c r="D1203" s="607">
        <v>46692</v>
      </c>
      <c r="E1203" s="576" t="s">
        <v>716</v>
      </c>
      <c r="F1203" s="576">
        <v>52070499.649999999</v>
      </c>
      <c r="G1203" s="588">
        <v>39356.60000000149</v>
      </c>
      <c r="H1203" s="576">
        <v>0</v>
      </c>
      <c r="I1203" s="589">
        <v>0</v>
      </c>
    </row>
    <row r="1204" spans="1:9" ht="15.75" customHeight="1" x14ac:dyDescent="0.2">
      <c r="A1204" s="577"/>
      <c r="B1204" s="577"/>
      <c r="C1204" s="576"/>
      <c r="D1204" s="607">
        <v>46693</v>
      </c>
      <c r="E1204" s="576" t="s">
        <v>715</v>
      </c>
      <c r="F1204" s="576">
        <v>52109856.259999998</v>
      </c>
      <c r="G1204" s="588">
        <v>39356.609999999404</v>
      </c>
      <c r="H1204" s="576">
        <v>0</v>
      </c>
      <c r="I1204" s="589">
        <v>0</v>
      </c>
    </row>
    <row r="1205" spans="1:9" ht="15.75" customHeight="1" x14ac:dyDescent="0.2">
      <c r="A1205" s="577"/>
      <c r="B1205" s="577"/>
      <c r="C1205" s="576"/>
      <c r="D1205" s="607">
        <v>46694</v>
      </c>
      <c r="E1205" s="576" t="s">
        <v>721</v>
      </c>
      <c r="F1205" s="576">
        <v>52149212.859999999</v>
      </c>
      <c r="G1205" s="588">
        <v>39356.60000000149</v>
      </c>
      <c r="H1205" s="576">
        <v>275496.22999999672</v>
      </c>
      <c r="I1205" s="589">
        <v>550992.46999999881</v>
      </c>
    </row>
    <row r="1206" spans="1:9" ht="15.75" customHeight="1" x14ac:dyDescent="0.2">
      <c r="A1206" s="577"/>
      <c r="B1206" s="577"/>
      <c r="C1206" s="576"/>
      <c r="D1206" s="607">
        <v>46695</v>
      </c>
      <c r="E1206" s="576" t="s">
        <v>720</v>
      </c>
      <c r="F1206" s="576">
        <v>52188569.469999999</v>
      </c>
      <c r="G1206" s="588">
        <v>39356.609999999404</v>
      </c>
      <c r="H1206" s="576">
        <v>0</v>
      </c>
      <c r="I1206" s="589">
        <v>0</v>
      </c>
    </row>
    <row r="1207" spans="1:9" ht="15.75" customHeight="1" x14ac:dyDescent="0.2">
      <c r="A1207" s="577"/>
      <c r="B1207" s="577"/>
      <c r="C1207" s="576"/>
      <c r="D1207" s="607">
        <v>46696</v>
      </c>
      <c r="E1207" s="576" t="s">
        <v>719</v>
      </c>
      <c r="F1207" s="576">
        <v>52227926.07</v>
      </c>
      <c r="G1207" s="588">
        <v>39356.60000000149</v>
      </c>
      <c r="H1207" s="576">
        <v>0</v>
      </c>
      <c r="I1207" s="589">
        <v>0</v>
      </c>
    </row>
    <row r="1208" spans="1:9" ht="15.75" customHeight="1" x14ac:dyDescent="0.2">
      <c r="A1208" s="577"/>
      <c r="B1208" s="577"/>
      <c r="C1208" s="576"/>
      <c r="D1208" s="607">
        <v>46697</v>
      </c>
      <c r="E1208" s="576" t="s">
        <v>718</v>
      </c>
      <c r="F1208" s="576">
        <v>52267282.68</v>
      </c>
      <c r="G1208" s="588">
        <v>39356.609999999404</v>
      </c>
      <c r="H1208" s="576">
        <v>0</v>
      </c>
      <c r="I1208" s="589">
        <v>0</v>
      </c>
    </row>
    <row r="1209" spans="1:9" ht="15.75" customHeight="1" x14ac:dyDescent="0.2">
      <c r="A1209" s="577"/>
      <c r="B1209" s="577"/>
      <c r="C1209" s="576"/>
      <c r="D1209" s="607">
        <v>46698</v>
      </c>
      <c r="E1209" s="576" t="s">
        <v>717</v>
      </c>
      <c r="F1209" s="576">
        <v>52306639.280000001</v>
      </c>
      <c r="G1209" s="588">
        <v>39356.60000000149</v>
      </c>
      <c r="H1209" s="576">
        <v>0</v>
      </c>
      <c r="I1209" s="589">
        <v>0</v>
      </c>
    </row>
    <row r="1210" spans="1:9" ht="15.75" customHeight="1" x14ac:dyDescent="0.2">
      <c r="A1210" s="577"/>
      <c r="B1210" s="577"/>
      <c r="C1210" s="576"/>
      <c r="D1210" s="607">
        <v>46699</v>
      </c>
      <c r="E1210" s="576" t="s">
        <v>716</v>
      </c>
      <c r="F1210" s="576">
        <v>52345995.890000001</v>
      </c>
      <c r="G1210" s="588">
        <v>39356.609999999404</v>
      </c>
      <c r="H1210" s="576">
        <v>0</v>
      </c>
      <c r="I1210" s="589">
        <v>0</v>
      </c>
    </row>
    <row r="1211" spans="1:9" ht="15.75" customHeight="1" x14ac:dyDescent="0.2">
      <c r="A1211" s="577"/>
      <c r="B1211" s="577"/>
      <c r="C1211" s="576"/>
      <c r="D1211" s="607">
        <v>46700</v>
      </c>
      <c r="E1211" s="576" t="s">
        <v>715</v>
      </c>
      <c r="F1211" s="576">
        <v>52385352.490000002</v>
      </c>
      <c r="G1211" s="588">
        <v>39356.60000000149</v>
      </c>
      <c r="H1211" s="576">
        <v>0</v>
      </c>
      <c r="I1211" s="589">
        <v>0</v>
      </c>
    </row>
    <row r="1212" spans="1:9" ht="15.75" customHeight="1" x14ac:dyDescent="0.2">
      <c r="A1212" s="577"/>
      <c r="B1212" s="577"/>
      <c r="C1212" s="576"/>
      <c r="D1212" s="607">
        <v>46701</v>
      </c>
      <c r="E1212" s="576" t="s">
        <v>721</v>
      </c>
      <c r="F1212" s="576">
        <v>52424709.100000001</v>
      </c>
      <c r="G1212" s="588">
        <v>39356.609999999404</v>
      </c>
      <c r="H1212" s="576">
        <v>275496.24000000209</v>
      </c>
      <c r="I1212" s="589">
        <v>0</v>
      </c>
    </row>
    <row r="1213" spans="1:9" ht="15.75" customHeight="1" x14ac:dyDescent="0.2">
      <c r="A1213" s="577"/>
      <c r="B1213" s="577"/>
      <c r="C1213" s="576"/>
      <c r="D1213" s="607">
        <v>46702</v>
      </c>
      <c r="E1213" s="576" t="s">
        <v>720</v>
      </c>
      <c r="F1213" s="576">
        <v>52464065.700000003</v>
      </c>
      <c r="G1213" s="588">
        <v>39356.60000000149</v>
      </c>
      <c r="H1213" s="576">
        <v>0</v>
      </c>
      <c r="I1213" s="589">
        <v>0</v>
      </c>
    </row>
    <row r="1214" spans="1:9" ht="15.75" customHeight="1" x14ac:dyDescent="0.2">
      <c r="A1214" s="577"/>
      <c r="B1214" s="577"/>
      <c r="C1214" s="576"/>
      <c r="D1214" s="607">
        <v>46703</v>
      </c>
      <c r="E1214" s="576" t="s">
        <v>719</v>
      </c>
      <c r="F1214" s="576">
        <v>52503422.310000002</v>
      </c>
      <c r="G1214" s="588">
        <v>39356.609999999404</v>
      </c>
      <c r="H1214" s="576">
        <v>0</v>
      </c>
      <c r="I1214" s="589">
        <v>0</v>
      </c>
    </row>
    <row r="1215" spans="1:9" ht="15.75" customHeight="1" x14ac:dyDescent="0.2">
      <c r="A1215" s="577"/>
      <c r="B1215" s="577"/>
      <c r="C1215" s="576"/>
      <c r="D1215" s="607">
        <v>46704</v>
      </c>
      <c r="E1215" s="576" t="s">
        <v>718</v>
      </c>
      <c r="F1215" s="576">
        <v>52542778.909999996</v>
      </c>
      <c r="G1215" s="588">
        <v>39356.59999999404</v>
      </c>
      <c r="H1215" s="576">
        <v>0</v>
      </c>
      <c r="I1215" s="589">
        <v>0</v>
      </c>
    </row>
    <row r="1216" spans="1:9" ht="15.75" customHeight="1" x14ac:dyDescent="0.2">
      <c r="A1216" s="577"/>
      <c r="B1216" s="577"/>
      <c r="C1216" s="576"/>
      <c r="D1216" s="607">
        <v>46705</v>
      </c>
      <c r="E1216" s="576" t="s">
        <v>717</v>
      </c>
      <c r="F1216" s="576">
        <v>52582135.520000003</v>
      </c>
      <c r="G1216" s="588">
        <v>39356.610000006855</v>
      </c>
      <c r="H1216" s="576">
        <v>0</v>
      </c>
      <c r="I1216" s="589">
        <v>0</v>
      </c>
    </row>
    <row r="1217" spans="1:9" ht="15.75" customHeight="1" x14ac:dyDescent="0.2">
      <c r="A1217" s="577"/>
      <c r="B1217" s="577"/>
      <c r="C1217" s="576"/>
      <c r="D1217" s="607">
        <v>46706</v>
      </c>
      <c r="E1217" s="576" t="s">
        <v>716</v>
      </c>
      <c r="F1217" s="576">
        <v>52621492.119999997</v>
      </c>
      <c r="G1217" s="588">
        <v>39356.59999999404</v>
      </c>
      <c r="H1217" s="576">
        <v>0</v>
      </c>
      <c r="I1217" s="589">
        <v>0</v>
      </c>
    </row>
    <row r="1218" spans="1:9" ht="15.75" customHeight="1" x14ac:dyDescent="0.2">
      <c r="A1218" s="577"/>
      <c r="B1218" s="577"/>
      <c r="C1218" s="576"/>
      <c r="D1218" s="607">
        <v>46707</v>
      </c>
      <c r="E1218" s="576" t="s">
        <v>715</v>
      </c>
      <c r="F1218" s="576">
        <v>52660848.729999997</v>
      </c>
      <c r="G1218" s="588">
        <v>39356.609999999404</v>
      </c>
      <c r="H1218" s="576">
        <v>0</v>
      </c>
      <c r="I1218" s="589">
        <v>0</v>
      </c>
    </row>
    <row r="1219" spans="1:9" ht="15.75" customHeight="1" x14ac:dyDescent="0.2">
      <c r="A1219" s="577"/>
      <c r="B1219" s="577"/>
      <c r="C1219" s="576"/>
      <c r="D1219" s="607">
        <v>46708</v>
      </c>
      <c r="E1219" s="576" t="s">
        <v>721</v>
      </c>
      <c r="F1219" s="576">
        <v>52700205.329999998</v>
      </c>
      <c r="G1219" s="588">
        <v>39356.60000000149</v>
      </c>
      <c r="H1219" s="576">
        <v>275496.22999999672</v>
      </c>
      <c r="I1219" s="589">
        <v>550992.46999999881</v>
      </c>
    </row>
    <row r="1220" spans="1:9" ht="15.75" customHeight="1" x14ac:dyDescent="0.2">
      <c r="A1220" s="577"/>
      <c r="B1220" s="577"/>
      <c r="C1220" s="576"/>
      <c r="D1220" s="607">
        <v>46709</v>
      </c>
      <c r="E1220" s="576" t="s">
        <v>720</v>
      </c>
      <c r="F1220" s="576">
        <v>52739561.939999998</v>
      </c>
      <c r="G1220" s="588">
        <v>39356.609999999404</v>
      </c>
      <c r="H1220" s="576">
        <v>0</v>
      </c>
      <c r="I1220" s="589">
        <v>0</v>
      </c>
    </row>
    <row r="1221" spans="1:9" ht="15.75" customHeight="1" x14ac:dyDescent="0.2">
      <c r="A1221" s="577"/>
      <c r="B1221" s="577"/>
      <c r="C1221" s="576"/>
      <c r="D1221" s="607">
        <v>46710</v>
      </c>
      <c r="E1221" s="576" t="s">
        <v>719</v>
      </c>
      <c r="F1221" s="576">
        <v>52778918.539999999</v>
      </c>
      <c r="G1221" s="588">
        <v>39356.60000000149</v>
      </c>
      <c r="H1221" s="576">
        <v>0</v>
      </c>
      <c r="I1221" s="589">
        <v>0</v>
      </c>
    </row>
    <row r="1222" spans="1:9" ht="15.75" customHeight="1" x14ac:dyDescent="0.2">
      <c r="A1222" s="577"/>
      <c r="B1222" s="577"/>
      <c r="C1222" s="576"/>
      <c r="D1222" s="607">
        <v>46711</v>
      </c>
      <c r="E1222" s="576" t="s">
        <v>718</v>
      </c>
      <c r="F1222" s="576">
        <v>52818275.149999999</v>
      </c>
      <c r="G1222" s="588">
        <v>39356.609999999404</v>
      </c>
      <c r="H1222" s="576">
        <v>0</v>
      </c>
      <c r="I1222" s="589">
        <v>0</v>
      </c>
    </row>
    <row r="1223" spans="1:9" ht="15.75" customHeight="1" x14ac:dyDescent="0.2">
      <c r="A1223" s="577"/>
      <c r="B1223" s="577"/>
      <c r="C1223" s="576"/>
      <c r="D1223" s="607">
        <v>46712</v>
      </c>
      <c r="E1223" s="576" t="s">
        <v>717</v>
      </c>
      <c r="F1223" s="576">
        <v>52857631.75</v>
      </c>
      <c r="G1223" s="588">
        <v>39356.60000000149</v>
      </c>
      <c r="H1223" s="576">
        <v>0</v>
      </c>
      <c r="I1223" s="589">
        <v>0</v>
      </c>
    </row>
    <row r="1224" spans="1:9" ht="15.75" customHeight="1" x14ac:dyDescent="0.2">
      <c r="A1224" s="577"/>
      <c r="B1224" s="577"/>
      <c r="C1224" s="576"/>
      <c r="D1224" s="607">
        <v>46713</v>
      </c>
      <c r="E1224" s="576" t="s">
        <v>716</v>
      </c>
      <c r="F1224" s="576">
        <v>52896988.359999999</v>
      </c>
      <c r="G1224" s="588">
        <v>39356.609999999404</v>
      </c>
      <c r="H1224" s="576">
        <v>0</v>
      </c>
      <c r="I1224" s="589">
        <v>0</v>
      </c>
    </row>
    <row r="1225" spans="1:9" ht="15.75" customHeight="1" x14ac:dyDescent="0.2">
      <c r="A1225" s="577"/>
      <c r="B1225" s="577"/>
      <c r="C1225" s="576"/>
      <c r="D1225" s="607">
        <v>46714</v>
      </c>
      <c r="E1225" s="576" t="s">
        <v>715</v>
      </c>
      <c r="F1225" s="576">
        <v>52936344.960000001</v>
      </c>
      <c r="G1225" s="588">
        <v>39356.60000000149</v>
      </c>
      <c r="H1225" s="576">
        <v>0</v>
      </c>
      <c r="I1225" s="589">
        <v>0</v>
      </c>
    </row>
    <row r="1226" spans="1:9" ht="15.75" customHeight="1" x14ac:dyDescent="0.2">
      <c r="A1226" s="577"/>
      <c r="B1226" s="577"/>
      <c r="C1226" s="576"/>
      <c r="D1226" s="607">
        <v>46715</v>
      </c>
      <c r="E1226" s="576" t="s">
        <v>721</v>
      </c>
      <c r="F1226" s="576">
        <v>52975701.57</v>
      </c>
      <c r="G1226" s="588">
        <v>39356.609999999404</v>
      </c>
      <c r="H1226" s="576">
        <v>275496.24000000209</v>
      </c>
      <c r="I1226" s="589">
        <v>0</v>
      </c>
    </row>
    <row r="1227" spans="1:9" ht="15.75" customHeight="1" x14ac:dyDescent="0.2">
      <c r="A1227" s="577"/>
      <c r="B1227" s="577"/>
      <c r="C1227" s="576"/>
      <c r="D1227" s="607">
        <v>46716</v>
      </c>
      <c r="E1227" s="576" t="s">
        <v>720</v>
      </c>
      <c r="F1227" s="576">
        <v>53015058.170000002</v>
      </c>
      <c r="G1227" s="588">
        <v>39356.60000000149</v>
      </c>
      <c r="H1227" s="576">
        <v>0</v>
      </c>
      <c r="I1227" s="589">
        <v>0</v>
      </c>
    </row>
    <row r="1228" spans="1:9" ht="15.75" customHeight="1" x14ac:dyDescent="0.2">
      <c r="A1228" s="577"/>
      <c r="B1228" s="577"/>
      <c r="C1228" s="576"/>
      <c r="D1228" s="607">
        <v>46717</v>
      </c>
      <c r="E1228" s="576" t="s">
        <v>719</v>
      </c>
      <c r="F1228" s="576">
        <v>53054414.780000001</v>
      </c>
      <c r="G1228" s="588">
        <v>39356.609999999404</v>
      </c>
      <c r="H1228" s="576">
        <v>0</v>
      </c>
      <c r="I1228" s="589">
        <v>0</v>
      </c>
    </row>
    <row r="1229" spans="1:9" ht="15.75" customHeight="1" x14ac:dyDescent="0.2">
      <c r="A1229" s="577"/>
      <c r="B1229" s="577"/>
      <c r="C1229" s="576"/>
      <c r="D1229" s="607">
        <v>46718</v>
      </c>
      <c r="E1229" s="576" t="s">
        <v>718</v>
      </c>
      <c r="F1229" s="576">
        <v>53093771.380000003</v>
      </c>
      <c r="G1229" s="588">
        <v>39356.60000000149</v>
      </c>
      <c r="H1229" s="576">
        <v>0</v>
      </c>
      <c r="I1229" s="589">
        <v>0</v>
      </c>
    </row>
    <row r="1230" spans="1:9" ht="15.75" customHeight="1" x14ac:dyDescent="0.2">
      <c r="A1230" s="577"/>
      <c r="B1230" s="577"/>
      <c r="C1230" s="576"/>
      <c r="D1230" s="607">
        <v>46719</v>
      </c>
      <c r="E1230" s="576" t="s">
        <v>717</v>
      </c>
      <c r="F1230" s="576">
        <v>53133127.990000002</v>
      </c>
      <c r="G1230" s="588">
        <v>39356.609999999404</v>
      </c>
      <c r="H1230" s="576">
        <v>0</v>
      </c>
      <c r="I1230" s="589">
        <v>0</v>
      </c>
    </row>
    <row r="1231" spans="1:9" ht="15.75" customHeight="1" x14ac:dyDescent="0.2">
      <c r="A1231" s="577"/>
      <c r="B1231" s="577"/>
      <c r="C1231" s="576"/>
      <c r="D1231" s="607">
        <v>46720</v>
      </c>
      <c r="E1231" s="576" t="s">
        <v>716</v>
      </c>
      <c r="F1231" s="576">
        <v>53172484.590000004</v>
      </c>
      <c r="G1231" s="588">
        <v>39356.60000000149</v>
      </c>
      <c r="H1231" s="576">
        <v>0</v>
      </c>
      <c r="I1231" s="589">
        <v>0</v>
      </c>
    </row>
    <row r="1232" spans="1:9" ht="15.75" customHeight="1" x14ac:dyDescent="0.2">
      <c r="A1232" s="577"/>
      <c r="B1232" s="577"/>
      <c r="C1232" s="576"/>
      <c r="D1232" s="607">
        <v>46721</v>
      </c>
      <c r="E1232" s="576" t="s">
        <v>715</v>
      </c>
      <c r="F1232" s="576">
        <v>53211841.200000003</v>
      </c>
      <c r="G1232" s="588">
        <v>39356.609999999404</v>
      </c>
      <c r="H1232" s="576">
        <v>0</v>
      </c>
      <c r="I1232" s="589">
        <v>0</v>
      </c>
    </row>
    <row r="1233" spans="1:9" ht="15.75" customHeight="1" x14ac:dyDescent="0.2">
      <c r="A1233" s="577"/>
      <c r="B1233" s="577"/>
      <c r="C1233" s="576"/>
      <c r="D1233" s="607">
        <v>46722</v>
      </c>
      <c r="E1233" s="576" t="s">
        <v>721</v>
      </c>
      <c r="F1233" s="576">
        <v>53251197.799999997</v>
      </c>
      <c r="G1233" s="588">
        <v>39356.59999999404</v>
      </c>
      <c r="H1233" s="576">
        <v>275496.22999999672</v>
      </c>
      <c r="I1233" s="589">
        <v>550992.46999999881</v>
      </c>
    </row>
    <row r="1234" spans="1:9" ht="15.75" customHeight="1" x14ac:dyDescent="0.2">
      <c r="A1234" s="577"/>
      <c r="B1234" s="577"/>
      <c r="C1234" s="576"/>
      <c r="D1234" s="607">
        <v>46723</v>
      </c>
      <c r="E1234" s="576" t="s">
        <v>720</v>
      </c>
      <c r="F1234" s="576">
        <v>53290554.409999996</v>
      </c>
      <c r="G1234" s="588">
        <v>39356.609999999404</v>
      </c>
      <c r="H1234" s="576">
        <v>0</v>
      </c>
      <c r="I1234" s="589">
        <v>0</v>
      </c>
    </row>
    <row r="1235" spans="1:9" ht="15.75" customHeight="1" x14ac:dyDescent="0.2">
      <c r="A1235" s="577"/>
      <c r="B1235" s="577"/>
      <c r="C1235" s="576"/>
      <c r="D1235" s="607">
        <v>46724</v>
      </c>
      <c r="E1235" s="576" t="s">
        <v>719</v>
      </c>
      <c r="F1235" s="576">
        <v>53329911.009999998</v>
      </c>
      <c r="G1235" s="588">
        <v>39356.60000000149</v>
      </c>
      <c r="H1235" s="576">
        <v>0</v>
      </c>
      <c r="I1235" s="589">
        <v>0</v>
      </c>
    </row>
    <row r="1236" spans="1:9" ht="15.75" customHeight="1" x14ac:dyDescent="0.2">
      <c r="A1236" s="577"/>
      <c r="B1236" s="577"/>
      <c r="C1236" s="576"/>
      <c r="D1236" s="607">
        <v>46725</v>
      </c>
      <c r="E1236" s="576" t="s">
        <v>718</v>
      </c>
      <c r="F1236" s="576">
        <v>53369267.619999997</v>
      </c>
      <c r="G1236" s="588">
        <v>39356.609999999404</v>
      </c>
      <c r="H1236" s="576">
        <v>0</v>
      </c>
      <c r="I1236" s="589">
        <v>0</v>
      </c>
    </row>
    <row r="1237" spans="1:9" ht="15.75" customHeight="1" x14ac:dyDescent="0.2">
      <c r="A1237" s="577"/>
      <c r="B1237" s="577"/>
      <c r="C1237" s="576"/>
      <c r="D1237" s="607">
        <v>46726</v>
      </c>
      <c r="E1237" s="576" t="s">
        <v>717</v>
      </c>
      <c r="F1237" s="576">
        <v>53408624.219999999</v>
      </c>
      <c r="G1237" s="588">
        <v>39356.60000000149</v>
      </c>
      <c r="H1237" s="576">
        <v>0</v>
      </c>
      <c r="I1237" s="589">
        <v>0</v>
      </c>
    </row>
    <row r="1238" spans="1:9" ht="15.75" customHeight="1" x14ac:dyDescent="0.2">
      <c r="A1238" s="577"/>
      <c r="B1238" s="577"/>
      <c r="C1238" s="576"/>
      <c r="D1238" s="607">
        <v>46727</v>
      </c>
      <c r="E1238" s="576" t="s">
        <v>716</v>
      </c>
      <c r="F1238" s="576">
        <v>53447980.829999998</v>
      </c>
      <c r="G1238" s="588">
        <v>39356.609999999404</v>
      </c>
      <c r="H1238" s="576">
        <v>0</v>
      </c>
      <c r="I1238" s="589">
        <v>0</v>
      </c>
    </row>
    <row r="1239" spans="1:9" ht="15.75" customHeight="1" x14ac:dyDescent="0.2">
      <c r="A1239" s="577"/>
      <c r="B1239" s="577"/>
      <c r="C1239" s="576"/>
      <c r="D1239" s="607">
        <v>46728</v>
      </c>
      <c r="E1239" s="576" t="s">
        <v>715</v>
      </c>
      <c r="F1239" s="576">
        <v>53487337.439999998</v>
      </c>
      <c r="G1239" s="588">
        <v>39356.609999999404</v>
      </c>
      <c r="H1239" s="576">
        <v>0</v>
      </c>
      <c r="I1239" s="589">
        <v>0</v>
      </c>
    </row>
    <row r="1240" spans="1:9" ht="15.75" customHeight="1" x14ac:dyDescent="0.2">
      <c r="A1240" s="577"/>
      <c r="B1240" s="577"/>
      <c r="C1240" s="576"/>
      <c r="D1240" s="607">
        <v>46729</v>
      </c>
      <c r="E1240" s="576" t="s">
        <v>721</v>
      </c>
      <c r="F1240" s="576">
        <v>53526694.039999999</v>
      </c>
      <c r="G1240" s="588">
        <v>39356.60000000149</v>
      </c>
      <c r="H1240" s="576">
        <v>275496.24000000209</v>
      </c>
      <c r="I1240" s="589">
        <v>0</v>
      </c>
    </row>
    <row r="1241" spans="1:9" ht="15.75" customHeight="1" x14ac:dyDescent="0.2">
      <c r="A1241" s="577"/>
      <c r="B1241" s="577"/>
      <c r="C1241" s="576"/>
      <c r="D1241" s="607">
        <v>46730</v>
      </c>
      <c r="E1241" s="576" t="s">
        <v>720</v>
      </c>
      <c r="F1241" s="576">
        <v>53566050.649999999</v>
      </c>
      <c r="G1241" s="588">
        <v>39356.609999999404</v>
      </c>
      <c r="H1241" s="576">
        <v>0</v>
      </c>
      <c r="I1241" s="589">
        <v>0</v>
      </c>
    </row>
    <row r="1242" spans="1:9" ht="15.75" customHeight="1" x14ac:dyDescent="0.2">
      <c r="A1242" s="577"/>
      <c r="B1242" s="577"/>
      <c r="C1242" s="576"/>
      <c r="D1242" s="607">
        <v>46731</v>
      </c>
      <c r="E1242" s="576" t="s">
        <v>719</v>
      </c>
      <c r="F1242" s="576">
        <v>53605407.25</v>
      </c>
      <c r="G1242" s="588">
        <v>39356.60000000149</v>
      </c>
      <c r="H1242" s="576">
        <v>0</v>
      </c>
      <c r="I1242" s="589">
        <v>0</v>
      </c>
    </row>
    <row r="1243" spans="1:9" ht="15.75" customHeight="1" x14ac:dyDescent="0.2">
      <c r="A1243" s="577"/>
      <c r="B1243" s="577"/>
      <c r="C1243" s="576"/>
      <c r="D1243" s="607">
        <v>46732</v>
      </c>
      <c r="E1243" s="576" t="s">
        <v>718</v>
      </c>
      <c r="F1243" s="576">
        <v>53644763.859999999</v>
      </c>
      <c r="G1243" s="588">
        <v>39356.609999999404</v>
      </c>
      <c r="H1243" s="576">
        <v>0</v>
      </c>
      <c r="I1243" s="589">
        <v>0</v>
      </c>
    </row>
    <row r="1244" spans="1:9" ht="15.75" customHeight="1" x14ac:dyDescent="0.2">
      <c r="A1244" s="577"/>
      <c r="B1244" s="577"/>
      <c r="C1244" s="576"/>
      <c r="D1244" s="607">
        <v>46733</v>
      </c>
      <c r="E1244" s="576" t="s">
        <v>717</v>
      </c>
      <c r="F1244" s="576">
        <v>53684120.460000001</v>
      </c>
      <c r="G1244" s="588">
        <v>39356.60000000149</v>
      </c>
      <c r="H1244" s="576">
        <v>0</v>
      </c>
      <c r="I1244" s="589">
        <v>0</v>
      </c>
    </row>
    <row r="1245" spans="1:9" ht="15.75" customHeight="1" x14ac:dyDescent="0.2">
      <c r="A1245" s="577"/>
      <c r="B1245" s="577"/>
      <c r="C1245" s="576"/>
      <c r="D1245" s="607">
        <v>46734</v>
      </c>
      <c r="E1245" s="576" t="s">
        <v>716</v>
      </c>
      <c r="F1245" s="576">
        <v>53723477.07</v>
      </c>
      <c r="G1245" s="588">
        <v>39356.609999999404</v>
      </c>
      <c r="H1245" s="576">
        <v>0</v>
      </c>
      <c r="I1245" s="589">
        <v>0</v>
      </c>
    </row>
    <row r="1246" spans="1:9" ht="15.75" customHeight="1" x14ac:dyDescent="0.2">
      <c r="A1246" s="577"/>
      <c r="B1246" s="577"/>
      <c r="C1246" s="576"/>
      <c r="D1246" s="607">
        <v>46735</v>
      </c>
      <c r="E1246" s="576" t="s">
        <v>715</v>
      </c>
      <c r="F1246" s="576">
        <v>53762833.670000002</v>
      </c>
      <c r="G1246" s="588">
        <v>39356.60000000149</v>
      </c>
      <c r="H1246" s="576">
        <v>0</v>
      </c>
      <c r="I1246" s="589">
        <v>0</v>
      </c>
    </row>
    <row r="1247" spans="1:9" ht="15.75" customHeight="1" x14ac:dyDescent="0.2">
      <c r="A1247" s="577"/>
      <c r="B1247" s="577"/>
      <c r="C1247" s="576"/>
      <c r="D1247" s="607">
        <v>46736</v>
      </c>
      <c r="E1247" s="576" t="s">
        <v>721</v>
      </c>
      <c r="F1247" s="576">
        <v>53802190.280000001</v>
      </c>
      <c r="G1247" s="588">
        <v>39356.609999999404</v>
      </c>
      <c r="H1247" s="576">
        <v>275496.24000000209</v>
      </c>
      <c r="I1247" s="589">
        <v>550992.48000000417</v>
      </c>
    </row>
    <row r="1248" spans="1:9" ht="15.75" customHeight="1" x14ac:dyDescent="0.2">
      <c r="A1248" s="577"/>
      <c r="B1248" s="577"/>
      <c r="C1248" s="576"/>
      <c r="D1248" s="607">
        <v>46737</v>
      </c>
      <c r="E1248" s="576" t="s">
        <v>720</v>
      </c>
      <c r="F1248" s="576">
        <v>53841546.880000003</v>
      </c>
      <c r="G1248" s="588">
        <v>39356.60000000149</v>
      </c>
      <c r="H1248" s="576">
        <v>0</v>
      </c>
      <c r="I1248" s="589">
        <v>0</v>
      </c>
    </row>
    <row r="1249" spans="1:9" ht="15.75" customHeight="1" x14ac:dyDescent="0.2">
      <c r="A1249" s="577"/>
      <c r="B1249" s="577"/>
      <c r="C1249" s="576"/>
      <c r="D1249" s="607">
        <v>46738</v>
      </c>
      <c r="E1249" s="576" t="s">
        <v>719</v>
      </c>
      <c r="F1249" s="576">
        <v>53880903.490000002</v>
      </c>
      <c r="G1249" s="588">
        <v>39356.609999999404</v>
      </c>
      <c r="H1249" s="576">
        <v>0</v>
      </c>
      <c r="I1249" s="589">
        <v>0</v>
      </c>
    </row>
    <row r="1250" spans="1:9" ht="15.75" customHeight="1" x14ac:dyDescent="0.2">
      <c r="A1250" s="577"/>
      <c r="B1250" s="577"/>
      <c r="C1250" s="576"/>
      <c r="D1250" s="607">
        <v>46739</v>
      </c>
      <c r="E1250" s="576" t="s">
        <v>718</v>
      </c>
      <c r="F1250" s="576">
        <v>53920260.090000004</v>
      </c>
      <c r="G1250" s="588">
        <v>39356.60000000149</v>
      </c>
      <c r="H1250" s="576">
        <v>0</v>
      </c>
      <c r="I1250" s="589">
        <v>0</v>
      </c>
    </row>
    <row r="1251" spans="1:9" ht="15.75" customHeight="1" x14ac:dyDescent="0.2">
      <c r="A1251" s="577"/>
      <c r="B1251" s="577"/>
      <c r="C1251" s="576"/>
      <c r="D1251" s="607">
        <v>46740</v>
      </c>
      <c r="E1251" s="576" t="s">
        <v>717</v>
      </c>
      <c r="F1251" s="576">
        <v>53959616.700000003</v>
      </c>
      <c r="G1251" s="588">
        <v>39356.609999999404</v>
      </c>
      <c r="H1251" s="576">
        <v>0</v>
      </c>
      <c r="I1251" s="589">
        <v>0</v>
      </c>
    </row>
    <row r="1252" spans="1:9" ht="15.75" customHeight="1" x14ac:dyDescent="0.2">
      <c r="A1252" s="577"/>
      <c r="B1252" s="577"/>
      <c r="C1252" s="576"/>
      <c r="D1252" s="607">
        <v>46741</v>
      </c>
      <c r="E1252" s="576" t="s">
        <v>716</v>
      </c>
      <c r="F1252" s="576">
        <v>53998973.299999997</v>
      </c>
      <c r="G1252" s="588">
        <v>39356.59999999404</v>
      </c>
      <c r="H1252" s="576">
        <v>0</v>
      </c>
      <c r="I1252" s="589">
        <v>0</v>
      </c>
    </row>
    <row r="1253" spans="1:9" ht="15.75" customHeight="1" x14ac:dyDescent="0.2">
      <c r="A1253" s="577"/>
      <c r="B1253" s="577"/>
      <c r="C1253" s="576"/>
      <c r="D1253" s="607">
        <v>46742</v>
      </c>
      <c r="E1253" s="576" t="s">
        <v>715</v>
      </c>
      <c r="F1253" s="576">
        <v>54038329.909999996</v>
      </c>
      <c r="G1253" s="588">
        <v>39356.609999999404</v>
      </c>
      <c r="H1253" s="576">
        <v>0</v>
      </c>
      <c r="I1253" s="589">
        <v>0</v>
      </c>
    </row>
    <row r="1254" spans="1:9" ht="15.75" customHeight="1" x14ac:dyDescent="0.2">
      <c r="A1254" s="577"/>
      <c r="B1254" s="577"/>
      <c r="C1254" s="576"/>
      <c r="D1254" s="607">
        <v>46743</v>
      </c>
      <c r="E1254" s="576" t="s">
        <v>721</v>
      </c>
      <c r="F1254" s="576">
        <v>54077686.509999998</v>
      </c>
      <c r="G1254" s="588">
        <v>39356.60000000149</v>
      </c>
      <c r="H1254" s="576">
        <v>275496.22999999672</v>
      </c>
      <c r="I1254" s="589">
        <v>0</v>
      </c>
    </row>
    <row r="1255" spans="1:9" ht="15.75" customHeight="1" x14ac:dyDescent="0.2">
      <c r="A1255" s="577"/>
      <c r="B1255" s="577"/>
      <c r="C1255" s="576"/>
      <c r="D1255" s="607">
        <v>46744</v>
      </c>
      <c r="E1255" s="576" t="s">
        <v>720</v>
      </c>
      <c r="F1255" s="576">
        <v>54117043.119999997</v>
      </c>
      <c r="G1255" s="588">
        <v>39356.609999999404</v>
      </c>
      <c r="H1255" s="576">
        <v>0</v>
      </c>
      <c r="I1255" s="589">
        <v>0</v>
      </c>
    </row>
    <row r="1256" spans="1:9" ht="15.75" customHeight="1" x14ac:dyDescent="0.2">
      <c r="A1256" s="577"/>
      <c r="B1256" s="577"/>
      <c r="C1256" s="576"/>
      <c r="D1256" s="607">
        <v>46745</v>
      </c>
      <c r="E1256" s="576" t="s">
        <v>719</v>
      </c>
      <c r="F1256" s="576">
        <v>54156399.719999999</v>
      </c>
      <c r="G1256" s="588">
        <v>39356.60000000149</v>
      </c>
      <c r="H1256" s="576">
        <v>0</v>
      </c>
      <c r="I1256" s="589">
        <v>0</v>
      </c>
    </row>
    <row r="1257" spans="1:9" ht="15.75" customHeight="1" x14ac:dyDescent="0.2">
      <c r="A1257" s="577"/>
      <c r="B1257" s="577"/>
      <c r="C1257" s="576"/>
      <c r="D1257" s="607">
        <v>46746</v>
      </c>
      <c r="E1257" s="576" t="s">
        <v>718</v>
      </c>
      <c r="F1257" s="576">
        <v>54195756.329999998</v>
      </c>
      <c r="G1257" s="588">
        <v>39356.609999999404</v>
      </c>
      <c r="H1257" s="576">
        <v>0</v>
      </c>
      <c r="I1257" s="589">
        <v>0</v>
      </c>
    </row>
    <row r="1258" spans="1:9" ht="15.75" customHeight="1" x14ac:dyDescent="0.2">
      <c r="A1258" s="577"/>
      <c r="B1258" s="577"/>
      <c r="C1258" s="576"/>
      <c r="D1258" s="607">
        <v>46747</v>
      </c>
      <c r="E1258" s="576" t="s">
        <v>717</v>
      </c>
      <c r="F1258" s="576">
        <v>54235112.93</v>
      </c>
      <c r="G1258" s="588">
        <v>39356.60000000149</v>
      </c>
      <c r="H1258" s="576">
        <v>0</v>
      </c>
      <c r="I1258" s="589">
        <v>0</v>
      </c>
    </row>
    <row r="1259" spans="1:9" ht="15.75" customHeight="1" x14ac:dyDescent="0.2">
      <c r="A1259" s="577"/>
      <c r="B1259" s="577"/>
      <c r="C1259" s="576"/>
      <c r="D1259" s="607">
        <v>46748</v>
      </c>
      <c r="E1259" s="576" t="s">
        <v>716</v>
      </c>
      <c r="F1259" s="576">
        <v>54274469.539999999</v>
      </c>
      <c r="G1259" s="588">
        <v>39356.609999999404</v>
      </c>
      <c r="H1259" s="576">
        <v>0</v>
      </c>
      <c r="I1259" s="589">
        <v>0</v>
      </c>
    </row>
    <row r="1260" spans="1:9" ht="15.75" customHeight="1" x14ac:dyDescent="0.2">
      <c r="A1260" s="577"/>
      <c r="B1260" s="577"/>
      <c r="C1260" s="576"/>
      <c r="D1260" s="607">
        <v>46749</v>
      </c>
      <c r="E1260" s="576" t="s">
        <v>715</v>
      </c>
      <c r="F1260" s="576">
        <v>54313826.140000001</v>
      </c>
      <c r="G1260" s="588">
        <v>39356.60000000149</v>
      </c>
      <c r="H1260" s="576">
        <v>0</v>
      </c>
      <c r="I1260" s="589">
        <v>0</v>
      </c>
    </row>
    <row r="1261" spans="1:9" ht="15.75" customHeight="1" x14ac:dyDescent="0.2">
      <c r="A1261" s="577"/>
      <c r="B1261" s="577"/>
      <c r="C1261" s="576"/>
      <c r="D1261" s="607">
        <v>46750</v>
      </c>
      <c r="E1261" s="576" t="s">
        <v>721</v>
      </c>
      <c r="F1261" s="576">
        <v>54353182.75</v>
      </c>
      <c r="G1261" s="588">
        <v>39356.609999999404</v>
      </c>
      <c r="H1261" s="576">
        <v>275496.24000000209</v>
      </c>
      <c r="I1261" s="589">
        <v>550992.46999999881</v>
      </c>
    </row>
    <row r="1262" spans="1:9" ht="15.75" customHeight="1" x14ac:dyDescent="0.2">
      <c r="A1262" s="577"/>
      <c r="B1262" s="577"/>
      <c r="C1262" s="576"/>
      <c r="D1262" s="607">
        <v>46751</v>
      </c>
      <c r="E1262" s="576" t="s">
        <v>720</v>
      </c>
      <c r="F1262" s="576">
        <v>54392539.350000001</v>
      </c>
      <c r="G1262" s="588">
        <v>39356.60000000149</v>
      </c>
      <c r="H1262" s="576">
        <v>0</v>
      </c>
      <c r="I1262" s="589">
        <v>0</v>
      </c>
    </row>
    <row r="1263" spans="1:9" ht="15.75" customHeight="1" x14ac:dyDescent="0.2">
      <c r="A1263" s="577"/>
      <c r="B1263" s="577"/>
      <c r="C1263" s="576"/>
      <c r="D1263" s="607">
        <v>46752</v>
      </c>
      <c r="E1263" s="576" t="s">
        <v>719</v>
      </c>
      <c r="F1263" s="576">
        <v>54431895.960000001</v>
      </c>
      <c r="G1263" s="588">
        <v>39356.609999999404</v>
      </c>
      <c r="H1263" s="576">
        <v>0</v>
      </c>
      <c r="I1263" s="589">
        <v>0</v>
      </c>
    </row>
    <row r="1264" spans="1:9" ht="15.75" customHeight="1" x14ac:dyDescent="0.2">
      <c r="A1264" s="577"/>
      <c r="B1264" s="577"/>
      <c r="C1264" s="576"/>
      <c r="D1264" s="607">
        <v>46753</v>
      </c>
      <c r="E1264" s="576" t="s">
        <v>718</v>
      </c>
      <c r="F1264" s="576">
        <v>54471252.560000002</v>
      </c>
      <c r="G1264" s="588">
        <v>39356.60000000149</v>
      </c>
      <c r="H1264" s="576">
        <v>0</v>
      </c>
      <c r="I1264" s="589">
        <v>0</v>
      </c>
    </row>
    <row r="1265" spans="1:9" ht="15.75" customHeight="1" x14ac:dyDescent="0.2">
      <c r="A1265" s="577"/>
      <c r="B1265" s="577"/>
      <c r="C1265" s="576"/>
      <c r="D1265" s="607">
        <v>46754</v>
      </c>
      <c r="E1265" s="576" t="s">
        <v>717</v>
      </c>
      <c r="F1265" s="576">
        <v>54510609.170000002</v>
      </c>
      <c r="G1265" s="588">
        <v>39356.609999999404</v>
      </c>
      <c r="H1265" s="576">
        <v>0</v>
      </c>
      <c r="I1265" s="589">
        <v>0</v>
      </c>
    </row>
    <row r="1266" spans="1:9" ht="15.75" customHeight="1" x14ac:dyDescent="0.2">
      <c r="A1266" s="577"/>
      <c r="B1266" s="577"/>
      <c r="C1266" s="576"/>
      <c r="D1266" s="607">
        <v>46755</v>
      </c>
      <c r="E1266" s="576" t="s">
        <v>716</v>
      </c>
      <c r="F1266" s="576">
        <v>54549965.770000003</v>
      </c>
      <c r="G1266" s="588">
        <v>39356.60000000149</v>
      </c>
      <c r="H1266" s="576">
        <v>0</v>
      </c>
      <c r="I1266" s="589">
        <v>0</v>
      </c>
    </row>
    <row r="1267" spans="1:9" ht="15.75" customHeight="1" x14ac:dyDescent="0.2">
      <c r="A1267" s="577"/>
      <c r="B1267" s="577"/>
      <c r="C1267" s="576"/>
      <c r="D1267" s="607">
        <v>46756</v>
      </c>
      <c r="E1267" s="576" t="s">
        <v>715</v>
      </c>
      <c r="F1267" s="576">
        <v>54589322.380000003</v>
      </c>
      <c r="G1267" s="588">
        <v>39356.609999999404</v>
      </c>
      <c r="H1267" s="576">
        <v>0</v>
      </c>
      <c r="I1267" s="589">
        <v>0</v>
      </c>
    </row>
    <row r="1268" spans="1:9" ht="15.75" customHeight="1" x14ac:dyDescent="0.2">
      <c r="A1268" s="577"/>
      <c r="B1268" s="577"/>
      <c r="C1268" s="576"/>
      <c r="D1268" s="607">
        <v>46757</v>
      </c>
      <c r="E1268" s="576" t="s">
        <v>721</v>
      </c>
      <c r="F1268" s="576">
        <v>54628678.979999997</v>
      </c>
      <c r="G1268" s="588">
        <v>39356.59999999404</v>
      </c>
      <c r="H1268" s="576">
        <v>275496.22999999672</v>
      </c>
      <c r="I1268" s="589">
        <v>0</v>
      </c>
    </row>
    <row r="1269" spans="1:9" ht="15.75" customHeight="1" x14ac:dyDescent="0.2">
      <c r="A1269" s="577"/>
      <c r="B1269" s="577"/>
      <c r="C1269" s="576"/>
      <c r="D1269" s="607">
        <v>46758</v>
      </c>
      <c r="E1269" s="576" t="s">
        <v>720</v>
      </c>
      <c r="F1269" s="576">
        <v>54668035.590000004</v>
      </c>
      <c r="G1269" s="588">
        <v>39356.610000006855</v>
      </c>
      <c r="H1269" s="576">
        <v>0</v>
      </c>
      <c r="I1269" s="589">
        <v>0</v>
      </c>
    </row>
    <row r="1270" spans="1:9" ht="15.75" customHeight="1" x14ac:dyDescent="0.2">
      <c r="A1270" s="577"/>
      <c r="B1270" s="577"/>
      <c r="C1270" s="576"/>
      <c r="D1270" s="607">
        <v>46759</v>
      </c>
      <c r="E1270" s="576" t="s">
        <v>719</v>
      </c>
      <c r="F1270" s="576">
        <v>54707392.189999998</v>
      </c>
      <c r="G1270" s="588">
        <v>39356.59999999404</v>
      </c>
      <c r="H1270" s="576">
        <v>0</v>
      </c>
      <c r="I1270" s="589">
        <v>0</v>
      </c>
    </row>
    <row r="1271" spans="1:9" ht="15.75" customHeight="1" x14ac:dyDescent="0.2">
      <c r="A1271" s="577"/>
      <c r="B1271" s="577"/>
      <c r="C1271" s="576"/>
      <c r="D1271" s="607">
        <v>46760</v>
      </c>
      <c r="E1271" s="576" t="s">
        <v>718</v>
      </c>
      <c r="F1271" s="576">
        <v>54746748.799999997</v>
      </c>
      <c r="G1271" s="588">
        <v>39356.609999999404</v>
      </c>
      <c r="H1271" s="576">
        <v>0</v>
      </c>
      <c r="I1271" s="589">
        <v>0</v>
      </c>
    </row>
    <row r="1272" spans="1:9" ht="15.75" customHeight="1" x14ac:dyDescent="0.2">
      <c r="A1272" s="577"/>
      <c r="B1272" s="577"/>
      <c r="C1272" s="576"/>
      <c r="D1272" s="607">
        <v>46761</v>
      </c>
      <c r="E1272" s="576" t="s">
        <v>717</v>
      </c>
      <c r="F1272" s="576">
        <v>54786105.399999999</v>
      </c>
      <c r="G1272" s="588">
        <v>39356.60000000149</v>
      </c>
      <c r="H1272" s="576">
        <v>0</v>
      </c>
      <c r="I1272" s="589">
        <v>0</v>
      </c>
    </row>
    <row r="1273" spans="1:9" ht="15.75" customHeight="1" x14ac:dyDescent="0.2">
      <c r="A1273" s="577"/>
      <c r="B1273" s="577"/>
      <c r="C1273" s="576"/>
      <c r="D1273" s="607">
        <v>46762</v>
      </c>
      <c r="E1273" s="576" t="s">
        <v>716</v>
      </c>
      <c r="F1273" s="576">
        <v>54825462.009999998</v>
      </c>
      <c r="G1273" s="588">
        <v>39356.609999999404</v>
      </c>
      <c r="H1273" s="576">
        <v>0</v>
      </c>
      <c r="I1273" s="589">
        <v>0</v>
      </c>
    </row>
    <row r="1274" spans="1:9" ht="15.75" customHeight="1" x14ac:dyDescent="0.2">
      <c r="A1274" s="577"/>
      <c r="B1274" s="577"/>
      <c r="C1274" s="576"/>
      <c r="D1274" s="607">
        <v>46763</v>
      </c>
      <c r="E1274" s="576" t="s">
        <v>715</v>
      </c>
      <c r="F1274" s="576">
        <v>54864818.609999999</v>
      </c>
      <c r="G1274" s="588">
        <v>39356.60000000149</v>
      </c>
      <c r="H1274" s="576">
        <v>0</v>
      </c>
      <c r="I1274" s="589">
        <v>0</v>
      </c>
    </row>
    <row r="1275" spans="1:9" ht="15.75" customHeight="1" x14ac:dyDescent="0.2">
      <c r="A1275" s="577"/>
      <c r="B1275" s="577"/>
      <c r="C1275" s="576"/>
      <c r="D1275" s="607">
        <v>46764</v>
      </c>
      <c r="E1275" s="576" t="s">
        <v>721</v>
      </c>
      <c r="F1275" s="576">
        <v>54904175.219999999</v>
      </c>
      <c r="G1275" s="588">
        <v>39356.609999999404</v>
      </c>
      <c r="H1275" s="576">
        <v>275496.24000000209</v>
      </c>
      <c r="I1275" s="589">
        <v>550992.46999999881</v>
      </c>
    </row>
    <row r="1276" spans="1:9" ht="15.75" customHeight="1" x14ac:dyDescent="0.2">
      <c r="A1276" s="577"/>
      <c r="B1276" s="577"/>
      <c r="C1276" s="576"/>
      <c r="D1276" s="607">
        <v>46765</v>
      </c>
      <c r="E1276" s="576" t="s">
        <v>720</v>
      </c>
      <c r="F1276" s="576">
        <v>54943531.82</v>
      </c>
      <c r="G1276" s="588">
        <v>39356.60000000149</v>
      </c>
      <c r="H1276" s="576">
        <v>0</v>
      </c>
      <c r="I1276" s="589">
        <v>0</v>
      </c>
    </row>
    <row r="1277" spans="1:9" ht="15.75" customHeight="1" x14ac:dyDescent="0.2">
      <c r="A1277" s="577"/>
      <c r="B1277" s="577"/>
      <c r="C1277" s="576"/>
      <c r="D1277" s="607">
        <v>46766</v>
      </c>
      <c r="E1277" s="576" t="s">
        <v>719</v>
      </c>
      <c r="F1277" s="576">
        <v>54982888.43</v>
      </c>
      <c r="G1277" s="588">
        <v>39356.609999999404</v>
      </c>
      <c r="H1277" s="576">
        <v>0</v>
      </c>
      <c r="I1277" s="589">
        <v>0</v>
      </c>
    </row>
    <row r="1278" spans="1:9" ht="15.75" customHeight="1" x14ac:dyDescent="0.2">
      <c r="A1278" s="577"/>
      <c r="B1278" s="577"/>
      <c r="C1278" s="576"/>
      <c r="D1278" s="607">
        <v>46767</v>
      </c>
      <c r="E1278" s="576" t="s">
        <v>718</v>
      </c>
      <c r="F1278" s="576">
        <v>55022245.030000001</v>
      </c>
      <c r="G1278" s="588">
        <v>39356.60000000149</v>
      </c>
      <c r="H1278" s="576">
        <v>0</v>
      </c>
      <c r="I1278" s="589">
        <v>0</v>
      </c>
    </row>
    <row r="1279" spans="1:9" ht="15.75" customHeight="1" x14ac:dyDescent="0.2">
      <c r="A1279" s="577"/>
      <c r="B1279" s="577"/>
      <c r="C1279" s="576"/>
      <c r="D1279" s="607">
        <v>46768</v>
      </c>
      <c r="E1279" s="576" t="s">
        <v>717</v>
      </c>
      <c r="F1279" s="576">
        <v>55061601.640000001</v>
      </c>
      <c r="G1279" s="588">
        <v>39356.609999999404</v>
      </c>
      <c r="H1279" s="576">
        <v>0</v>
      </c>
      <c r="I1279" s="589">
        <v>0</v>
      </c>
    </row>
    <row r="1280" spans="1:9" ht="15.75" customHeight="1" x14ac:dyDescent="0.2">
      <c r="A1280" s="577"/>
      <c r="B1280" s="577"/>
      <c r="C1280" s="576"/>
      <c r="D1280" s="607">
        <v>46769</v>
      </c>
      <c r="E1280" s="576" t="s">
        <v>716</v>
      </c>
      <c r="F1280" s="576">
        <v>55100958.240000002</v>
      </c>
      <c r="G1280" s="588">
        <v>39356.60000000149</v>
      </c>
      <c r="H1280" s="576">
        <v>0</v>
      </c>
      <c r="I1280" s="589">
        <v>0</v>
      </c>
    </row>
    <row r="1281" spans="1:9" ht="15.75" customHeight="1" x14ac:dyDescent="0.2">
      <c r="A1281" s="577"/>
      <c r="B1281" s="577"/>
      <c r="C1281" s="576"/>
      <c r="D1281" s="607">
        <v>46770</v>
      </c>
      <c r="E1281" s="576" t="s">
        <v>715</v>
      </c>
      <c r="F1281" s="576">
        <v>55140314.850000001</v>
      </c>
      <c r="G1281" s="588">
        <v>39356.609999999404</v>
      </c>
      <c r="H1281" s="576">
        <v>0</v>
      </c>
      <c r="I1281" s="589">
        <v>0</v>
      </c>
    </row>
    <row r="1282" spans="1:9" ht="15.75" customHeight="1" x14ac:dyDescent="0.2">
      <c r="A1282" s="577"/>
      <c r="B1282" s="577"/>
      <c r="C1282" s="576"/>
      <c r="D1282" s="607">
        <v>46771</v>
      </c>
      <c r="E1282" s="576" t="s">
        <v>721</v>
      </c>
      <c r="F1282" s="576">
        <v>55179671.450000003</v>
      </c>
      <c r="G1282" s="588">
        <v>39356.60000000149</v>
      </c>
      <c r="H1282" s="576">
        <v>275496.23000000417</v>
      </c>
      <c r="I1282" s="589">
        <v>0</v>
      </c>
    </row>
    <row r="1283" spans="1:9" ht="15.75" customHeight="1" x14ac:dyDescent="0.2">
      <c r="A1283" s="577"/>
      <c r="B1283" s="577"/>
      <c r="C1283" s="576"/>
      <c r="D1283" s="607">
        <v>46772</v>
      </c>
      <c r="E1283" s="576" t="s">
        <v>720</v>
      </c>
      <c r="F1283" s="576">
        <v>55219028.060000002</v>
      </c>
      <c r="G1283" s="588">
        <v>39356.609999999404</v>
      </c>
      <c r="H1283" s="576">
        <v>0</v>
      </c>
      <c r="I1283" s="589">
        <v>0</v>
      </c>
    </row>
    <row r="1284" spans="1:9" ht="15.75" customHeight="1" x14ac:dyDescent="0.2">
      <c r="A1284" s="577"/>
      <c r="B1284" s="577"/>
      <c r="C1284" s="576"/>
      <c r="D1284" s="607">
        <v>46773</v>
      </c>
      <c r="E1284" s="576" t="s">
        <v>719</v>
      </c>
      <c r="F1284" s="576">
        <v>55258384.659999996</v>
      </c>
      <c r="G1284" s="588">
        <v>39356.59999999404</v>
      </c>
      <c r="H1284" s="576">
        <v>0</v>
      </c>
      <c r="I1284" s="589">
        <v>0</v>
      </c>
    </row>
    <row r="1285" spans="1:9" ht="15.75" customHeight="1" x14ac:dyDescent="0.2">
      <c r="A1285" s="577"/>
      <c r="B1285" s="577"/>
      <c r="C1285" s="576"/>
      <c r="D1285" s="607">
        <v>46774</v>
      </c>
      <c r="E1285" s="576" t="s">
        <v>718</v>
      </c>
      <c r="F1285" s="576">
        <v>55297741.270000003</v>
      </c>
      <c r="G1285" s="588">
        <v>39356.610000006855</v>
      </c>
      <c r="H1285" s="576">
        <v>0</v>
      </c>
      <c r="I1285" s="589">
        <v>0</v>
      </c>
    </row>
    <row r="1286" spans="1:9" ht="15.75" customHeight="1" x14ac:dyDescent="0.2">
      <c r="A1286" s="577"/>
      <c r="B1286" s="577"/>
      <c r="C1286" s="576"/>
      <c r="D1286" s="607">
        <v>46775</v>
      </c>
      <c r="E1286" s="576" t="s">
        <v>717</v>
      </c>
      <c r="F1286" s="576">
        <v>55337097.869999997</v>
      </c>
      <c r="G1286" s="588">
        <v>39356.59999999404</v>
      </c>
      <c r="H1286" s="576">
        <v>0</v>
      </c>
      <c r="I1286" s="589">
        <v>0</v>
      </c>
    </row>
    <row r="1287" spans="1:9" ht="15.75" customHeight="1" x14ac:dyDescent="0.2">
      <c r="A1287" s="577"/>
      <c r="B1287" s="577"/>
      <c r="C1287" s="576"/>
      <c r="D1287" s="607">
        <v>46776</v>
      </c>
      <c r="E1287" s="576" t="s">
        <v>716</v>
      </c>
      <c r="F1287" s="576">
        <v>55376454.479999997</v>
      </c>
      <c r="G1287" s="588">
        <v>39356.609999999404</v>
      </c>
      <c r="H1287" s="576">
        <v>0</v>
      </c>
      <c r="I1287" s="589">
        <v>0</v>
      </c>
    </row>
    <row r="1288" spans="1:9" ht="15.75" customHeight="1" x14ac:dyDescent="0.2">
      <c r="A1288" s="577"/>
      <c r="B1288" s="577"/>
      <c r="C1288" s="576"/>
      <c r="D1288" s="607">
        <v>46777</v>
      </c>
      <c r="E1288" s="576" t="s">
        <v>715</v>
      </c>
      <c r="F1288" s="576">
        <v>55415811.079999998</v>
      </c>
      <c r="G1288" s="588">
        <v>39356.60000000149</v>
      </c>
      <c r="H1288" s="576">
        <v>0</v>
      </c>
      <c r="I1288" s="589">
        <v>0</v>
      </c>
    </row>
    <row r="1289" spans="1:9" ht="15.75" customHeight="1" x14ac:dyDescent="0.2">
      <c r="A1289" s="577"/>
      <c r="B1289" s="577"/>
      <c r="C1289" s="576"/>
      <c r="D1289" s="607">
        <v>46778</v>
      </c>
      <c r="E1289" s="576" t="s">
        <v>721</v>
      </c>
      <c r="F1289" s="576">
        <v>55455167.689999998</v>
      </c>
      <c r="G1289" s="588">
        <v>39356.609999999404</v>
      </c>
      <c r="H1289" s="576">
        <v>275496.23999999464</v>
      </c>
      <c r="I1289" s="589">
        <v>550992.46999999881</v>
      </c>
    </row>
    <row r="1290" spans="1:9" ht="15.75" customHeight="1" x14ac:dyDescent="0.2">
      <c r="A1290" s="577"/>
      <c r="B1290" s="577"/>
      <c r="C1290" s="576"/>
      <c r="D1290" s="607">
        <v>46779</v>
      </c>
      <c r="E1290" s="576" t="s">
        <v>720</v>
      </c>
      <c r="F1290" s="576">
        <v>55494524.289999999</v>
      </c>
      <c r="G1290" s="588">
        <v>39356.60000000149</v>
      </c>
      <c r="H1290" s="576">
        <v>0</v>
      </c>
      <c r="I1290" s="589">
        <v>0</v>
      </c>
    </row>
    <row r="1291" spans="1:9" ht="15.75" customHeight="1" x14ac:dyDescent="0.2">
      <c r="A1291" s="577"/>
      <c r="B1291" s="577"/>
      <c r="C1291" s="576"/>
      <c r="D1291" s="607">
        <v>46780</v>
      </c>
      <c r="E1291" s="576" t="s">
        <v>719</v>
      </c>
      <c r="F1291" s="576">
        <v>55533880.899999999</v>
      </c>
      <c r="G1291" s="588">
        <v>39356.609999999404</v>
      </c>
      <c r="H1291" s="576">
        <v>0</v>
      </c>
      <c r="I1291" s="589">
        <v>0</v>
      </c>
    </row>
    <row r="1292" spans="1:9" ht="15.75" customHeight="1" x14ac:dyDescent="0.2">
      <c r="A1292" s="577"/>
      <c r="B1292" s="577"/>
      <c r="C1292" s="576"/>
      <c r="D1292" s="607">
        <v>46781</v>
      </c>
      <c r="E1292" s="576" t="s">
        <v>718</v>
      </c>
      <c r="F1292" s="576">
        <v>55573237.5</v>
      </c>
      <c r="G1292" s="588">
        <v>39356.60000000149</v>
      </c>
      <c r="H1292" s="576">
        <v>0</v>
      </c>
      <c r="I1292" s="589">
        <v>0</v>
      </c>
    </row>
    <row r="1293" spans="1:9" ht="15.75" customHeight="1" x14ac:dyDescent="0.2">
      <c r="A1293" s="577"/>
      <c r="B1293" s="577"/>
      <c r="C1293" s="576"/>
      <c r="D1293" s="607">
        <v>46782</v>
      </c>
      <c r="E1293" s="576" t="s">
        <v>717</v>
      </c>
      <c r="F1293" s="576">
        <v>55612594.109999999</v>
      </c>
      <c r="G1293" s="588">
        <v>39356.609999999404</v>
      </c>
      <c r="H1293" s="576">
        <v>0</v>
      </c>
      <c r="I1293" s="589">
        <v>0</v>
      </c>
    </row>
    <row r="1294" spans="1:9" ht="15.75" customHeight="1" x14ac:dyDescent="0.2">
      <c r="A1294" s="577"/>
      <c r="B1294" s="577"/>
      <c r="C1294" s="576"/>
      <c r="D1294" s="607">
        <v>46783</v>
      </c>
      <c r="E1294" s="576" t="s">
        <v>716</v>
      </c>
      <c r="F1294" s="576">
        <v>55651950.710000001</v>
      </c>
      <c r="G1294" s="588">
        <v>39356.60000000149</v>
      </c>
      <c r="H1294" s="576">
        <v>0</v>
      </c>
      <c r="I1294" s="589">
        <v>0</v>
      </c>
    </row>
    <row r="1295" spans="1:9" ht="15.75" customHeight="1" x14ac:dyDescent="0.2">
      <c r="A1295" s="577"/>
      <c r="B1295" s="577"/>
      <c r="C1295" s="576"/>
      <c r="D1295" s="607">
        <v>46784</v>
      </c>
      <c r="E1295" s="576" t="s">
        <v>715</v>
      </c>
      <c r="F1295" s="576">
        <v>55691307.32</v>
      </c>
      <c r="G1295" s="588">
        <v>39356.609999999404</v>
      </c>
      <c r="H1295" s="576">
        <v>0</v>
      </c>
      <c r="I1295" s="589">
        <v>0</v>
      </c>
    </row>
    <row r="1296" spans="1:9" ht="15.75" customHeight="1" x14ac:dyDescent="0.2">
      <c r="A1296" s="577"/>
      <c r="B1296" s="577"/>
      <c r="C1296" s="576"/>
      <c r="D1296" s="607">
        <v>46785</v>
      </c>
      <c r="E1296" s="576" t="s">
        <v>721</v>
      </c>
      <c r="F1296" s="576">
        <v>55730663.920000002</v>
      </c>
      <c r="G1296" s="588">
        <v>39356.60000000149</v>
      </c>
      <c r="H1296" s="576">
        <v>275496.23000000417</v>
      </c>
      <c r="I1296" s="589">
        <v>0</v>
      </c>
    </row>
    <row r="1297" spans="1:9" ht="15.75" customHeight="1" x14ac:dyDescent="0.2">
      <c r="A1297" s="577"/>
      <c r="B1297" s="577"/>
      <c r="C1297" s="576"/>
      <c r="D1297" s="607">
        <v>46786</v>
      </c>
      <c r="E1297" s="576" t="s">
        <v>720</v>
      </c>
      <c r="F1297" s="576">
        <v>55770020.530000001</v>
      </c>
      <c r="G1297" s="588">
        <v>39356.609999999404</v>
      </c>
      <c r="H1297" s="576">
        <v>0</v>
      </c>
      <c r="I1297" s="589">
        <v>0</v>
      </c>
    </row>
    <row r="1298" spans="1:9" ht="15.75" customHeight="1" x14ac:dyDescent="0.2">
      <c r="A1298" s="577"/>
      <c r="B1298" s="577"/>
      <c r="C1298" s="576"/>
      <c r="D1298" s="607">
        <v>46787</v>
      </c>
      <c r="E1298" s="576" t="s">
        <v>719</v>
      </c>
      <c r="F1298" s="576">
        <v>55809377.130000003</v>
      </c>
      <c r="G1298" s="588">
        <v>39356.60000000149</v>
      </c>
      <c r="H1298" s="576">
        <v>0</v>
      </c>
      <c r="I1298" s="589">
        <v>0</v>
      </c>
    </row>
    <row r="1299" spans="1:9" ht="15.75" customHeight="1" x14ac:dyDescent="0.2">
      <c r="A1299" s="577"/>
      <c r="B1299" s="577"/>
      <c r="C1299" s="576"/>
      <c r="D1299" s="607">
        <v>46788</v>
      </c>
      <c r="E1299" s="576" t="s">
        <v>718</v>
      </c>
      <c r="F1299" s="576">
        <v>55848733.740000002</v>
      </c>
      <c r="G1299" s="588">
        <v>39356.609999999404</v>
      </c>
      <c r="H1299" s="576">
        <v>0</v>
      </c>
      <c r="I1299" s="589">
        <v>0</v>
      </c>
    </row>
    <row r="1300" spans="1:9" ht="15.75" customHeight="1" x14ac:dyDescent="0.2">
      <c r="A1300" s="577"/>
      <c r="B1300" s="577"/>
      <c r="C1300" s="576"/>
      <c r="D1300" s="607">
        <v>46789</v>
      </c>
      <c r="E1300" s="576" t="s">
        <v>717</v>
      </c>
      <c r="F1300" s="576">
        <v>55888090.340000004</v>
      </c>
      <c r="G1300" s="588">
        <v>39356.60000000149</v>
      </c>
      <c r="H1300" s="576">
        <v>0</v>
      </c>
      <c r="I1300" s="589">
        <v>0</v>
      </c>
    </row>
    <row r="1301" spans="1:9" ht="15.75" customHeight="1" x14ac:dyDescent="0.2">
      <c r="A1301" s="577"/>
      <c r="B1301" s="577"/>
      <c r="C1301" s="576"/>
      <c r="D1301" s="607">
        <v>46790</v>
      </c>
      <c r="E1301" s="576" t="s">
        <v>716</v>
      </c>
      <c r="F1301" s="576">
        <v>55927446.950000003</v>
      </c>
      <c r="G1301" s="588">
        <v>39356.609999999404</v>
      </c>
      <c r="H1301" s="576">
        <v>0</v>
      </c>
      <c r="I1301" s="589">
        <v>0</v>
      </c>
    </row>
    <row r="1302" spans="1:9" ht="15.75" customHeight="1" x14ac:dyDescent="0.2">
      <c r="A1302" s="577"/>
      <c r="B1302" s="577"/>
      <c r="C1302" s="576"/>
      <c r="D1302" s="607">
        <v>46791</v>
      </c>
      <c r="E1302" s="576" t="s">
        <v>715</v>
      </c>
      <c r="F1302" s="576">
        <v>55966803.549999997</v>
      </c>
      <c r="G1302" s="588">
        <v>39356.59999999404</v>
      </c>
      <c r="H1302" s="576">
        <v>0</v>
      </c>
      <c r="I1302" s="589">
        <v>0</v>
      </c>
    </row>
    <row r="1303" spans="1:9" ht="15.75" customHeight="1" x14ac:dyDescent="0.2">
      <c r="A1303" s="577"/>
      <c r="B1303" s="577"/>
      <c r="C1303" s="576"/>
      <c r="D1303" s="607">
        <v>46792</v>
      </c>
      <c r="E1303" s="576" t="s">
        <v>721</v>
      </c>
      <c r="F1303" s="576">
        <v>56006160.159999996</v>
      </c>
      <c r="G1303" s="588">
        <v>39356.609999999404</v>
      </c>
      <c r="H1303" s="576">
        <v>275496.23999999464</v>
      </c>
      <c r="I1303" s="589">
        <v>550992.46999999881</v>
      </c>
    </row>
    <row r="1304" spans="1:9" ht="15.75" customHeight="1" x14ac:dyDescent="0.2">
      <c r="A1304" s="577"/>
      <c r="B1304" s="577"/>
      <c r="C1304" s="576"/>
      <c r="D1304" s="607">
        <v>46793</v>
      </c>
      <c r="E1304" s="576" t="s">
        <v>720</v>
      </c>
      <c r="F1304" s="576">
        <v>56045516.759999998</v>
      </c>
      <c r="G1304" s="588">
        <v>39356.60000000149</v>
      </c>
      <c r="H1304" s="576">
        <v>0</v>
      </c>
      <c r="I1304" s="589">
        <v>0</v>
      </c>
    </row>
    <row r="1305" spans="1:9" ht="15.75" customHeight="1" x14ac:dyDescent="0.2">
      <c r="A1305" s="577"/>
      <c r="B1305" s="577"/>
      <c r="C1305" s="576"/>
      <c r="D1305" s="607">
        <v>46794</v>
      </c>
      <c r="E1305" s="576" t="s">
        <v>719</v>
      </c>
      <c r="F1305" s="576">
        <v>56084873.369999997</v>
      </c>
      <c r="G1305" s="588">
        <v>39356.609999999404</v>
      </c>
      <c r="H1305" s="576">
        <v>0</v>
      </c>
      <c r="I1305" s="589">
        <v>0</v>
      </c>
    </row>
    <row r="1306" spans="1:9" ht="15.75" customHeight="1" x14ac:dyDescent="0.2">
      <c r="A1306" s="577"/>
      <c r="B1306" s="577"/>
      <c r="C1306" s="576"/>
      <c r="D1306" s="607">
        <v>46795</v>
      </c>
      <c r="E1306" s="576" t="s">
        <v>718</v>
      </c>
      <c r="F1306" s="576">
        <v>56124229.969999999</v>
      </c>
      <c r="G1306" s="588">
        <v>39356.60000000149</v>
      </c>
      <c r="H1306" s="576">
        <v>0</v>
      </c>
      <c r="I1306" s="589">
        <v>0</v>
      </c>
    </row>
    <row r="1307" spans="1:9" ht="15.75" customHeight="1" x14ac:dyDescent="0.2">
      <c r="A1307" s="577"/>
      <c r="B1307" s="577"/>
      <c r="C1307" s="576"/>
      <c r="D1307" s="607">
        <v>46796</v>
      </c>
      <c r="E1307" s="576" t="s">
        <v>717</v>
      </c>
      <c r="F1307" s="576">
        <v>56163586.579999998</v>
      </c>
      <c r="G1307" s="588">
        <v>39356.609999999404</v>
      </c>
      <c r="H1307" s="576">
        <v>0</v>
      </c>
      <c r="I1307" s="589">
        <v>0</v>
      </c>
    </row>
    <row r="1308" spans="1:9" ht="15.75" customHeight="1" x14ac:dyDescent="0.2">
      <c r="A1308" s="577"/>
      <c r="B1308" s="577"/>
      <c r="C1308" s="576"/>
      <c r="D1308" s="607">
        <v>46797</v>
      </c>
      <c r="E1308" s="576" t="s">
        <v>716</v>
      </c>
      <c r="F1308" s="576">
        <v>56202943.18</v>
      </c>
      <c r="G1308" s="588">
        <v>39356.60000000149</v>
      </c>
      <c r="H1308" s="576">
        <v>0</v>
      </c>
      <c r="I1308" s="589">
        <v>0</v>
      </c>
    </row>
    <row r="1309" spans="1:9" ht="15.75" customHeight="1" x14ac:dyDescent="0.2">
      <c r="A1309" s="577"/>
      <c r="B1309" s="577"/>
      <c r="C1309" s="576"/>
      <c r="D1309" s="607">
        <v>46798</v>
      </c>
      <c r="E1309" s="576" t="s">
        <v>715</v>
      </c>
      <c r="F1309" s="576">
        <v>56242299.789999999</v>
      </c>
      <c r="G1309" s="588">
        <v>39356.609999999404</v>
      </c>
      <c r="H1309" s="576">
        <v>0</v>
      </c>
      <c r="I1309" s="589">
        <v>0</v>
      </c>
    </row>
    <row r="1310" spans="1:9" ht="15.75" customHeight="1" x14ac:dyDescent="0.2">
      <c r="A1310" s="577"/>
      <c r="B1310" s="577"/>
      <c r="C1310" s="576"/>
      <c r="D1310" s="607">
        <v>46799</v>
      </c>
      <c r="E1310" s="576" t="s">
        <v>721</v>
      </c>
      <c r="F1310" s="576">
        <v>56281656.390000001</v>
      </c>
      <c r="G1310" s="588">
        <v>39356.60000000149</v>
      </c>
      <c r="H1310" s="576">
        <v>275496.23000000417</v>
      </c>
      <c r="I1310" s="589">
        <v>0</v>
      </c>
    </row>
    <row r="1311" spans="1:9" ht="15.75" customHeight="1" x14ac:dyDescent="0.2">
      <c r="A1311" s="577"/>
      <c r="B1311" s="577"/>
      <c r="C1311" s="576"/>
      <c r="D1311" s="607">
        <v>46800</v>
      </c>
      <c r="E1311" s="576" t="s">
        <v>720</v>
      </c>
      <c r="F1311" s="576">
        <v>56321013</v>
      </c>
      <c r="G1311" s="588">
        <v>39356.609999999404</v>
      </c>
      <c r="H1311" s="576">
        <v>0</v>
      </c>
      <c r="I1311" s="589">
        <v>0</v>
      </c>
    </row>
    <row r="1312" spans="1:9" ht="15.75" customHeight="1" x14ac:dyDescent="0.2">
      <c r="A1312" s="577"/>
      <c r="B1312" s="577"/>
      <c r="C1312" s="576"/>
      <c r="D1312" s="607">
        <v>46801</v>
      </c>
      <c r="E1312" s="576" t="s">
        <v>719</v>
      </c>
      <c r="F1312" s="576">
        <v>56360369.600000001</v>
      </c>
      <c r="G1312" s="588">
        <v>39356.60000000149</v>
      </c>
      <c r="H1312" s="576">
        <v>0</v>
      </c>
      <c r="I1312" s="589">
        <v>0</v>
      </c>
    </row>
    <row r="1313" spans="1:9" ht="15.75" customHeight="1" x14ac:dyDescent="0.2">
      <c r="A1313" s="577"/>
      <c r="B1313" s="577"/>
      <c r="C1313" s="576"/>
      <c r="D1313" s="607">
        <v>46802</v>
      </c>
      <c r="E1313" s="576" t="s">
        <v>718</v>
      </c>
      <c r="F1313" s="576">
        <v>56399726.210000001</v>
      </c>
      <c r="G1313" s="588">
        <v>39356.609999999404</v>
      </c>
      <c r="H1313" s="576">
        <v>0</v>
      </c>
      <c r="I1313" s="589">
        <v>0</v>
      </c>
    </row>
    <row r="1314" spans="1:9" ht="15.75" customHeight="1" x14ac:dyDescent="0.2">
      <c r="A1314" s="577"/>
      <c r="B1314" s="577"/>
      <c r="C1314" s="576"/>
      <c r="D1314" s="607">
        <v>46803</v>
      </c>
      <c r="E1314" s="576" t="s">
        <v>717</v>
      </c>
      <c r="F1314" s="576">
        <v>56439082.810000002</v>
      </c>
      <c r="G1314" s="588">
        <v>39356.60000000149</v>
      </c>
      <c r="H1314" s="576">
        <v>0</v>
      </c>
      <c r="I1314" s="589">
        <v>0</v>
      </c>
    </row>
    <row r="1315" spans="1:9" ht="15.75" customHeight="1" x14ac:dyDescent="0.2">
      <c r="A1315" s="577"/>
      <c r="B1315" s="577"/>
      <c r="C1315" s="576"/>
      <c r="D1315" s="607">
        <v>46804</v>
      </c>
      <c r="E1315" s="576" t="s">
        <v>716</v>
      </c>
      <c r="F1315" s="576">
        <v>56478439.420000002</v>
      </c>
      <c r="G1315" s="588">
        <v>39356.609999999404</v>
      </c>
      <c r="H1315" s="576">
        <v>0</v>
      </c>
      <c r="I1315" s="589">
        <v>0</v>
      </c>
    </row>
    <row r="1316" spans="1:9" ht="15.75" customHeight="1" x14ac:dyDescent="0.2">
      <c r="A1316" s="577"/>
      <c r="B1316" s="577"/>
      <c r="C1316" s="576"/>
      <c r="D1316" s="607">
        <v>46805</v>
      </c>
      <c r="E1316" s="576" t="s">
        <v>715</v>
      </c>
      <c r="F1316" s="576">
        <v>56517796.030000001</v>
      </c>
      <c r="G1316" s="588">
        <v>39356.609999999404</v>
      </c>
      <c r="H1316" s="576">
        <v>0</v>
      </c>
      <c r="I1316" s="589">
        <v>0</v>
      </c>
    </row>
    <row r="1317" spans="1:9" ht="15.75" customHeight="1" x14ac:dyDescent="0.2">
      <c r="A1317" s="577"/>
      <c r="B1317" s="577"/>
      <c r="C1317" s="576"/>
      <c r="D1317" s="607">
        <v>46806</v>
      </c>
      <c r="E1317" s="576" t="s">
        <v>721</v>
      </c>
      <c r="F1317" s="576">
        <v>56557152.630000003</v>
      </c>
      <c r="G1317" s="588">
        <v>39356.60000000149</v>
      </c>
      <c r="H1317" s="576">
        <v>275496.24000000209</v>
      </c>
      <c r="I1317" s="589">
        <v>550992.47000000626</v>
      </c>
    </row>
    <row r="1318" spans="1:9" ht="15.75" customHeight="1" x14ac:dyDescent="0.2">
      <c r="A1318" s="577"/>
      <c r="B1318" s="577"/>
      <c r="C1318" s="576"/>
      <c r="D1318" s="607">
        <v>46807</v>
      </c>
      <c r="E1318" s="576" t="s">
        <v>720</v>
      </c>
      <c r="F1318" s="576">
        <v>56596509.240000002</v>
      </c>
      <c r="G1318" s="588">
        <v>39356.609999999404</v>
      </c>
      <c r="H1318" s="576">
        <v>0</v>
      </c>
      <c r="I1318" s="589">
        <v>0</v>
      </c>
    </row>
    <row r="1319" spans="1:9" ht="15.75" customHeight="1" x14ac:dyDescent="0.2">
      <c r="A1319" s="577"/>
      <c r="B1319" s="577"/>
      <c r="C1319" s="576"/>
      <c r="D1319" s="607">
        <v>46808</v>
      </c>
      <c r="E1319" s="576" t="s">
        <v>719</v>
      </c>
      <c r="F1319" s="576">
        <v>56635865.840000004</v>
      </c>
      <c r="G1319" s="588">
        <v>39356.60000000149</v>
      </c>
      <c r="H1319" s="576">
        <v>0</v>
      </c>
      <c r="I1319" s="589">
        <v>0</v>
      </c>
    </row>
    <row r="1320" spans="1:9" ht="15.75" customHeight="1" x14ac:dyDescent="0.2">
      <c r="A1320" s="577"/>
      <c r="B1320" s="577"/>
      <c r="C1320" s="576"/>
      <c r="D1320" s="607">
        <v>46809</v>
      </c>
      <c r="E1320" s="576" t="s">
        <v>718</v>
      </c>
      <c r="F1320" s="576">
        <v>56675222.450000003</v>
      </c>
      <c r="G1320" s="588">
        <v>39356.609999999404</v>
      </c>
      <c r="H1320" s="576">
        <v>0</v>
      </c>
      <c r="I1320" s="589">
        <v>0</v>
      </c>
    </row>
    <row r="1321" spans="1:9" ht="15.75" customHeight="1" x14ac:dyDescent="0.2">
      <c r="A1321" s="577"/>
      <c r="B1321" s="577"/>
      <c r="C1321" s="576"/>
      <c r="D1321" s="607">
        <v>46810</v>
      </c>
      <c r="E1321" s="576" t="s">
        <v>717</v>
      </c>
      <c r="F1321" s="576">
        <v>56714579.049999997</v>
      </c>
      <c r="G1321" s="588">
        <v>39356.59999999404</v>
      </c>
      <c r="H1321" s="576">
        <v>0</v>
      </c>
      <c r="I1321" s="589">
        <v>0</v>
      </c>
    </row>
    <row r="1322" spans="1:9" ht="15.75" customHeight="1" x14ac:dyDescent="0.2">
      <c r="A1322" s="577"/>
      <c r="B1322" s="577"/>
      <c r="C1322" s="576"/>
      <c r="D1322" s="607">
        <v>46811</v>
      </c>
      <c r="E1322" s="576" t="s">
        <v>716</v>
      </c>
      <c r="F1322" s="576">
        <v>56753935.659999996</v>
      </c>
      <c r="G1322" s="588">
        <v>39356.609999999404</v>
      </c>
      <c r="H1322" s="576">
        <v>0</v>
      </c>
      <c r="I1322" s="589">
        <v>0</v>
      </c>
    </row>
    <row r="1323" spans="1:9" ht="15.75" customHeight="1" x14ac:dyDescent="0.2">
      <c r="A1323" s="577"/>
      <c r="B1323" s="577"/>
      <c r="C1323" s="576"/>
      <c r="D1323" s="607">
        <v>46812</v>
      </c>
      <c r="E1323" s="576" t="s">
        <v>715</v>
      </c>
      <c r="F1323" s="576">
        <v>56793292.259999998</v>
      </c>
      <c r="G1323" s="588">
        <v>39356.60000000149</v>
      </c>
      <c r="H1323" s="576">
        <v>0</v>
      </c>
      <c r="I1323" s="589">
        <v>0</v>
      </c>
    </row>
    <row r="1324" spans="1:9" ht="15.75" customHeight="1" x14ac:dyDescent="0.2">
      <c r="A1324" s="577"/>
      <c r="B1324" s="577"/>
      <c r="C1324" s="576"/>
      <c r="D1324" s="607">
        <v>46813</v>
      </c>
      <c r="E1324" s="576" t="s">
        <v>721</v>
      </c>
      <c r="F1324" s="576">
        <v>56832648.869999997</v>
      </c>
      <c r="G1324" s="588">
        <v>39356.609999999404</v>
      </c>
      <c r="H1324" s="576">
        <v>275496.23999999464</v>
      </c>
      <c r="I1324" s="589">
        <v>0</v>
      </c>
    </row>
    <row r="1325" spans="1:9" ht="15.75" customHeight="1" x14ac:dyDescent="0.2">
      <c r="A1325" s="577"/>
      <c r="B1325" s="577"/>
      <c r="C1325" s="576"/>
      <c r="D1325" s="607">
        <v>46814</v>
      </c>
      <c r="E1325" s="576" t="s">
        <v>720</v>
      </c>
      <c r="F1325" s="576">
        <v>56872005.469999999</v>
      </c>
      <c r="G1325" s="588">
        <v>39356.60000000149</v>
      </c>
      <c r="H1325" s="576">
        <v>0</v>
      </c>
      <c r="I1325" s="589">
        <v>0</v>
      </c>
    </row>
    <row r="1326" spans="1:9" ht="15.75" customHeight="1" x14ac:dyDescent="0.2">
      <c r="A1326" s="577"/>
      <c r="B1326" s="577"/>
      <c r="C1326" s="576"/>
      <c r="D1326" s="607">
        <v>46815</v>
      </c>
      <c r="E1326" s="576" t="s">
        <v>719</v>
      </c>
      <c r="F1326" s="576">
        <v>56911362.079999998</v>
      </c>
      <c r="G1326" s="588">
        <v>39356.609999999404</v>
      </c>
      <c r="H1326" s="576">
        <v>0</v>
      </c>
      <c r="I1326" s="589">
        <v>0</v>
      </c>
    </row>
    <row r="1327" spans="1:9" ht="15.75" customHeight="1" x14ac:dyDescent="0.2">
      <c r="A1327" s="577"/>
      <c r="B1327" s="577"/>
      <c r="C1327" s="576"/>
      <c r="D1327" s="607">
        <v>46816</v>
      </c>
      <c r="E1327" s="576" t="s">
        <v>718</v>
      </c>
      <c r="F1327" s="576">
        <v>56950718.68</v>
      </c>
      <c r="G1327" s="588">
        <v>39356.60000000149</v>
      </c>
      <c r="H1327" s="576">
        <v>0</v>
      </c>
      <c r="I1327" s="589">
        <v>0</v>
      </c>
    </row>
    <row r="1328" spans="1:9" ht="15.75" customHeight="1" x14ac:dyDescent="0.2">
      <c r="A1328" s="577"/>
      <c r="B1328" s="577"/>
      <c r="C1328" s="576"/>
      <c r="D1328" s="607">
        <v>46817</v>
      </c>
      <c r="E1328" s="576" t="s">
        <v>717</v>
      </c>
      <c r="F1328" s="576">
        <v>56990075.289999999</v>
      </c>
      <c r="G1328" s="588">
        <v>39356.609999999404</v>
      </c>
      <c r="H1328" s="576">
        <v>0</v>
      </c>
      <c r="I1328" s="589">
        <v>0</v>
      </c>
    </row>
    <row r="1329" spans="1:9" ht="15.75" customHeight="1" x14ac:dyDescent="0.2">
      <c r="A1329" s="577"/>
      <c r="B1329" s="577"/>
      <c r="C1329" s="576"/>
      <c r="D1329" s="607">
        <v>46818</v>
      </c>
      <c r="E1329" s="576" t="s">
        <v>716</v>
      </c>
      <c r="F1329" s="576">
        <v>57029431.890000001</v>
      </c>
      <c r="G1329" s="588">
        <v>39356.60000000149</v>
      </c>
      <c r="H1329" s="576">
        <v>0</v>
      </c>
      <c r="I1329" s="589">
        <v>0</v>
      </c>
    </row>
    <row r="1330" spans="1:9" ht="15.75" customHeight="1" x14ac:dyDescent="0.2">
      <c r="A1330" s="577"/>
      <c r="B1330" s="577"/>
      <c r="C1330" s="576"/>
      <c r="D1330" s="607">
        <v>46819</v>
      </c>
      <c r="E1330" s="576" t="s">
        <v>715</v>
      </c>
      <c r="F1330" s="576">
        <v>57068788.5</v>
      </c>
      <c r="G1330" s="588">
        <v>39356.609999999404</v>
      </c>
      <c r="H1330" s="576">
        <v>0</v>
      </c>
      <c r="I1330" s="589">
        <v>0</v>
      </c>
    </row>
    <row r="1331" spans="1:9" ht="15.75" customHeight="1" x14ac:dyDescent="0.2">
      <c r="A1331" s="577"/>
      <c r="B1331" s="577"/>
      <c r="C1331" s="576"/>
      <c r="D1331" s="607">
        <v>46820</v>
      </c>
      <c r="E1331" s="576" t="s">
        <v>721</v>
      </c>
      <c r="F1331" s="576">
        <v>57108145.100000001</v>
      </c>
      <c r="G1331" s="588">
        <v>39356.60000000149</v>
      </c>
      <c r="H1331" s="576">
        <v>275496.23000000417</v>
      </c>
      <c r="I1331" s="589">
        <v>550992.46999999881</v>
      </c>
    </row>
    <row r="1332" spans="1:9" ht="15.75" customHeight="1" x14ac:dyDescent="0.2">
      <c r="A1332" s="577"/>
      <c r="B1332" s="577"/>
      <c r="C1332" s="576"/>
      <c r="D1332" s="607">
        <v>46821</v>
      </c>
      <c r="E1332" s="576" t="s">
        <v>720</v>
      </c>
      <c r="F1332" s="576">
        <v>57147501.710000001</v>
      </c>
      <c r="G1332" s="588">
        <v>39356.609999999404</v>
      </c>
      <c r="H1332" s="576">
        <v>0</v>
      </c>
      <c r="I1332" s="589">
        <v>0</v>
      </c>
    </row>
    <row r="1333" spans="1:9" ht="15.75" customHeight="1" x14ac:dyDescent="0.2">
      <c r="A1333" s="577"/>
      <c r="B1333" s="577"/>
      <c r="C1333" s="576"/>
      <c r="D1333" s="607">
        <v>46822</v>
      </c>
      <c r="E1333" s="576" t="s">
        <v>719</v>
      </c>
      <c r="F1333" s="576">
        <v>57186858.310000002</v>
      </c>
      <c r="G1333" s="588">
        <v>39356.60000000149</v>
      </c>
      <c r="H1333" s="576">
        <v>0</v>
      </c>
      <c r="I1333" s="589">
        <v>0</v>
      </c>
    </row>
    <row r="1334" spans="1:9" ht="15.75" customHeight="1" x14ac:dyDescent="0.2">
      <c r="A1334" s="577"/>
      <c r="B1334" s="577"/>
      <c r="C1334" s="576"/>
      <c r="D1334" s="607">
        <v>46823</v>
      </c>
      <c r="E1334" s="576" t="s">
        <v>718</v>
      </c>
      <c r="F1334" s="576">
        <v>57226214.920000002</v>
      </c>
      <c r="G1334" s="588">
        <v>39356.609999999404</v>
      </c>
      <c r="H1334" s="576">
        <v>0</v>
      </c>
      <c r="I1334" s="589">
        <v>0</v>
      </c>
    </row>
    <row r="1335" spans="1:9" ht="15.75" customHeight="1" x14ac:dyDescent="0.2">
      <c r="A1335" s="577"/>
      <c r="B1335" s="577"/>
      <c r="C1335" s="576"/>
      <c r="D1335" s="607">
        <v>46824</v>
      </c>
      <c r="E1335" s="576" t="s">
        <v>717</v>
      </c>
      <c r="F1335" s="576">
        <v>57265571.520000003</v>
      </c>
      <c r="G1335" s="588">
        <v>39356.60000000149</v>
      </c>
      <c r="H1335" s="576">
        <v>0</v>
      </c>
      <c r="I1335" s="589">
        <v>0</v>
      </c>
    </row>
    <row r="1336" spans="1:9" ht="15.75" customHeight="1" x14ac:dyDescent="0.2">
      <c r="A1336" s="577"/>
      <c r="B1336" s="577"/>
      <c r="C1336" s="576"/>
      <c r="D1336" s="607">
        <v>46825</v>
      </c>
      <c r="E1336" s="576" t="s">
        <v>716</v>
      </c>
      <c r="F1336" s="576">
        <v>57304928.130000003</v>
      </c>
      <c r="G1336" s="588">
        <v>39356.609999999404</v>
      </c>
      <c r="H1336" s="576">
        <v>0</v>
      </c>
      <c r="I1336" s="589">
        <v>0</v>
      </c>
    </row>
    <row r="1337" spans="1:9" ht="15.75" customHeight="1" x14ac:dyDescent="0.2">
      <c r="A1337" s="577"/>
      <c r="B1337" s="577"/>
      <c r="C1337" s="576"/>
      <c r="D1337" s="607">
        <v>46826</v>
      </c>
      <c r="E1337" s="576" t="s">
        <v>715</v>
      </c>
      <c r="F1337" s="576">
        <v>57344284.729999997</v>
      </c>
      <c r="G1337" s="588">
        <v>39356.59999999404</v>
      </c>
      <c r="H1337" s="576">
        <v>0</v>
      </c>
      <c r="I1337" s="589">
        <v>0</v>
      </c>
    </row>
    <row r="1338" spans="1:9" ht="15.75" customHeight="1" x14ac:dyDescent="0.2">
      <c r="A1338" s="577"/>
      <c r="B1338" s="577"/>
      <c r="C1338" s="576"/>
      <c r="D1338" s="607">
        <v>46827</v>
      </c>
      <c r="E1338" s="576" t="s">
        <v>721</v>
      </c>
      <c r="F1338" s="576">
        <v>57383641.340000004</v>
      </c>
      <c r="G1338" s="588">
        <v>39356.610000006855</v>
      </c>
      <c r="H1338" s="576">
        <v>275496.24000000209</v>
      </c>
      <c r="I1338" s="589">
        <v>0</v>
      </c>
    </row>
    <row r="1339" spans="1:9" ht="15.75" customHeight="1" x14ac:dyDescent="0.2">
      <c r="A1339" s="577"/>
      <c r="B1339" s="577"/>
      <c r="C1339" s="576"/>
      <c r="D1339" s="607">
        <v>46828</v>
      </c>
      <c r="E1339" s="576" t="s">
        <v>720</v>
      </c>
      <c r="F1339" s="576">
        <v>57422997.939999998</v>
      </c>
      <c r="G1339" s="588">
        <v>39356.59999999404</v>
      </c>
      <c r="H1339" s="576">
        <v>0</v>
      </c>
      <c r="I1339" s="589">
        <v>0</v>
      </c>
    </row>
    <row r="1340" spans="1:9" ht="15.75" customHeight="1" x14ac:dyDescent="0.2">
      <c r="A1340" s="577"/>
      <c r="B1340" s="577"/>
      <c r="C1340" s="576"/>
      <c r="D1340" s="607">
        <v>46829</v>
      </c>
      <c r="E1340" s="576" t="s">
        <v>719</v>
      </c>
      <c r="F1340" s="576">
        <v>57462354.549999997</v>
      </c>
      <c r="G1340" s="588">
        <v>39356.609999999404</v>
      </c>
      <c r="H1340" s="576">
        <v>0</v>
      </c>
      <c r="I1340" s="589">
        <v>0</v>
      </c>
    </row>
    <row r="1341" spans="1:9" ht="15.75" customHeight="1" x14ac:dyDescent="0.2">
      <c r="A1341" s="577"/>
      <c r="B1341" s="577"/>
      <c r="C1341" s="576"/>
      <c r="D1341" s="607">
        <v>46830</v>
      </c>
      <c r="E1341" s="576" t="s">
        <v>718</v>
      </c>
      <c r="F1341" s="576">
        <v>57501711.149999999</v>
      </c>
      <c r="G1341" s="588">
        <v>39356.60000000149</v>
      </c>
      <c r="H1341" s="576">
        <v>0</v>
      </c>
      <c r="I1341" s="589">
        <v>0</v>
      </c>
    </row>
    <row r="1342" spans="1:9" ht="15.75" customHeight="1" x14ac:dyDescent="0.2">
      <c r="A1342" s="577"/>
      <c r="B1342" s="577"/>
      <c r="C1342" s="576"/>
      <c r="D1342" s="607">
        <v>46831</v>
      </c>
      <c r="E1342" s="576" t="s">
        <v>717</v>
      </c>
      <c r="F1342" s="576">
        <v>57541067.759999998</v>
      </c>
      <c r="G1342" s="588">
        <v>39356.609999999404</v>
      </c>
      <c r="H1342" s="576">
        <v>0</v>
      </c>
      <c r="I1342" s="589">
        <v>0</v>
      </c>
    </row>
    <row r="1343" spans="1:9" ht="15.75" customHeight="1" x14ac:dyDescent="0.2">
      <c r="A1343" s="577"/>
      <c r="B1343" s="577"/>
      <c r="C1343" s="576"/>
      <c r="D1343" s="607">
        <v>46832</v>
      </c>
      <c r="E1343" s="576" t="s">
        <v>716</v>
      </c>
      <c r="F1343" s="576">
        <v>57580424.359999999</v>
      </c>
      <c r="G1343" s="588">
        <v>39356.60000000149</v>
      </c>
      <c r="H1343" s="576">
        <v>0</v>
      </c>
      <c r="I1343" s="589">
        <v>0</v>
      </c>
    </row>
    <row r="1344" spans="1:9" ht="15.75" customHeight="1" x14ac:dyDescent="0.2">
      <c r="A1344" s="577"/>
      <c r="B1344" s="577"/>
      <c r="C1344" s="576"/>
      <c r="D1344" s="607">
        <v>46833</v>
      </c>
      <c r="E1344" s="576" t="s">
        <v>715</v>
      </c>
      <c r="F1344" s="576">
        <v>57619780.969999999</v>
      </c>
      <c r="G1344" s="588">
        <v>39356.609999999404</v>
      </c>
      <c r="H1344" s="576">
        <v>0</v>
      </c>
      <c r="I1344" s="589">
        <v>0</v>
      </c>
    </row>
    <row r="1345" spans="1:9" ht="15.75" customHeight="1" x14ac:dyDescent="0.2">
      <c r="A1345" s="577"/>
      <c r="B1345" s="577"/>
      <c r="C1345" s="576"/>
      <c r="D1345" s="607">
        <v>46834</v>
      </c>
      <c r="E1345" s="576" t="s">
        <v>721</v>
      </c>
      <c r="F1345" s="576">
        <v>57659137.57</v>
      </c>
      <c r="G1345" s="588">
        <v>39356.60000000149</v>
      </c>
      <c r="H1345" s="576">
        <v>275496.22999999672</v>
      </c>
      <c r="I1345" s="589">
        <v>550992.46999999881</v>
      </c>
    </row>
    <row r="1346" spans="1:9" ht="15.75" customHeight="1" x14ac:dyDescent="0.2">
      <c r="A1346" s="577"/>
      <c r="B1346" s="577"/>
      <c r="C1346" s="576"/>
      <c r="D1346" s="607">
        <v>46835</v>
      </c>
      <c r="E1346" s="576" t="s">
        <v>720</v>
      </c>
      <c r="F1346" s="576">
        <v>57698494.18</v>
      </c>
      <c r="G1346" s="588">
        <v>39356.609999999404</v>
      </c>
      <c r="H1346" s="576">
        <v>0</v>
      </c>
      <c r="I1346" s="589">
        <v>0</v>
      </c>
    </row>
    <row r="1347" spans="1:9" ht="15.75" customHeight="1" x14ac:dyDescent="0.2">
      <c r="A1347" s="577"/>
      <c r="B1347" s="577"/>
      <c r="C1347" s="576"/>
      <c r="D1347" s="607">
        <v>46836</v>
      </c>
      <c r="E1347" s="576" t="s">
        <v>719</v>
      </c>
      <c r="F1347" s="576">
        <v>57737850.780000001</v>
      </c>
      <c r="G1347" s="588">
        <v>39356.60000000149</v>
      </c>
      <c r="H1347" s="576">
        <v>0</v>
      </c>
      <c r="I1347" s="589">
        <v>0</v>
      </c>
    </row>
    <row r="1348" spans="1:9" ht="15.75" customHeight="1" x14ac:dyDescent="0.2">
      <c r="A1348" s="577"/>
      <c r="B1348" s="577"/>
      <c r="C1348" s="576"/>
      <c r="D1348" s="607">
        <v>46837</v>
      </c>
      <c r="E1348" s="576" t="s">
        <v>718</v>
      </c>
      <c r="F1348" s="576">
        <v>57777207.390000001</v>
      </c>
      <c r="G1348" s="588">
        <v>39356.609999999404</v>
      </c>
      <c r="H1348" s="576">
        <v>0</v>
      </c>
      <c r="I1348" s="589">
        <v>0</v>
      </c>
    </row>
    <row r="1349" spans="1:9" ht="15.75" customHeight="1" x14ac:dyDescent="0.2">
      <c r="A1349" s="577"/>
      <c r="B1349" s="577"/>
      <c r="C1349" s="576"/>
      <c r="D1349" s="607">
        <v>46838</v>
      </c>
      <c r="E1349" s="576" t="s">
        <v>717</v>
      </c>
      <c r="F1349" s="576">
        <v>57816563.990000002</v>
      </c>
      <c r="G1349" s="588">
        <v>39356.60000000149</v>
      </c>
      <c r="H1349" s="576">
        <v>0</v>
      </c>
      <c r="I1349" s="589">
        <v>0</v>
      </c>
    </row>
    <row r="1350" spans="1:9" ht="15.75" customHeight="1" x14ac:dyDescent="0.2">
      <c r="A1350" s="577"/>
      <c r="B1350" s="577"/>
      <c r="C1350" s="576"/>
      <c r="D1350" s="607">
        <v>46839</v>
      </c>
      <c r="E1350" s="576" t="s">
        <v>716</v>
      </c>
      <c r="F1350" s="576">
        <v>57855920.600000001</v>
      </c>
      <c r="G1350" s="588">
        <v>39356.609999999404</v>
      </c>
      <c r="H1350" s="576">
        <v>0</v>
      </c>
      <c r="I1350" s="589">
        <v>0</v>
      </c>
    </row>
    <row r="1351" spans="1:9" ht="15.75" customHeight="1" x14ac:dyDescent="0.2">
      <c r="A1351" s="577"/>
      <c r="B1351" s="577"/>
      <c r="C1351" s="576"/>
      <c r="D1351" s="607">
        <v>46840</v>
      </c>
      <c r="E1351" s="576" t="s">
        <v>715</v>
      </c>
      <c r="F1351" s="576">
        <v>57895277.200000003</v>
      </c>
      <c r="G1351" s="588">
        <v>39356.60000000149</v>
      </c>
      <c r="H1351" s="576">
        <v>0</v>
      </c>
      <c r="I1351" s="589">
        <v>0</v>
      </c>
    </row>
    <row r="1352" spans="1:9" ht="15.75" customHeight="1" x14ac:dyDescent="0.2">
      <c r="A1352" s="577"/>
      <c r="B1352" s="577"/>
      <c r="C1352" s="576"/>
      <c r="D1352" s="607">
        <v>46841</v>
      </c>
      <c r="E1352" s="576" t="s">
        <v>721</v>
      </c>
      <c r="F1352" s="576">
        <v>57934633.810000002</v>
      </c>
      <c r="G1352" s="588">
        <v>39356.609999999404</v>
      </c>
      <c r="H1352" s="576">
        <v>275496.24000000209</v>
      </c>
      <c r="I1352" s="589">
        <v>0</v>
      </c>
    </row>
    <row r="1353" spans="1:9" ht="15.75" customHeight="1" x14ac:dyDescent="0.2">
      <c r="A1353" s="577"/>
      <c r="B1353" s="577"/>
      <c r="C1353" s="576"/>
      <c r="D1353" s="607">
        <v>46842</v>
      </c>
      <c r="E1353" s="576" t="s">
        <v>720</v>
      </c>
      <c r="F1353" s="576">
        <v>57973990.409999996</v>
      </c>
      <c r="G1353" s="588">
        <v>39356.59999999404</v>
      </c>
      <c r="H1353" s="576">
        <v>0</v>
      </c>
      <c r="I1353" s="589">
        <v>0</v>
      </c>
    </row>
    <row r="1354" spans="1:9" ht="15.75" customHeight="1" x14ac:dyDescent="0.2">
      <c r="A1354" s="577"/>
      <c r="B1354" s="577"/>
      <c r="C1354" s="576"/>
      <c r="D1354" s="607">
        <v>46843</v>
      </c>
      <c r="E1354" s="576" t="s">
        <v>719</v>
      </c>
      <c r="F1354" s="576">
        <v>58013347.020000003</v>
      </c>
      <c r="G1354" s="588">
        <v>39356.610000006855</v>
      </c>
      <c r="H1354" s="576">
        <v>0</v>
      </c>
      <c r="I1354" s="589">
        <v>0</v>
      </c>
    </row>
    <row r="1355" spans="1:9" ht="15.75" customHeight="1" x14ac:dyDescent="0.2">
      <c r="A1355" s="577"/>
      <c r="B1355" s="577"/>
      <c r="C1355" s="576"/>
      <c r="D1355" s="607">
        <v>46844</v>
      </c>
      <c r="E1355" s="576" t="s">
        <v>718</v>
      </c>
      <c r="F1355" s="576">
        <v>58052703.619999997</v>
      </c>
      <c r="G1355" s="588">
        <v>39356.59999999404</v>
      </c>
      <c r="H1355" s="576">
        <v>0</v>
      </c>
      <c r="I1355" s="589">
        <v>0</v>
      </c>
    </row>
    <row r="1356" spans="1:9" ht="15.75" customHeight="1" x14ac:dyDescent="0.2">
      <c r="A1356" s="577"/>
      <c r="B1356" s="577"/>
      <c r="C1356" s="576"/>
      <c r="D1356" s="607">
        <v>46845</v>
      </c>
      <c r="E1356" s="576" t="s">
        <v>717</v>
      </c>
      <c r="F1356" s="576">
        <v>58092060.229999997</v>
      </c>
      <c r="G1356" s="588">
        <v>39356.609999999404</v>
      </c>
      <c r="H1356" s="576">
        <v>0</v>
      </c>
      <c r="I1356" s="589">
        <v>0</v>
      </c>
    </row>
    <row r="1357" spans="1:9" ht="15.75" customHeight="1" x14ac:dyDescent="0.2">
      <c r="A1357" s="577"/>
      <c r="B1357" s="577"/>
      <c r="C1357" s="576"/>
      <c r="D1357" s="607">
        <v>46846</v>
      </c>
      <c r="E1357" s="576" t="s">
        <v>716</v>
      </c>
      <c r="F1357" s="576">
        <v>58131416.829999998</v>
      </c>
      <c r="G1357" s="588">
        <v>39356.60000000149</v>
      </c>
      <c r="H1357" s="576">
        <v>0</v>
      </c>
      <c r="I1357" s="589">
        <v>0</v>
      </c>
    </row>
    <row r="1358" spans="1:9" ht="15.75" customHeight="1" x14ac:dyDescent="0.2">
      <c r="A1358" s="577"/>
      <c r="B1358" s="577"/>
      <c r="C1358" s="576"/>
      <c r="D1358" s="607">
        <v>46847</v>
      </c>
      <c r="E1358" s="576" t="s">
        <v>715</v>
      </c>
      <c r="F1358" s="576">
        <v>58170773.439999998</v>
      </c>
      <c r="G1358" s="588">
        <v>39356.609999999404</v>
      </c>
      <c r="H1358" s="576">
        <v>0</v>
      </c>
      <c r="I1358" s="589">
        <v>0</v>
      </c>
    </row>
    <row r="1359" spans="1:9" ht="15.75" customHeight="1" x14ac:dyDescent="0.2">
      <c r="A1359" s="577"/>
      <c r="B1359" s="577"/>
      <c r="C1359" s="576"/>
      <c r="D1359" s="607">
        <v>46848</v>
      </c>
      <c r="E1359" s="576" t="s">
        <v>721</v>
      </c>
      <c r="F1359" s="576">
        <v>58210130.039999999</v>
      </c>
      <c r="G1359" s="588">
        <v>39356.60000000149</v>
      </c>
      <c r="H1359" s="576">
        <v>275496.22999999672</v>
      </c>
      <c r="I1359" s="589">
        <v>550992.46999999881</v>
      </c>
    </row>
    <row r="1360" spans="1:9" ht="15.75" customHeight="1" x14ac:dyDescent="0.2">
      <c r="A1360" s="577"/>
      <c r="B1360" s="577"/>
      <c r="C1360" s="576"/>
      <c r="D1360" s="607">
        <v>46849</v>
      </c>
      <c r="E1360" s="576" t="s">
        <v>720</v>
      </c>
      <c r="F1360" s="576">
        <v>58249486.649999999</v>
      </c>
      <c r="G1360" s="588">
        <v>39356.609999999404</v>
      </c>
      <c r="H1360" s="576">
        <v>0</v>
      </c>
      <c r="I1360" s="589">
        <v>0</v>
      </c>
    </row>
    <row r="1361" spans="1:9" ht="15.75" customHeight="1" x14ac:dyDescent="0.2">
      <c r="A1361" s="577"/>
      <c r="B1361" s="577"/>
      <c r="C1361" s="576"/>
      <c r="D1361" s="607">
        <v>46850</v>
      </c>
      <c r="E1361" s="576" t="s">
        <v>719</v>
      </c>
      <c r="F1361" s="576">
        <v>58288843.25</v>
      </c>
      <c r="G1361" s="588">
        <v>39356.60000000149</v>
      </c>
      <c r="H1361" s="576">
        <v>0</v>
      </c>
      <c r="I1361" s="589">
        <v>0</v>
      </c>
    </row>
    <row r="1362" spans="1:9" ht="15.75" customHeight="1" x14ac:dyDescent="0.2">
      <c r="A1362" s="577"/>
      <c r="B1362" s="577"/>
      <c r="C1362" s="576"/>
      <c r="D1362" s="607">
        <v>46851</v>
      </c>
      <c r="E1362" s="576" t="s">
        <v>718</v>
      </c>
      <c r="F1362" s="576">
        <v>58328199.859999999</v>
      </c>
      <c r="G1362" s="588">
        <v>39356.609999999404</v>
      </c>
      <c r="H1362" s="576">
        <v>0</v>
      </c>
      <c r="I1362" s="589">
        <v>0</v>
      </c>
    </row>
    <row r="1363" spans="1:9" ht="15.75" customHeight="1" x14ac:dyDescent="0.2">
      <c r="A1363" s="577"/>
      <c r="B1363" s="577"/>
      <c r="C1363" s="576"/>
      <c r="D1363" s="607">
        <v>46852</v>
      </c>
      <c r="E1363" s="576" t="s">
        <v>717</v>
      </c>
      <c r="F1363" s="576">
        <v>58367556.460000001</v>
      </c>
      <c r="G1363" s="588">
        <v>39356.60000000149</v>
      </c>
      <c r="H1363" s="576">
        <v>0</v>
      </c>
      <c r="I1363" s="589">
        <v>0</v>
      </c>
    </row>
    <row r="1364" spans="1:9" ht="15.75" customHeight="1" x14ac:dyDescent="0.2">
      <c r="A1364" s="577"/>
      <c r="B1364" s="577"/>
      <c r="C1364" s="576"/>
      <c r="D1364" s="607">
        <v>46853</v>
      </c>
      <c r="E1364" s="576" t="s">
        <v>716</v>
      </c>
      <c r="F1364" s="576">
        <v>58406913.07</v>
      </c>
      <c r="G1364" s="588">
        <v>39356.609999999404</v>
      </c>
      <c r="H1364" s="576">
        <v>0</v>
      </c>
      <c r="I1364" s="589">
        <v>0</v>
      </c>
    </row>
    <row r="1365" spans="1:9" ht="15.75" customHeight="1" x14ac:dyDescent="0.2">
      <c r="A1365" s="577"/>
      <c r="B1365" s="577"/>
      <c r="C1365" s="576"/>
      <c r="D1365" s="607">
        <v>46854</v>
      </c>
      <c r="E1365" s="576" t="s">
        <v>715</v>
      </c>
      <c r="F1365" s="576">
        <v>58446269.670000002</v>
      </c>
      <c r="G1365" s="588">
        <v>39356.60000000149</v>
      </c>
      <c r="H1365" s="576">
        <v>0</v>
      </c>
      <c r="I1365" s="589">
        <v>0</v>
      </c>
    </row>
    <row r="1366" spans="1:9" ht="15.75" customHeight="1" x14ac:dyDescent="0.2">
      <c r="A1366" s="577"/>
      <c r="B1366" s="577"/>
      <c r="C1366" s="576"/>
      <c r="D1366" s="607">
        <v>46855</v>
      </c>
      <c r="E1366" s="576" t="s">
        <v>721</v>
      </c>
      <c r="F1366" s="576">
        <v>58485626.280000001</v>
      </c>
      <c r="G1366" s="588">
        <v>39356.609999999404</v>
      </c>
      <c r="H1366" s="576">
        <v>275496.24000000209</v>
      </c>
      <c r="I1366" s="589">
        <v>0</v>
      </c>
    </row>
    <row r="1367" spans="1:9" ht="15.75" customHeight="1" x14ac:dyDescent="0.2">
      <c r="A1367" s="577"/>
      <c r="B1367" s="577"/>
      <c r="C1367" s="576"/>
      <c r="D1367" s="607">
        <v>46856</v>
      </c>
      <c r="E1367" s="576" t="s">
        <v>720</v>
      </c>
      <c r="F1367" s="576">
        <v>58524982.880000003</v>
      </c>
      <c r="G1367" s="588">
        <v>39356.60000000149</v>
      </c>
      <c r="H1367" s="576">
        <v>0</v>
      </c>
      <c r="I1367" s="589">
        <v>0</v>
      </c>
    </row>
    <row r="1368" spans="1:9" ht="15.75" customHeight="1" x14ac:dyDescent="0.2">
      <c r="A1368" s="577"/>
      <c r="B1368" s="577"/>
      <c r="C1368" s="576"/>
      <c r="D1368" s="607">
        <v>46857</v>
      </c>
      <c r="E1368" s="576" t="s">
        <v>719</v>
      </c>
      <c r="F1368" s="576">
        <v>58564339.490000002</v>
      </c>
      <c r="G1368" s="588">
        <v>39356.609999999404</v>
      </c>
      <c r="H1368" s="576">
        <v>0</v>
      </c>
      <c r="I1368" s="589">
        <v>0</v>
      </c>
    </row>
    <row r="1369" spans="1:9" ht="15.75" customHeight="1" x14ac:dyDescent="0.2">
      <c r="A1369" s="577"/>
      <c r="B1369" s="577"/>
      <c r="C1369" s="576"/>
      <c r="D1369" s="607">
        <v>46858</v>
      </c>
      <c r="E1369" s="576" t="s">
        <v>718</v>
      </c>
      <c r="F1369" s="576">
        <v>58603696.090000004</v>
      </c>
      <c r="G1369" s="588">
        <v>39356.60000000149</v>
      </c>
      <c r="H1369" s="576">
        <v>0</v>
      </c>
      <c r="I1369" s="589">
        <v>0</v>
      </c>
    </row>
    <row r="1370" spans="1:9" ht="15.75" customHeight="1" x14ac:dyDescent="0.2">
      <c r="A1370" s="577"/>
      <c r="B1370" s="577"/>
      <c r="C1370" s="576"/>
      <c r="D1370" s="607">
        <v>46859</v>
      </c>
      <c r="E1370" s="576" t="s">
        <v>717</v>
      </c>
      <c r="F1370" s="576">
        <v>58643052.700000003</v>
      </c>
      <c r="G1370" s="588">
        <v>39356.609999999404</v>
      </c>
      <c r="H1370" s="576">
        <v>0</v>
      </c>
      <c r="I1370" s="589">
        <v>0</v>
      </c>
    </row>
    <row r="1371" spans="1:9" ht="15.75" customHeight="1" x14ac:dyDescent="0.2">
      <c r="A1371" s="577"/>
      <c r="B1371" s="577"/>
      <c r="C1371" s="576"/>
      <c r="D1371" s="607">
        <v>46860</v>
      </c>
      <c r="E1371" s="576" t="s">
        <v>716</v>
      </c>
      <c r="F1371" s="576">
        <v>58682409.299999997</v>
      </c>
      <c r="G1371" s="588">
        <v>39356.59999999404</v>
      </c>
      <c r="H1371" s="576">
        <v>0</v>
      </c>
      <c r="I1371" s="589">
        <v>0</v>
      </c>
    </row>
    <row r="1372" spans="1:9" ht="15.75" customHeight="1" x14ac:dyDescent="0.2">
      <c r="A1372" s="577"/>
      <c r="B1372" s="577"/>
      <c r="C1372" s="576"/>
      <c r="D1372" s="607">
        <v>46861</v>
      </c>
      <c r="E1372" s="576" t="s">
        <v>715</v>
      </c>
      <c r="F1372" s="576">
        <v>58721765.909999996</v>
      </c>
      <c r="G1372" s="588">
        <v>39356.609999999404</v>
      </c>
      <c r="H1372" s="576">
        <v>0</v>
      </c>
      <c r="I1372" s="589">
        <v>0</v>
      </c>
    </row>
    <row r="1373" spans="1:9" ht="15.75" customHeight="1" x14ac:dyDescent="0.2">
      <c r="A1373" s="577"/>
      <c r="B1373" s="577"/>
      <c r="C1373" s="576"/>
      <c r="D1373" s="607">
        <v>46862</v>
      </c>
      <c r="E1373" s="576" t="s">
        <v>721</v>
      </c>
      <c r="F1373" s="576">
        <v>58761122.509999998</v>
      </c>
      <c r="G1373" s="588">
        <v>39356.60000000149</v>
      </c>
      <c r="H1373" s="576">
        <v>275496.22999999672</v>
      </c>
      <c r="I1373" s="589">
        <v>550992.46999999881</v>
      </c>
    </row>
    <row r="1374" spans="1:9" ht="15.75" customHeight="1" x14ac:dyDescent="0.2">
      <c r="A1374" s="577"/>
      <c r="B1374" s="577"/>
      <c r="C1374" s="576"/>
      <c r="D1374" s="607">
        <v>46863</v>
      </c>
      <c r="E1374" s="576" t="s">
        <v>720</v>
      </c>
      <c r="F1374" s="576">
        <v>58800479.119999997</v>
      </c>
      <c r="G1374" s="588">
        <v>39356.609999999404</v>
      </c>
      <c r="H1374" s="576">
        <v>0</v>
      </c>
      <c r="I1374" s="589">
        <v>0</v>
      </c>
    </row>
    <row r="1375" spans="1:9" ht="15.75" customHeight="1" x14ac:dyDescent="0.2">
      <c r="A1375" s="577"/>
      <c r="B1375" s="577"/>
      <c r="C1375" s="576"/>
      <c r="D1375" s="607">
        <v>46864</v>
      </c>
      <c r="E1375" s="576" t="s">
        <v>719</v>
      </c>
      <c r="F1375" s="576">
        <v>58839835.719999999</v>
      </c>
      <c r="G1375" s="588">
        <v>39356.60000000149</v>
      </c>
      <c r="H1375" s="576">
        <v>0</v>
      </c>
      <c r="I1375" s="589">
        <v>0</v>
      </c>
    </row>
    <row r="1376" spans="1:9" ht="15.75" customHeight="1" x14ac:dyDescent="0.2">
      <c r="A1376" s="577"/>
      <c r="B1376" s="577"/>
      <c r="C1376" s="576"/>
      <c r="D1376" s="607">
        <v>46865</v>
      </c>
      <c r="E1376" s="576" t="s">
        <v>718</v>
      </c>
      <c r="F1376" s="576">
        <v>58879192.329999998</v>
      </c>
      <c r="G1376" s="588">
        <v>39356.609999999404</v>
      </c>
      <c r="H1376" s="576">
        <v>0</v>
      </c>
      <c r="I1376" s="589">
        <v>0</v>
      </c>
    </row>
    <row r="1377" spans="1:9" ht="15.75" customHeight="1" x14ac:dyDescent="0.2">
      <c r="A1377" s="577"/>
      <c r="B1377" s="577"/>
      <c r="C1377" s="576"/>
      <c r="D1377" s="607">
        <v>46866</v>
      </c>
      <c r="E1377" s="576" t="s">
        <v>717</v>
      </c>
      <c r="F1377" s="576">
        <v>58918548.93</v>
      </c>
      <c r="G1377" s="588">
        <v>39356.60000000149</v>
      </c>
      <c r="H1377" s="576">
        <v>0</v>
      </c>
      <c r="I1377" s="589">
        <v>0</v>
      </c>
    </row>
    <row r="1378" spans="1:9" ht="15.75" customHeight="1" x14ac:dyDescent="0.2">
      <c r="A1378" s="577"/>
      <c r="B1378" s="577"/>
      <c r="C1378" s="576"/>
      <c r="D1378" s="607">
        <v>46867</v>
      </c>
      <c r="E1378" s="576" t="s">
        <v>716</v>
      </c>
      <c r="F1378" s="576">
        <v>58957905.539999999</v>
      </c>
      <c r="G1378" s="588">
        <v>39356.609999999404</v>
      </c>
      <c r="H1378" s="576">
        <v>0</v>
      </c>
      <c r="I1378" s="589">
        <v>0</v>
      </c>
    </row>
    <row r="1379" spans="1:9" ht="15.75" customHeight="1" x14ac:dyDescent="0.2">
      <c r="A1379" s="577"/>
      <c r="B1379" s="577"/>
      <c r="C1379" s="576"/>
      <c r="D1379" s="607">
        <v>46868</v>
      </c>
      <c r="E1379" s="576" t="s">
        <v>715</v>
      </c>
      <c r="F1379" s="576">
        <v>58997262.140000001</v>
      </c>
      <c r="G1379" s="588">
        <v>39356.60000000149</v>
      </c>
      <c r="H1379" s="576">
        <v>0</v>
      </c>
      <c r="I1379" s="589">
        <v>0</v>
      </c>
    </row>
    <row r="1380" spans="1:9" ht="15.75" customHeight="1" x14ac:dyDescent="0.2">
      <c r="A1380" s="577"/>
      <c r="B1380" s="577"/>
      <c r="C1380" s="576"/>
      <c r="D1380" s="607">
        <v>46869</v>
      </c>
      <c r="E1380" s="576" t="s">
        <v>721</v>
      </c>
      <c r="F1380" s="576">
        <v>59036618.75</v>
      </c>
      <c r="G1380" s="588">
        <v>39356.609999999404</v>
      </c>
      <c r="H1380" s="576">
        <v>275496.24000000209</v>
      </c>
      <c r="I1380" s="589">
        <v>0</v>
      </c>
    </row>
    <row r="1381" spans="1:9" ht="15.75" customHeight="1" x14ac:dyDescent="0.2">
      <c r="A1381" s="577"/>
      <c r="B1381" s="577"/>
      <c r="C1381" s="576"/>
      <c r="D1381" s="607">
        <v>46870</v>
      </c>
      <c r="E1381" s="576" t="s">
        <v>720</v>
      </c>
      <c r="F1381" s="576">
        <v>59075975.350000001</v>
      </c>
      <c r="G1381" s="588">
        <v>39356.60000000149</v>
      </c>
      <c r="H1381" s="576">
        <v>0</v>
      </c>
      <c r="I1381" s="589">
        <v>0</v>
      </c>
    </row>
    <row r="1382" spans="1:9" ht="15.75" customHeight="1" x14ac:dyDescent="0.2">
      <c r="A1382" s="577"/>
      <c r="B1382" s="577"/>
      <c r="C1382" s="576"/>
      <c r="D1382" s="607">
        <v>46871</v>
      </c>
      <c r="E1382" s="576" t="s">
        <v>719</v>
      </c>
      <c r="F1382" s="576">
        <v>59115331.960000001</v>
      </c>
      <c r="G1382" s="588">
        <v>39356.609999999404</v>
      </c>
      <c r="H1382" s="576">
        <v>0</v>
      </c>
      <c r="I1382" s="589">
        <v>0</v>
      </c>
    </row>
    <row r="1383" spans="1:9" ht="15.75" customHeight="1" x14ac:dyDescent="0.2">
      <c r="A1383" s="577"/>
      <c r="B1383" s="577"/>
      <c r="C1383" s="576"/>
      <c r="D1383" s="607">
        <v>46872</v>
      </c>
      <c r="E1383" s="576" t="s">
        <v>718</v>
      </c>
      <c r="F1383" s="576">
        <v>59154688.560000002</v>
      </c>
      <c r="G1383" s="588">
        <v>39356.60000000149</v>
      </c>
      <c r="H1383" s="576">
        <v>0</v>
      </c>
      <c r="I1383" s="589">
        <v>0</v>
      </c>
    </row>
    <row r="1384" spans="1:9" ht="15.75" customHeight="1" x14ac:dyDescent="0.2">
      <c r="A1384" s="577"/>
      <c r="B1384" s="577"/>
      <c r="C1384" s="576"/>
      <c r="D1384" s="607">
        <v>46873</v>
      </c>
      <c r="E1384" s="576" t="s">
        <v>717</v>
      </c>
      <c r="F1384" s="576">
        <v>59194045.170000002</v>
      </c>
      <c r="G1384" s="588">
        <v>39356.609999999404</v>
      </c>
      <c r="H1384" s="576">
        <v>0</v>
      </c>
      <c r="I1384" s="589">
        <v>0</v>
      </c>
    </row>
    <row r="1385" spans="1:9" ht="15.75" customHeight="1" x14ac:dyDescent="0.2">
      <c r="A1385" s="577"/>
      <c r="B1385" s="577"/>
      <c r="C1385" s="576"/>
      <c r="D1385" s="607">
        <v>46874</v>
      </c>
      <c r="E1385" s="576" t="s">
        <v>716</v>
      </c>
      <c r="F1385" s="576">
        <v>59233401.770000003</v>
      </c>
      <c r="G1385" s="588">
        <v>39356.60000000149</v>
      </c>
      <c r="H1385" s="576">
        <v>0</v>
      </c>
      <c r="I1385" s="589">
        <v>0</v>
      </c>
    </row>
    <row r="1386" spans="1:9" ht="15.75" customHeight="1" x14ac:dyDescent="0.2">
      <c r="A1386" s="577"/>
      <c r="B1386" s="577"/>
      <c r="C1386" s="576"/>
      <c r="D1386" s="607">
        <v>46875</v>
      </c>
      <c r="E1386" s="576" t="s">
        <v>715</v>
      </c>
      <c r="F1386" s="576">
        <v>59272758.380000003</v>
      </c>
      <c r="G1386" s="588">
        <v>39356.609999999404</v>
      </c>
      <c r="H1386" s="576">
        <v>0</v>
      </c>
      <c r="I1386" s="589">
        <v>0</v>
      </c>
    </row>
    <row r="1387" spans="1:9" ht="15.75" customHeight="1" x14ac:dyDescent="0.2">
      <c r="A1387" s="577"/>
      <c r="B1387" s="577"/>
      <c r="C1387" s="576"/>
      <c r="D1387" s="607">
        <v>46876</v>
      </c>
      <c r="E1387" s="576" t="s">
        <v>721</v>
      </c>
      <c r="F1387" s="576">
        <v>59312114.979999997</v>
      </c>
      <c r="G1387" s="588">
        <v>39356.59999999404</v>
      </c>
      <c r="H1387" s="576">
        <v>275496.22999999672</v>
      </c>
      <c r="I1387" s="589">
        <v>550992.46999999881</v>
      </c>
    </row>
    <row r="1388" spans="1:9" ht="15.75" customHeight="1" x14ac:dyDescent="0.2">
      <c r="A1388" s="577"/>
      <c r="B1388" s="577"/>
      <c r="C1388" s="576"/>
      <c r="D1388" s="607">
        <v>46877</v>
      </c>
      <c r="E1388" s="576" t="s">
        <v>720</v>
      </c>
      <c r="F1388" s="576">
        <v>59351471.590000004</v>
      </c>
      <c r="G1388" s="588">
        <v>39356.610000006855</v>
      </c>
      <c r="H1388" s="576">
        <v>0</v>
      </c>
      <c r="I1388" s="589">
        <v>0</v>
      </c>
    </row>
    <row r="1389" spans="1:9" ht="15.75" customHeight="1" x14ac:dyDescent="0.2">
      <c r="A1389" s="577"/>
      <c r="B1389" s="577"/>
      <c r="C1389" s="576"/>
      <c r="D1389" s="607">
        <v>46878</v>
      </c>
      <c r="E1389" s="576" t="s">
        <v>719</v>
      </c>
      <c r="F1389" s="576">
        <v>59390828.189999998</v>
      </c>
      <c r="G1389" s="588">
        <v>39356.59999999404</v>
      </c>
      <c r="H1389" s="576">
        <v>0</v>
      </c>
      <c r="I1389" s="589">
        <v>0</v>
      </c>
    </row>
    <row r="1390" spans="1:9" ht="15.75" customHeight="1" x14ac:dyDescent="0.2">
      <c r="A1390" s="577"/>
      <c r="B1390" s="577"/>
      <c r="C1390" s="576"/>
      <c r="D1390" s="607">
        <v>46879</v>
      </c>
      <c r="E1390" s="576" t="s">
        <v>718</v>
      </c>
      <c r="F1390" s="576">
        <v>59430184.799999997</v>
      </c>
      <c r="G1390" s="588">
        <v>39356.609999999404</v>
      </c>
      <c r="H1390" s="576">
        <v>0</v>
      </c>
      <c r="I1390" s="589">
        <v>0</v>
      </c>
    </row>
    <row r="1391" spans="1:9" ht="15.75" customHeight="1" x14ac:dyDescent="0.2">
      <c r="A1391" s="577"/>
      <c r="B1391" s="577"/>
      <c r="C1391" s="576"/>
      <c r="D1391" s="607">
        <v>46880</v>
      </c>
      <c r="E1391" s="576" t="s">
        <v>717</v>
      </c>
      <c r="F1391" s="576">
        <v>59469541.399999999</v>
      </c>
      <c r="G1391" s="588">
        <v>39356.60000000149</v>
      </c>
      <c r="H1391" s="576">
        <v>0</v>
      </c>
      <c r="I1391" s="589">
        <v>0</v>
      </c>
    </row>
    <row r="1392" spans="1:9" ht="15.75" customHeight="1" x14ac:dyDescent="0.2">
      <c r="A1392" s="577"/>
      <c r="B1392" s="577"/>
      <c r="C1392" s="576"/>
      <c r="D1392" s="607">
        <v>46881</v>
      </c>
      <c r="E1392" s="576" t="s">
        <v>716</v>
      </c>
      <c r="F1392" s="576">
        <v>59508898.009999998</v>
      </c>
      <c r="G1392" s="588">
        <v>39356.609999999404</v>
      </c>
      <c r="H1392" s="576">
        <v>0</v>
      </c>
      <c r="I1392" s="589">
        <v>0</v>
      </c>
    </row>
    <row r="1393" spans="1:9" ht="15.75" customHeight="1" x14ac:dyDescent="0.2">
      <c r="A1393" s="577"/>
      <c r="B1393" s="577"/>
      <c r="C1393" s="576"/>
      <c r="D1393" s="607">
        <v>46882</v>
      </c>
      <c r="E1393" s="576" t="s">
        <v>715</v>
      </c>
      <c r="F1393" s="576">
        <v>59548254.619999997</v>
      </c>
      <c r="G1393" s="588">
        <v>39356.609999999404</v>
      </c>
      <c r="H1393" s="576">
        <v>0</v>
      </c>
      <c r="I1393" s="589">
        <v>0</v>
      </c>
    </row>
    <row r="1394" spans="1:9" ht="15.75" customHeight="1" x14ac:dyDescent="0.2">
      <c r="A1394" s="577"/>
      <c r="B1394" s="577"/>
      <c r="C1394" s="576"/>
      <c r="D1394" s="607">
        <v>46883</v>
      </c>
      <c r="E1394" s="576" t="s">
        <v>721</v>
      </c>
      <c r="F1394" s="576">
        <v>59587611.219999999</v>
      </c>
      <c r="G1394" s="588">
        <v>39356.60000000149</v>
      </c>
      <c r="H1394" s="576">
        <v>275496.24000000209</v>
      </c>
      <c r="I1394" s="589">
        <v>0</v>
      </c>
    </row>
    <row r="1395" spans="1:9" ht="15.75" customHeight="1" x14ac:dyDescent="0.2">
      <c r="A1395" s="577"/>
      <c r="B1395" s="577"/>
      <c r="C1395" s="576"/>
      <c r="D1395" s="607">
        <v>46884</v>
      </c>
      <c r="E1395" s="576" t="s">
        <v>720</v>
      </c>
      <c r="F1395" s="576">
        <v>59626967.829999998</v>
      </c>
      <c r="G1395" s="588">
        <v>39356.609999999404</v>
      </c>
      <c r="H1395" s="576">
        <v>0</v>
      </c>
      <c r="I1395" s="589">
        <v>0</v>
      </c>
    </row>
    <row r="1396" spans="1:9" ht="15.75" customHeight="1" x14ac:dyDescent="0.2">
      <c r="A1396" s="577"/>
      <c r="B1396" s="577"/>
      <c r="C1396" s="576"/>
      <c r="D1396" s="607">
        <v>46885</v>
      </c>
      <c r="E1396" s="576" t="s">
        <v>719</v>
      </c>
      <c r="F1396" s="576">
        <v>59666324.43</v>
      </c>
      <c r="G1396" s="588">
        <v>39356.60000000149</v>
      </c>
      <c r="H1396" s="576">
        <v>0</v>
      </c>
      <c r="I1396" s="589">
        <v>0</v>
      </c>
    </row>
    <row r="1397" spans="1:9" ht="15.75" customHeight="1" x14ac:dyDescent="0.2">
      <c r="A1397" s="577"/>
      <c r="B1397" s="577"/>
      <c r="C1397" s="576"/>
      <c r="D1397" s="607">
        <v>46886</v>
      </c>
      <c r="E1397" s="576" t="s">
        <v>718</v>
      </c>
      <c r="F1397" s="576">
        <v>59705681.039999999</v>
      </c>
      <c r="G1397" s="588">
        <v>39356.609999999404</v>
      </c>
      <c r="H1397" s="576">
        <v>0</v>
      </c>
      <c r="I1397" s="589">
        <v>0</v>
      </c>
    </row>
    <row r="1398" spans="1:9" ht="15.75" customHeight="1" x14ac:dyDescent="0.2">
      <c r="A1398" s="577"/>
      <c r="B1398" s="577"/>
      <c r="C1398" s="576"/>
      <c r="D1398" s="607">
        <v>46887</v>
      </c>
      <c r="E1398" s="576" t="s">
        <v>717</v>
      </c>
      <c r="F1398" s="576">
        <v>59745037.640000001</v>
      </c>
      <c r="G1398" s="588">
        <v>39356.60000000149</v>
      </c>
      <c r="H1398" s="576">
        <v>0</v>
      </c>
      <c r="I1398" s="589">
        <v>0</v>
      </c>
    </row>
    <row r="1399" spans="1:9" ht="15.75" customHeight="1" x14ac:dyDescent="0.2">
      <c r="A1399" s="577"/>
      <c r="B1399" s="577"/>
      <c r="C1399" s="576"/>
      <c r="D1399" s="607">
        <v>46888</v>
      </c>
      <c r="E1399" s="576" t="s">
        <v>716</v>
      </c>
      <c r="F1399" s="576">
        <v>59784394.25</v>
      </c>
      <c r="G1399" s="588">
        <v>39356.609999999404</v>
      </c>
      <c r="H1399" s="576">
        <v>0</v>
      </c>
      <c r="I1399" s="589">
        <v>0</v>
      </c>
    </row>
    <row r="1400" spans="1:9" ht="15.75" customHeight="1" x14ac:dyDescent="0.2">
      <c r="A1400" s="577"/>
      <c r="B1400" s="577"/>
      <c r="C1400" s="576"/>
      <c r="D1400" s="607">
        <v>46889</v>
      </c>
      <c r="E1400" s="576" t="s">
        <v>715</v>
      </c>
      <c r="F1400" s="576">
        <v>59823750.850000001</v>
      </c>
      <c r="G1400" s="588">
        <v>39356.60000000149</v>
      </c>
      <c r="H1400" s="576">
        <v>0</v>
      </c>
      <c r="I1400" s="589">
        <v>0</v>
      </c>
    </row>
    <row r="1401" spans="1:9" ht="15.75" customHeight="1" x14ac:dyDescent="0.2">
      <c r="A1401" s="577"/>
      <c r="B1401" s="577"/>
      <c r="C1401" s="576"/>
      <c r="D1401" s="607">
        <v>46890</v>
      </c>
      <c r="E1401" s="576" t="s">
        <v>721</v>
      </c>
      <c r="F1401" s="576">
        <v>59863107.460000001</v>
      </c>
      <c r="G1401" s="588">
        <v>39356.609999999404</v>
      </c>
      <c r="H1401" s="576">
        <v>275496.24000000209</v>
      </c>
      <c r="I1401" s="589">
        <v>550992.48000000417</v>
      </c>
    </row>
    <row r="1402" spans="1:9" ht="15.75" customHeight="1" x14ac:dyDescent="0.2">
      <c r="A1402" s="577"/>
      <c r="B1402" s="577"/>
      <c r="C1402" s="576"/>
      <c r="D1402" s="607">
        <v>46891</v>
      </c>
      <c r="E1402" s="576" t="s">
        <v>720</v>
      </c>
      <c r="F1402" s="576">
        <v>59902464.060000002</v>
      </c>
      <c r="G1402" s="588">
        <v>39356.60000000149</v>
      </c>
      <c r="H1402" s="576">
        <v>0</v>
      </c>
      <c r="I1402" s="589">
        <v>0</v>
      </c>
    </row>
    <row r="1403" spans="1:9" ht="15.75" customHeight="1" x14ac:dyDescent="0.2">
      <c r="A1403" s="577"/>
      <c r="B1403" s="577"/>
      <c r="C1403" s="576"/>
      <c r="D1403" s="607">
        <v>46892</v>
      </c>
      <c r="E1403" s="576" t="s">
        <v>719</v>
      </c>
      <c r="F1403" s="576">
        <v>59941820.670000002</v>
      </c>
      <c r="G1403" s="588">
        <v>39356.609999999404</v>
      </c>
      <c r="H1403" s="576">
        <v>0</v>
      </c>
      <c r="I1403" s="589">
        <v>0</v>
      </c>
    </row>
    <row r="1404" spans="1:9" ht="15.75" customHeight="1" x14ac:dyDescent="0.2">
      <c r="A1404" s="577"/>
      <c r="B1404" s="577"/>
      <c r="C1404" s="576"/>
      <c r="D1404" s="607">
        <v>46893</v>
      </c>
      <c r="E1404" s="576" t="s">
        <v>718</v>
      </c>
      <c r="F1404" s="576">
        <v>59981177.270000003</v>
      </c>
      <c r="G1404" s="588">
        <v>39356.60000000149</v>
      </c>
      <c r="H1404" s="576">
        <v>0</v>
      </c>
      <c r="I1404" s="589">
        <v>0</v>
      </c>
    </row>
    <row r="1405" spans="1:9" ht="15.75" customHeight="1" x14ac:dyDescent="0.2">
      <c r="A1405" s="577"/>
      <c r="B1405" s="577"/>
      <c r="C1405" s="576"/>
      <c r="D1405" s="607">
        <v>46894</v>
      </c>
      <c r="E1405" s="576" t="s">
        <v>717</v>
      </c>
      <c r="F1405" s="576">
        <v>60020533.880000003</v>
      </c>
      <c r="G1405" s="588">
        <v>39356.609999999404</v>
      </c>
      <c r="H1405" s="576">
        <v>0</v>
      </c>
      <c r="I1405" s="589">
        <v>0</v>
      </c>
    </row>
    <row r="1406" spans="1:9" ht="15.75" customHeight="1" x14ac:dyDescent="0.2">
      <c r="A1406" s="577"/>
      <c r="B1406" s="577"/>
      <c r="C1406" s="576"/>
      <c r="D1406" s="607">
        <v>46895</v>
      </c>
      <c r="E1406" s="576" t="s">
        <v>716</v>
      </c>
      <c r="F1406" s="576">
        <v>60059890.479999997</v>
      </c>
      <c r="G1406" s="588">
        <v>39356.59999999404</v>
      </c>
      <c r="H1406" s="576">
        <v>0</v>
      </c>
      <c r="I1406" s="589">
        <v>0</v>
      </c>
    </row>
    <row r="1407" spans="1:9" ht="15.75" customHeight="1" x14ac:dyDescent="0.2">
      <c r="A1407" s="577"/>
      <c r="B1407" s="577"/>
      <c r="C1407" s="576"/>
      <c r="D1407" s="607">
        <v>46896</v>
      </c>
      <c r="E1407" s="576" t="s">
        <v>715</v>
      </c>
      <c r="F1407" s="576">
        <v>60099247.090000004</v>
      </c>
      <c r="G1407" s="588">
        <v>39356.610000006855</v>
      </c>
      <c r="H1407" s="576">
        <v>0</v>
      </c>
      <c r="I1407" s="589">
        <v>0</v>
      </c>
    </row>
    <row r="1408" spans="1:9" ht="15.75" customHeight="1" x14ac:dyDescent="0.2">
      <c r="A1408" s="577"/>
      <c r="B1408" s="577"/>
      <c r="C1408" s="576"/>
      <c r="D1408" s="607">
        <v>46897</v>
      </c>
      <c r="E1408" s="576" t="s">
        <v>721</v>
      </c>
      <c r="F1408" s="576">
        <v>60138603.689999998</v>
      </c>
      <c r="G1408" s="588">
        <v>39356.59999999404</v>
      </c>
      <c r="H1408" s="576">
        <v>275496.22999999672</v>
      </c>
      <c r="I1408" s="589">
        <v>0</v>
      </c>
    </row>
    <row r="1409" spans="1:9" ht="15.75" customHeight="1" x14ac:dyDescent="0.2">
      <c r="A1409" s="577"/>
      <c r="B1409" s="577"/>
      <c r="C1409" s="576"/>
      <c r="D1409" s="607">
        <v>46898</v>
      </c>
      <c r="E1409" s="576" t="s">
        <v>720</v>
      </c>
      <c r="F1409" s="576">
        <v>60177960.299999997</v>
      </c>
      <c r="G1409" s="588">
        <v>39356.609999999404</v>
      </c>
      <c r="H1409" s="576">
        <v>0</v>
      </c>
      <c r="I1409" s="589">
        <v>0</v>
      </c>
    </row>
    <row r="1410" spans="1:9" ht="15.75" customHeight="1" x14ac:dyDescent="0.2">
      <c r="A1410" s="577"/>
      <c r="B1410" s="577"/>
      <c r="C1410" s="576"/>
      <c r="D1410" s="607">
        <v>46899</v>
      </c>
      <c r="E1410" s="576" t="s">
        <v>719</v>
      </c>
      <c r="F1410" s="576">
        <v>60217316.899999999</v>
      </c>
      <c r="G1410" s="588">
        <v>39356.60000000149</v>
      </c>
      <c r="H1410" s="576">
        <v>0</v>
      </c>
      <c r="I1410" s="589">
        <v>0</v>
      </c>
    </row>
    <row r="1411" spans="1:9" ht="15.75" customHeight="1" x14ac:dyDescent="0.2">
      <c r="A1411" s="577"/>
      <c r="B1411" s="577"/>
      <c r="C1411" s="576"/>
      <c r="D1411" s="607">
        <v>46900</v>
      </c>
      <c r="E1411" s="576" t="s">
        <v>718</v>
      </c>
      <c r="F1411" s="576">
        <v>60256673.509999998</v>
      </c>
      <c r="G1411" s="588">
        <v>39356.609999999404</v>
      </c>
      <c r="H1411" s="576">
        <v>0</v>
      </c>
      <c r="I1411" s="589">
        <v>0</v>
      </c>
    </row>
    <row r="1412" spans="1:9" ht="15.75" customHeight="1" x14ac:dyDescent="0.2">
      <c r="A1412" s="577"/>
      <c r="B1412" s="577"/>
      <c r="C1412" s="576"/>
      <c r="D1412" s="607">
        <v>46901</v>
      </c>
      <c r="E1412" s="576" t="s">
        <v>717</v>
      </c>
      <c r="F1412" s="576">
        <v>60296030.109999999</v>
      </c>
      <c r="G1412" s="588">
        <v>39356.60000000149</v>
      </c>
      <c r="H1412" s="576">
        <v>0</v>
      </c>
      <c r="I1412" s="589">
        <v>0</v>
      </c>
    </row>
    <row r="1413" spans="1:9" ht="15.75" customHeight="1" x14ac:dyDescent="0.2">
      <c r="A1413" s="577"/>
      <c r="B1413" s="577"/>
      <c r="C1413" s="576"/>
      <c r="D1413" s="607">
        <v>46902</v>
      </c>
      <c r="E1413" s="576" t="s">
        <v>716</v>
      </c>
      <c r="F1413" s="576">
        <v>60335386.719999999</v>
      </c>
      <c r="G1413" s="588">
        <v>39356.609999999404</v>
      </c>
      <c r="H1413" s="576">
        <v>0</v>
      </c>
      <c r="I1413" s="589">
        <v>0</v>
      </c>
    </row>
    <row r="1414" spans="1:9" ht="15.75" customHeight="1" x14ac:dyDescent="0.2">
      <c r="A1414" s="577"/>
      <c r="B1414" s="577"/>
      <c r="C1414" s="576"/>
      <c r="D1414" s="607">
        <v>46903</v>
      </c>
      <c r="E1414" s="576" t="s">
        <v>715</v>
      </c>
      <c r="F1414" s="576">
        <v>60374743.32</v>
      </c>
      <c r="G1414" s="588">
        <v>39356.60000000149</v>
      </c>
      <c r="H1414" s="576">
        <v>0</v>
      </c>
      <c r="I1414" s="589">
        <v>0</v>
      </c>
    </row>
    <row r="1415" spans="1:9" ht="15.75" customHeight="1" x14ac:dyDescent="0.2">
      <c r="A1415" s="577"/>
      <c r="B1415" s="577"/>
      <c r="C1415" s="576"/>
      <c r="D1415" s="607">
        <v>46904</v>
      </c>
      <c r="E1415" s="576" t="s">
        <v>721</v>
      </c>
      <c r="F1415" s="576">
        <v>60414099.93</v>
      </c>
      <c r="G1415" s="588">
        <v>39356.609999999404</v>
      </c>
      <c r="H1415" s="576">
        <v>275496.24000000209</v>
      </c>
      <c r="I1415" s="589">
        <v>550992.46999999881</v>
      </c>
    </row>
    <row r="1416" spans="1:9" ht="15.75" customHeight="1" x14ac:dyDescent="0.2">
      <c r="A1416" s="577"/>
      <c r="B1416" s="577"/>
      <c r="C1416" s="576"/>
      <c r="D1416" s="607">
        <v>46905</v>
      </c>
      <c r="E1416" s="576" t="s">
        <v>720</v>
      </c>
      <c r="F1416" s="576">
        <v>60453456.530000001</v>
      </c>
      <c r="G1416" s="588">
        <v>39356.60000000149</v>
      </c>
      <c r="H1416" s="576">
        <v>0</v>
      </c>
      <c r="I1416" s="589">
        <v>0</v>
      </c>
    </row>
    <row r="1417" spans="1:9" ht="15.75" customHeight="1" x14ac:dyDescent="0.2">
      <c r="A1417" s="577"/>
      <c r="B1417" s="577"/>
      <c r="C1417" s="576"/>
      <c r="D1417" s="607">
        <v>46906</v>
      </c>
      <c r="E1417" s="576" t="s">
        <v>719</v>
      </c>
      <c r="F1417" s="576">
        <v>60492813.140000001</v>
      </c>
      <c r="G1417" s="588">
        <v>39356.609999999404</v>
      </c>
      <c r="H1417" s="576">
        <v>0</v>
      </c>
      <c r="I1417" s="589">
        <v>0</v>
      </c>
    </row>
    <row r="1418" spans="1:9" ht="15.75" customHeight="1" x14ac:dyDescent="0.2">
      <c r="A1418" s="577"/>
      <c r="B1418" s="577"/>
      <c r="C1418" s="576"/>
      <c r="D1418" s="607">
        <v>46907</v>
      </c>
      <c r="E1418" s="576" t="s">
        <v>718</v>
      </c>
      <c r="F1418" s="576">
        <v>60532169.740000002</v>
      </c>
      <c r="G1418" s="588">
        <v>39356.60000000149</v>
      </c>
      <c r="H1418" s="576">
        <v>0</v>
      </c>
      <c r="I1418" s="589">
        <v>0</v>
      </c>
    </row>
    <row r="1419" spans="1:9" ht="15.75" customHeight="1" x14ac:dyDescent="0.2">
      <c r="A1419" s="577"/>
      <c r="B1419" s="577"/>
      <c r="C1419" s="576"/>
      <c r="D1419" s="607">
        <v>46908</v>
      </c>
      <c r="E1419" s="576" t="s">
        <v>717</v>
      </c>
      <c r="F1419" s="576">
        <v>60571526.350000001</v>
      </c>
      <c r="G1419" s="588">
        <v>39356.609999999404</v>
      </c>
      <c r="H1419" s="576">
        <v>0</v>
      </c>
      <c r="I1419" s="589">
        <v>0</v>
      </c>
    </row>
    <row r="1420" spans="1:9" ht="15.75" customHeight="1" x14ac:dyDescent="0.2">
      <c r="A1420" s="577"/>
      <c r="B1420" s="577"/>
      <c r="C1420" s="576"/>
      <c r="D1420" s="607">
        <v>46909</v>
      </c>
      <c r="E1420" s="576" t="s">
        <v>716</v>
      </c>
      <c r="F1420" s="576">
        <v>60610882.950000003</v>
      </c>
      <c r="G1420" s="588">
        <v>39356.60000000149</v>
      </c>
      <c r="H1420" s="576">
        <v>0</v>
      </c>
      <c r="I1420" s="589">
        <v>0</v>
      </c>
    </row>
    <row r="1421" spans="1:9" ht="15.75" customHeight="1" x14ac:dyDescent="0.2">
      <c r="A1421" s="577"/>
      <c r="B1421" s="577"/>
      <c r="C1421" s="576"/>
      <c r="D1421" s="607">
        <v>46910</v>
      </c>
      <c r="E1421" s="576" t="s">
        <v>715</v>
      </c>
      <c r="F1421" s="576">
        <v>60650239.560000002</v>
      </c>
      <c r="G1421" s="588">
        <v>39356.609999999404</v>
      </c>
      <c r="H1421" s="576">
        <v>0</v>
      </c>
      <c r="I1421" s="589">
        <v>0</v>
      </c>
    </row>
    <row r="1422" spans="1:9" ht="15.75" customHeight="1" x14ac:dyDescent="0.2">
      <c r="A1422" s="577"/>
      <c r="B1422" s="577"/>
      <c r="C1422" s="576"/>
      <c r="D1422" s="607">
        <v>46911</v>
      </c>
      <c r="E1422" s="576" t="s">
        <v>721</v>
      </c>
      <c r="F1422" s="576">
        <v>60689596.159999996</v>
      </c>
      <c r="G1422" s="588">
        <v>39356.59999999404</v>
      </c>
      <c r="H1422" s="576">
        <v>275496.22999999672</v>
      </c>
      <c r="I1422" s="589">
        <v>0</v>
      </c>
    </row>
    <row r="1423" spans="1:9" ht="15.75" customHeight="1" x14ac:dyDescent="0.2">
      <c r="A1423" s="577"/>
      <c r="B1423" s="577"/>
      <c r="C1423" s="576"/>
      <c r="D1423" s="607">
        <v>46912</v>
      </c>
      <c r="E1423" s="576" t="s">
        <v>720</v>
      </c>
      <c r="F1423" s="576">
        <v>60728952.770000003</v>
      </c>
      <c r="G1423" s="588">
        <v>39356.610000006855</v>
      </c>
      <c r="H1423" s="576">
        <v>0</v>
      </c>
      <c r="I1423" s="589">
        <v>0</v>
      </c>
    </row>
    <row r="1424" spans="1:9" ht="15.75" customHeight="1" x14ac:dyDescent="0.2">
      <c r="A1424" s="577"/>
      <c r="B1424" s="577"/>
      <c r="C1424" s="576"/>
      <c r="D1424" s="607">
        <v>46913</v>
      </c>
      <c r="E1424" s="576" t="s">
        <v>719</v>
      </c>
      <c r="F1424" s="576">
        <v>60768309.369999997</v>
      </c>
      <c r="G1424" s="588">
        <v>39356.59999999404</v>
      </c>
      <c r="H1424" s="576">
        <v>0</v>
      </c>
      <c r="I1424" s="589">
        <v>0</v>
      </c>
    </row>
    <row r="1425" spans="1:9" ht="15.75" customHeight="1" x14ac:dyDescent="0.2">
      <c r="A1425" s="577"/>
      <c r="B1425" s="577"/>
      <c r="C1425" s="576"/>
      <c r="D1425" s="607">
        <v>46914</v>
      </c>
      <c r="E1425" s="576" t="s">
        <v>718</v>
      </c>
      <c r="F1425" s="576">
        <v>60807665.979999997</v>
      </c>
      <c r="G1425" s="588">
        <v>39356.609999999404</v>
      </c>
      <c r="H1425" s="576">
        <v>0</v>
      </c>
      <c r="I1425" s="589">
        <v>0</v>
      </c>
    </row>
    <row r="1426" spans="1:9" ht="15.75" customHeight="1" x14ac:dyDescent="0.2">
      <c r="A1426" s="577"/>
      <c r="B1426" s="577"/>
      <c r="C1426" s="576"/>
      <c r="D1426" s="607">
        <v>46915</v>
      </c>
      <c r="E1426" s="576" t="s">
        <v>717</v>
      </c>
      <c r="F1426" s="576">
        <v>60847022.579999998</v>
      </c>
      <c r="G1426" s="588">
        <v>39356.60000000149</v>
      </c>
      <c r="H1426" s="576">
        <v>0</v>
      </c>
      <c r="I1426" s="589">
        <v>0</v>
      </c>
    </row>
    <row r="1427" spans="1:9" ht="15.75" customHeight="1" x14ac:dyDescent="0.2">
      <c r="A1427" s="577"/>
      <c r="B1427" s="577"/>
      <c r="C1427" s="576"/>
      <c r="D1427" s="607">
        <v>46916</v>
      </c>
      <c r="E1427" s="576" t="s">
        <v>716</v>
      </c>
      <c r="F1427" s="576">
        <v>60886379.189999998</v>
      </c>
      <c r="G1427" s="588">
        <v>39356.609999999404</v>
      </c>
      <c r="H1427" s="576">
        <v>0</v>
      </c>
      <c r="I1427" s="589">
        <v>0</v>
      </c>
    </row>
    <row r="1428" spans="1:9" ht="15.75" customHeight="1" x14ac:dyDescent="0.2">
      <c r="A1428" s="577"/>
      <c r="B1428" s="577"/>
      <c r="C1428" s="576"/>
      <c r="D1428" s="607">
        <v>46917</v>
      </c>
      <c r="E1428" s="576" t="s">
        <v>715</v>
      </c>
      <c r="F1428" s="576">
        <v>60925735.789999999</v>
      </c>
      <c r="G1428" s="588">
        <v>39356.60000000149</v>
      </c>
      <c r="H1428" s="576">
        <v>0</v>
      </c>
      <c r="I1428" s="589">
        <v>0</v>
      </c>
    </row>
    <row r="1429" spans="1:9" ht="15.75" customHeight="1" x14ac:dyDescent="0.2">
      <c r="A1429" s="577"/>
      <c r="B1429" s="577"/>
      <c r="C1429" s="576"/>
      <c r="D1429" s="607">
        <v>46918</v>
      </c>
      <c r="E1429" s="576" t="s">
        <v>721</v>
      </c>
      <c r="F1429" s="576">
        <v>60965092.399999999</v>
      </c>
      <c r="G1429" s="588">
        <v>39356.609999999404</v>
      </c>
      <c r="H1429" s="576">
        <v>275496.24000000209</v>
      </c>
      <c r="I1429" s="589">
        <v>550992.46999999881</v>
      </c>
    </row>
    <row r="1430" spans="1:9" ht="15.75" customHeight="1" x14ac:dyDescent="0.2">
      <c r="A1430" s="577"/>
      <c r="B1430" s="577"/>
      <c r="C1430" s="576"/>
      <c r="D1430" s="607">
        <v>46919</v>
      </c>
      <c r="E1430" s="576" t="s">
        <v>720</v>
      </c>
      <c r="F1430" s="576">
        <v>61004449</v>
      </c>
      <c r="G1430" s="588">
        <v>39356.60000000149</v>
      </c>
      <c r="H1430" s="576">
        <v>0</v>
      </c>
      <c r="I1430" s="589">
        <v>0</v>
      </c>
    </row>
    <row r="1431" spans="1:9" ht="15.75" customHeight="1" x14ac:dyDescent="0.2">
      <c r="A1431" s="577"/>
      <c r="B1431" s="577"/>
      <c r="C1431" s="576"/>
      <c r="D1431" s="607">
        <v>46920</v>
      </c>
      <c r="E1431" s="576" t="s">
        <v>719</v>
      </c>
      <c r="F1431" s="576">
        <v>61043805.609999999</v>
      </c>
      <c r="G1431" s="588">
        <v>39356.609999999404</v>
      </c>
      <c r="H1431" s="576">
        <v>0</v>
      </c>
      <c r="I1431" s="589">
        <v>0</v>
      </c>
    </row>
    <row r="1432" spans="1:9" ht="15.75" customHeight="1" x14ac:dyDescent="0.2">
      <c r="A1432" s="577"/>
      <c r="B1432" s="577"/>
      <c r="C1432" s="576"/>
      <c r="D1432" s="607">
        <v>46921</v>
      </c>
      <c r="E1432" s="576" t="s">
        <v>718</v>
      </c>
      <c r="F1432" s="576">
        <v>61083162.210000001</v>
      </c>
      <c r="G1432" s="588">
        <v>39356.60000000149</v>
      </c>
      <c r="H1432" s="576">
        <v>0</v>
      </c>
      <c r="I1432" s="589">
        <v>0</v>
      </c>
    </row>
    <row r="1433" spans="1:9" ht="15.75" customHeight="1" x14ac:dyDescent="0.2">
      <c r="A1433" s="577"/>
      <c r="B1433" s="577"/>
      <c r="C1433" s="576"/>
      <c r="D1433" s="607">
        <v>46922</v>
      </c>
      <c r="E1433" s="576" t="s">
        <v>717</v>
      </c>
      <c r="F1433" s="576">
        <v>61122518.82</v>
      </c>
      <c r="G1433" s="588">
        <v>39356.609999999404</v>
      </c>
      <c r="H1433" s="576">
        <v>0</v>
      </c>
      <c r="I1433" s="589">
        <v>0</v>
      </c>
    </row>
    <row r="1434" spans="1:9" ht="15.75" customHeight="1" x14ac:dyDescent="0.2">
      <c r="A1434" s="577"/>
      <c r="B1434" s="577"/>
      <c r="C1434" s="576"/>
      <c r="D1434" s="607">
        <v>46923</v>
      </c>
      <c r="E1434" s="576" t="s">
        <v>716</v>
      </c>
      <c r="F1434" s="576">
        <v>61161875.420000002</v>
      </c>
      <c r="G1434" s="588">
        <v>39356.60000000149</v>
      </c>
      <c r="H1434" s="576">
        <v>0</v>
      </c>
      <c r="I1434" s="589">
        <v>0</v>
      </c>
    </row>
    <row r="1435" spans="1:9" ht="15.75" customHeight="1" x14ac:dyDescent="0.2">
      <c r="A1435" s="577"/>
      <c r="B1435" s="577"/>
      <c r="C1435" s="576"/>
      <c r="D1435" s="607">
        <v>46924</v>
      </c>
      <c r="E1435" s="576" t="s">
        <v>715</v>
      </c>
      <c r="F1435" s="576">
        <v>61201232.030000001</v>
      </c>
      <c r="G1435" s="588">
        <v>39356.609999999404</v>
      </c>
      <c r="H1435" s="576">
        <v>0</v>
      </c>
      <c r="I1435" s="589">
        <v>0</v>
      </c>
    </row>
    <row r="1436" spans="1:9" ht="15.75" customHeight="1" x14ac:dyDescent="0.2">
      <c r="A1436" s="577"/>
      <c r="B1436" s="577"/>
      <c r="C1436" s="576"/>
      <c r="D1436" s="607">
        <v>46925</v>
      </c>
      <c r="E1436" s="576" t="s">
        <v>721</v>
      </c>
      <c r="F1436" s="576">
        <v>61240588.630000003</v>
      </c>
      <c r="G1436" s="588">
        <v>39356.60000000149</v>
      </c>
      <c r="H1436" s="576">
        <v>275496.23000000417</v>
      </c>
      <c r="I1436" s="589">
        <v>0</v>
      </c>
    </row>
    <row r="1437" spans="1:9" ht="15.75" customHeight="1" x14ac:dyDescent="0.2">
      <c r="A1437" s="577"/>
      <c r="B1437" s="577"/>
      <c r="C1437" s="576"/>
      <c r="D1437" s="607">
        <v>46926</v>
      </c>
      <c r="E1437" s="576" t="s">
        <v>720</v>
      </c>
      <c r="F1437" s="576">
        <v>61279945.240000002</v>
      </c>
      <c r="G1437" s="588">
        <v>39356.609999999404</v>
      </c>
      <c r="H1437" s="576">
        <v>0</v>
      </c>
      <c r="I1437" s="589">
        <v>0</v>
      </c>
    </row>
    <row r="1438" spans="1:9" ht="15.75" customHeight="1" x14ac:dyDescent="0.2">
      <c r="A1438" s="577"/>
      <c r="B1438" s="577"/>
      <c r="C1438" s="576"/>
      <c r="D1438" s="607">
        <v>46927</v>
      </c>
      <c r="E1438" s="576" t="s">
        <v>719</v>
      </c>
      <c r="F1438" s="576">
        <v>61319301.840000004</v>
      </c>
      <c r="G1438" s="588">
        <v>39356.60000000149</v>
      </c>
      <c r="H1438" s="576">
        <v>0</v>
      </c>
      <c r="I1438" s="589">
        <v>0</v>
      </c>
    </row>
    <row r="1439" spans="1:9" ht="15.75" customHeight="1" x14ac:dyDescent="0.2">
      <c r="A1439" s="577"/>
      <c r="B1439" s="577"/>
      <c r="C1439" s="576"/>
      <c r="D1439" s="607">
        <v>46928</v>
      </c>
      <c r="E1439" s="576" t="s">
        <v>718</v>
      </c>
      <c r="F1439" s="576">
        <v>61358658.450000003</v>
      </c>
      <c r="G1439" s="588">
        <v>39356.609999999404</v>
      </c>
      <c r="H1439" s="576">
        <v>0</v>
      </c>
      <c r="I1439" s="589">
        <v>0</v>
      </c>
    </row>
    <row r="1440" spans="1:9" ht="15.75" customHeight="1" x14ac:dyDescent="0.2">
      <c r="A1440" s="577"/>
      <c r="B1440" s="577"/>
      <c r="C1440" s="576"/>
      <c r="D1440" s="607">
        <v>46929</v>
      </c>
      <c r="E1440" s="576" t="s">
        <v>717</v>
      </c>
      <c r="F1440" s="576">
        <v>61398015.049999997</v>
      </c>
      <c r="G1440" s="588">
        <v>39356.59999999404</v>
      </c>
      <c r="H1440" s="576">
        <v>0</v>
      </c>
      <c r="I1440" s="589">
        <v>0</v>
      </c>
    </row>
    <row r="1441" spans="1:9" ht="15.75" customHeight="1" x14ac:dyDescent="0.2">
      <c r="A1441" s="577"/>
      <c r="B1441" s="577"/>
      <c r="C1441" s="576"/>
      <c r="D1441" s="607">
        <v>46930</v>
      </c>
      <c r="E1441" s="576" t="s">
        <v>716</v>
      </c>
      <c r="F1441" s="576">
        <v>61437371.659999996</v>
      </c>
      <c r="G1441" s="588">
        <v>39356.609999999404</v>
      </c>
      <c r="H1441" s="576">
        <v>0</v>
      </c>
      <c r="I1441" s="589">
        <v>0</v>
      </c>
    </row>
    <row r="1442" spans="1:9" ht="15.75" customHeight="1" x14ac:dyDescent="0.2">
      <c r="A1442" s="577"/>
      <c r="B1442" s="577"/>
      <c r="C1442" s="576"/>
      <c r="D1442" s="607">
        <v>46931</v>
      </c>
      <c r="E1442" s="576" t="s">
        <v>715</v>
      </c>
      <c r="F1442" s="576">
        <v>61476728.259999998</v>
      </c>
      <c r="G1442" s="588">
        <v>39356.60000000149</v>
      </c>
      <c r="H1442" s="576">
        <v>0</v>
      </c>
      <c r="I1442" s="589">
        <v>0</v>
      </c>
    </row>
    <row r="1443" spans="1:9" ht="15.75" customHeight="1" x14ac:dyDescent="0.2">
      <c r="A1443" s="577"/>
      <c r="B1443" s="577"/>
      <c r="C1443" s="576"/>
      <c r="D1443" s="607">
        <v>46932</v>
      </c>
      <c r="E1443" s="576" t="s">
        <v>721</v>
      </c>
      <c r="F1443" s="576">
        <v>61516084.869999997</v>
      </c>
      <c r="G1443" s="588">
        <v>39356.609999999404</v>
      </c>
      <c r="H1443" s="576">
        <v>275496.23999999464</v>
      </c>
      <c r="I1443" s="589">
        <v>550992.46999999881</v>
      </c>
    </row>
    <row r="1444" spans="1:9" ht="15.75" customHeight="1" x14ac:dyDescent="0.2">
      <c r="A1444" s="577"/>
      <c r="B1444" s="577"/>
      <c r="C1444" s="576"/>
      <c r="D1444" s="607">
        <v>46933</v>
      </c>
      <c r="E1444" s="576" t="s">
        <v>720</v>
      </c>
      <c r="F1444" s="576">
        <v>61555441.469999999</v>
      </c>
      <c r="G1444" s="588">
        <v>39356.60000000149</v>
      </c>
      <c r="H1444" s="576">
        <v>0</v>
      </c>
      <c r="I1444" s="589">
        <v>0</v>
      </c>
    </row>
    <row r="1445" spans="1:9" ht="15.75" customHeight="1" x14ac:dyDescent="0.2">
      <c r="A1445" s="577"/>
      <c r="B1445" s="577"/>
      <c r="C1445" s="576"/>
      <c r="D1445" s="607">
        <v>46934</v>
      </c>
      <c r="E1445" s="576" t="s">
        <v>719</v>
      </c>
      <c r="F1445" s="576">
        <v>61594798.079999998</v>
      </c>
      <c r="G1445" s="588">
        <v>39356.609999999404</v>
      </c>
      <c r="H1445" s="576">
        <v>0</v>
      </c>
      <c r="I1445" s="589">
        <v>0</v>
      </c>
    </row>
    <row r="1446" spans="1:9" ht="15.75" customHeight="1" x14ac:dyDescent="0.2">
      <c r="A1446" s="577"/>
      <c r="B1446" s="577"/>
      <c r="C1446" s="576"/>
      <c r="D1446" s="607">
        <v>46935</v>
      </c>
      <c r="E1446" s="576" t="s">
        <v>718</v>
      </c>
      <c r="F1446" s="576">
        <v>61634154.68</v>
      </c>
      <c r="G1446" s="588">
        <v>39356.60000000149</v>
      </c>
      <c r="H1446" s="576">
        <v>0</v>
      </c>
      <c r="I1446" s="589">
        <v>0</v>
      </c>
    </row>
    <row r="1447" spans="1:9" ht="15.75" customHeight="1" x14ac:dyDescent="0.2">
      <c r="A1447" s="577"/>
      <c r="B1447" s="577"/>
      <c r="C1447" s="576"/>
      <c r="D1447" s="607">
        <v>46936</v>
      </c>
      <c r="E1447" s="576" t="s">
        <v>717</v>
      </c>
      <c r="F1447" s="576">
        <v>61673511.289999999</v>
      </c>
      <c r="G1447" s="588">
        <v>39356.609999999404</v>
      </c>
      <c r="H1447" s="576">
        <v>0</v>
      </c>
      <c r="I1447" s="589">
        <v>0</v>
      </c>
    </row>
    <row r="1448" spans="1:9" ht="15.75" customHeight="1" x14ac:dyDescent="0.2">
      <c r="A1448" s="577"/>
      <c r="B1448" s="577"/>
      <c r="C1448" s="576"/>
      <c r="D1448" s="607">
        <v>46937</v>
      </c>
      <c r="E1448" s="576" t="s">
        <v>716</v>
      </c>
      <c r="F1448" s="576">
        <v>61712867.890000001</v>
      </c>
      <c r="G1448" s="588">
        <v>39356.60000000149</v>
      </c>
      <c r="H1448" s="576">
        <v>0</v>
      </c>
      <c r="I1448" s="589">
        <v>0</v>
      </c>
    </row>
    <row r="1449" spans="1:9" ht="15.75" customHeight="1" x14ac:dyDescent="0.2">
      <c r="A1449" s="577"/>
      <c r="B1449" s="577"/>
      <c r="C1449" s="576"/>
      <c r="D1449" s="607">
        <v>46938</v>
      </c>
      <c r="E1449" s="576" t="s">
        <v>715</v>
      </c>
      <c r="F1449" s="576">
        <v>61752224.5</v>
      </c>
      <c r="G1449" s="588">
        <v>39356.609999999404</v>
      </c>
      <c r="H1449" s="576">
        <v>0</v>
      </c>
      <c r="I1449" s="589">
        <v>0</v>
      </c>
    </row>
    <row r="1450" spans="1:9" ht="15.75" customHeight="1" x14ac:dyDescent="0.2">
      <c r="A1450" s="577"/>
      <c r="B1450" s="577"/>
      <c r="C1450" s="576"/>
      <c r="D1450" s="607">
        <v>46939</v>
      </c>
      <c r="E1450" s="576" t="s">
        <v>721</v>
      </c>
      <c r="F1450" s="576">
        <v>61791581.100000001</v>
      </c>
      <c r="G1450" s="588">
        <v>39356.60000000149</v>
      </c>
      <c r="H1450" s="576">
        <v>275496.23000000417</v>
      </c>
      <c r="I1450" s="589">
        <v>0</v>
      </c>
    </row>
    <row r="1451" spans="1:9" ht="15.75" customHeight="1" x14ac:dyDescent="0.2">
      <c r="A1451" s="577"/>
      <c r="B1451" s="577"/>
      <c r="C1451" s="576"/>
      <c r="D1451" s="607">
        <v>46940</v>
      </c>
      <c r="E1451" s="576" t="s">
        <v>720</v>
      </c>
      <c r="F1451" s="576">
        <v>61830937.710000001</v>
      </c>
      <c r="G1451" s="588">
        <v>39356.609999999404</v>
      </c>
      <c r="H1451" s="576">
        <v>0</v>
      </c>
      <c r="I1451" s="589">
        <v>0</v>
      </c>
    </row>
    <row r="1452" spans="1:9" ht="15.75" customHeight="1" x14ac:dyDescent="0.2">
      <c r="A1452" s="577"/>
      <c r="B1452" s="577"/>
      <c r="C1452" s="576"/>
      <c r="D1452" s="607">
        <v>46941</v>
      </c>
      <c r="E1452" s="576" t="s">
        <v>719</v>
      </c>
      <c r="F1452" s="576">
        <v>61870294.310000002</v>
      </c>
      <c r="G1452" s="588">
        <v>39356.60000000149</v>
      </c>
      <c r="H1452" s="576">
        <v>0</v>
      </c>
      <c r="I1452" s="589">
        <v>0</v>
      </c>
    </row>
    <row r="1453" spans="1:9" ht="15.75" customHeight="1" x14ac:dyDescent="0.2">
      <c r="A1453" s="577"/>
      <c r="B1453" s="577"/>
      <c r="C1453" s="576"/>
      <c r="D1453" s="607">
        <v>46942</v>
      </c>
      <c r="E1453" s="576" t="s">
        <v>718</v>
      </c>
      <c r="F1453" s="576">
        <v>61909650.920000002</v>
      </c>
      <c r="G1453" s="588">
        <v>39356.609999999404</v>
      </c>
      <c r="H1453" s="576">
        <v>0</v>
      </c>
      <c r="I1453" s="589">
        <v>0</v>
      </c>
    </row>
    <row r="1454" spans="1:9" ht="15.75" customHeight="1" x14ac:dyDescent="0.2">
      <c r="A1454" s="577"/>
      <c r="B1454" s="577"/>
      <c r="C1454" s="576"/>
      <c r="D1454" s="607">
        <v>46943</v>
      </c>
      <c r="E1454" s="576" t="s">
        <v>717</v>
      </c>
      <c r="F1454" s="576">
        <v>61949007.520000003</v>
      </c>
      <c r="G1454" s="588">
        <v>39356.60000000149</v>
      </c>
      <c r="H1454" s="576">
        <v>0</v>
      </c>
      <c r="I1454" s="589">
        <v>0</v>
      </c>
    </row>
    <row r="1455" spans="1:9" ht="15.75" customHeight="1" x14ac:dyDescent="0.2">
      <c r="A1455" s="577"/>
      <c r="B1455" s="577"/>
      <c r="C1455" s="576"/>
      <c r="D1455" s="607">
        <v>46944</v>
      </c>
      <c r="E1455" s="576" t="s">
        <v>716</v>
      </c>
      <c r="F1455" s="576">
        <v>61988364.130000003</v>
      </c>
      <c r="G1455" s="588">
        <v>39356.609999999404</v>
      </c>
      <c r="H1455" s="576">
        <v>0</v>
      </c>
      <c r="I1455" s="589">
        <v>0</v>
      </c>
    </row>
    <row r="1456" spans="1:9" ht="15.75" customHeight="1" x14ac:dyDescent="0.2">
      <c r="A1456" s="577"/>
      <c r="B1456" s="577"/>
      <c r="C1456" s="576"/>
      <c r="D1456" s="607">
        <v>46945</v>
      </c>
      <c r="E1456" s="576" t="s">
        <v>715</v>
      </c>
      <c r="F1456" s="576">
        <v>62027720.729999997</v>
      </c>
      <c r="G1456" s="588">
        <v>39356.59999999404</v>
      </c>
      <c r="H1456" s="576">
        <v>0</v>
      </c>
      <c r="I1456" s="589">
        <v>0</v>
      </c>
    </row>
    <row r="1457" spans="1:9" ht="15.75" customHeight="1" x14ac:dyDescent="0.2">
      <c r="A1457" s="577"/>
      <c r="B1457" s="577"/>
      <c r="C1457" s="576"/>
      <c r="D1457" s="607">
        <v>46946</v>
      </c>
      <c r="E1457" s="576" t="s">
        <v>721</v>
      </c>
      <c r="F1457" s="576">
        <v>62067077.340000004</v>
      </c>
      <c r="G1457" s="588">
        <v>39356.610000006855</v>
      </c>
      <c r="H1457" s="576">
        <v>275496.24000000209</v>
      </c>
      <c r="I1457" s="589">
        <v>550992.47000000626</v>
      </c>
    </row>
    <row r="1458" spans="1:9" ht="15.75" customHeight="1" x14ac:dyDescent="0.2">
      <c r="A1458" s="577"/>
      <c r="B1458" s="577"/>
      <c r="C1458" s="576"/>
      <c r="D1458" s="607">
        <v>46947</v>
      </c>
      <c r="E1458" s="576" t="s">
        <v>720</v>
      </c>
      <c r="F1458" s="576">
        <v>62106433.939999998</v>
      </c>
      <c r="G1458" s="588">
        <v>39356.59999999404</v>
      </c>
      <c r="H1458" s="576">
        <v>0</v>
      </c>
      <c r="I1458" s="589">
        <v>0</v>
      </c>
    </row>
    <row r="1459" spans="1:9" ht="15.75" customHeight="1" x14ac:dyDescent="0.2">
      <c r="A1459" s="577"/>
      <c r="B1459" s="577"/>
      <c r="C1459" s="576"/>
      <c r="D1459" s="607">
        <v>46948</v>
      </c>
      <c r="E1459" s="576" t="s">
        <v>719</v>
      </c>
      <c r="F1459" s="576">
        <v>62145790.549999997</v>
      </c>
      <c r="G1459" s="588">
        <v>39356.609999999404</v>
      </c>
      <c r="H1459" s="576">
        <v>0</v>
      </c>
      <c r="I1459" s="589">
        <v>0</v>
      </c>
    </row>
    <row r="1460" spans="1:9" ht="15.75" customHeight="1" x14ac:dyDescent="0.2">
      <c r="A1460" s="577"/>
      <c r="B1460" s="577"/>
      <c r="C1460" s="576"/>
      <c r="D1460" s="607">
        <v>46949</v>
      </c>
      <c r="E1460" s="576" t="s">
        <v>718</v>
      </c>
      <c r="F1460" s="576">
        <v>62185147.149999999</v>
      </c>
      <c r="G1460" s="588">
        <v>39356.60000000149</v>
      </c>
      <c r="H1460" s="576">
        <v>0</v>
      </c>
      <c r="I1460" s="589">
        <v>0</v>
      </c>
    </row>
    <row r="1461" spans="1:9" ht="15.75" customHeight="1" x14ac:dyDescent="0.2">
      <c r="A1461" s="577"/>
      <c r="B1461" s="577"/>
      <c r="C1461" s="576"/>
      <c r="D1461" s="607">
        <v>46950</v>
      </c>
      <c r="E1461" s="576" t="s">
        <v>717</v>
      </c>
      <c r="F1461" s="576">
        <v>62224503.759999998</v>
      </c>
      <c r="G1461" s="588">
        <v>39356.609999999404</v>
      </c>
      <c r="H1461" s="576">
        <v>0</v>
      </c>
      <c r="I1461" s="589">
        <v>0</v>
      </c>
    </row>
    <row r="1462" spans="1:9" ht="15.75" customHeight="1" x14ac:dyDescent="0.2">
      <c r="A1462" s="577"/>
      <c r="B1462" s="577"/>
      <c r="C1462" s="576"/>
      <c r="D1462" s="607">
        <v>46951</v>
      </c>
      <c r="E1462" s="576" t="s">
        <v>716</v>
      </c>
      <c r="F1462" s="576">
        <v>62263860.359999999</v>
      </c>
      <c r="G1462" s="588">
        <v>39356.60000000149</v>
      </c>
      <c r="H1462" s="576">
        <v>0</v>
      </c>
      <c r="I1462" s="589">
        <v>0</v>
      </c>
    </row>
    <row r="1463" spans="1:9" ht="15.75" customHeight="1" x14ac:dyDescent="0.2">
      <c r="A1463" s="577"/>
      <c r="B1463" s="577"/>
      <c r="C1463" s="576"/>
      <c r="D1463" s="607">
        <v>46952</v>
      </c>
      <c r="E1463" s="576" t="s">
        <v>715</v>
      </c>
      <c r="F1463" s="576">
        <v>62303216.969999999</v>
      </c>
      <c r="G1463" s="588">
        <v>39356.609999999404</v>
      </c>
      <c r="H1463" s="576">
        <v>0</v>
      </c>
      <c r="I1463" s="589">
        <v>0</v>
      </c>
    </row>
    <row r="1464" spans="1:9" ht="15.75" customHeight="1" x14ac:dyDescent="0.2">
      <c r="A1464" s="577"/>
      <c r="B1464" s="577"/>
      <c r="C1464" s="576"/>
      <c r="D1464" s="607">
        <v>46953</v>
      </c>
      <c r="E1464" s="576" t="s">
        <v>721</v>
      </c>
      <c r="F1464" s="576">
        <v>62342573.57</v>
      </c>
      <c r="G1464" s="588">
        <v>39356.60000000149</v>
      </c>
      <c r="H1464" s="576">
        <v>275496.22999999672</v>
      </c>
      <c r="I1464" s="589">
        <v>0</v>
      </c>
    </row>
    <row r="1465" spans="1:9" ht="15.75" customHeight="1" x14ac:dyDescent="0.2">
      <c r="A1465" s="577"/>
      <c r="B1465" s="577"/>
      <c r="C1465" s="576"/>
      <c r="D1465" s="607">
        <v>46954</v>
      </c>
      <c r="E1465" s="576" t="s">
        <v>720</v>
      </c>
      <c r="F1465" s="576">
        <v>62381930.18</v>
      </c>
      <c r="G1465" s="588">
        <v>39356.609999999404</v>
      </c>
      <c r="H1465" s="576">
        <v>0</v>
      </c>
      <c r="I1465" s="589">
        <v>0</v>
      </c>
    </row>
    <row r="1466" spans="1:9" ht="15.75" customHeight="1" x14ac:dyDescent="0.2">
      <c r="A1466" s="577"/>
      <c r="B1466" s="577"/>
      <c r="C1466" s="576"/>
      <c r="D1466" s="607">
        <v>46955</v>
      </c>
      <c r="E1466" s="576" t="s">
        <v>719</v>
      </c>
      <c r="F1466" s="576">
        <v>62421286.780000001</v>
      </c>
      <c r="G1466" s="588">
        <v>39356.60000000149</v>
      </c>
      <c r="H1466" s="576">
        <v>0</v>
      </c>
      <c r="I1466" s="589">
        <v>0</v>
      </c>
    </row>
    <row r="1467" spans="1:9" ht="15.75" customHeight="1" x14ac:dyDescent="0.2">
      <c r="A1467" s="577"/>
      <c r="B1467" s="577"/>
      <c r="C1467" s="576"/>
      <c r="D1467" s="607">
        <v>46956</v>
      </c>
      <c r="E1467" s="576" t="s">
        <v>718</v>
      </c>
      <c r="F1467" s="576">
        <v>62460643.390000001</v>
      </c>
      <c r="G1467" s="588">
        <v>39356.609999999404</v>
      </c>
      <c r="H1467" s="576">
        <v>0</v>
      </c>
      <c r="I1467" s="589">
        <v>0</v>
      </c>
    </row>
    <row r="1468" spans="1:9" ht="15.75" customHeight="1" x14ac:dyDescent="0.2">
      <c r="A1468" s="577"/>
      <c r="B1468" s="577"/>
      <c r="C1468" s="576"/>
      <c r="D1468" s="607">
        <v>46957</v>
      </c>
      <c r="E1468" s="576" t="s">
        <v>717</v>
      </c>
      <c r="F1468" s="576">
        <v>62500000</v>
      </c>
      <c r="G1468" s="588">
        <v>39356.609999999404</v>
      </c>
      <c r="H1468" s="576">
        <v>0</v>
      </c>
      <c r="I1468" s="589">
        <v>0</v>
      </c>
    </row>
    <row r="1469" spans="1:9" ht="15.75" customHeight="1" x14ac:dyDescent="0.2">
      <c r="A1469" s="577"/>
      <c r="B1469" s="577"/>
      <c r="C1469" s="576"/>
      <c r="D1469" s="607">
        <v>46958</v>
      </c>
      <c r="E1469" s="576" t="s">
        <v>716</v>
      </c>
      <c r="F1469" s="576">
        <v>62500000</v>
      </c>
      <c r="G1469" s="588">
        <v>0</v>
      </c>
      <c r="H1469" s="576">
        <v>0</v>
      </c>
      <c r="I1469" s="589">
        <v>0</v>
      </c>
    </row>
    <row r="1470" spans="1:9" ht="15.75" customHeight="1" x14ac:dyDescent="0.2">
      <c r="A1470" s="577"/>
      <c r="B1470" s="577"/>
      <c r="C1470" s="576"/>
      <c r="D1470" s="607">
        <v>46959</v>
      </c>
      <c r="E1470" s="576" t="s">
        <v>715</v>
      </c>
      <c r="F1470" s="576">
        <v>62500000</v>
      </c>
      <c r="G1470" s="588">
        <v>0</v>
      </c>
      <c r="H1470" s="576">
        <v>0</v>
      </c>
      <c r="I1470" s="589">
        <v>0</v>
      </c>
    </row>
    <row r="1471" spans="1:9" ht="15.75" customHeight="1" x14ac:dyDescent="0.2">
      <c r="A1471" s="577"/>
      <c r="B1471" s="577"/>
      <c r="C1471" s="576"/>
      <c r="D1471" s="607">
        <v>46960</v>
      </c>
      <c r="E1471" s="576" t="s">
        <v>721</v>
      </c>
      <c r="F1471" s="576">
        <v>62500000</v>
      </c>
      <c r="G1471" s="588">
        <v>0</v>
      </c>
      <c r="H1471" s="576">
        <v>157426.4299999997</v>
      </c>
      <c r="I1471" s="589">
        <v>432922.65999999642</v>
      </c>
    </row>
    <row r="1472" spans="1:9" ht="15.75" customHeight="1" x14ac:dyDescent="0.2">
      <c r="A1472" s="577"/>
      <c r="B1472" s="577"/>
      <c r="C1472" s="576"/>
      <c r="D1472" s="607">
        <v>46961</v>
      </c>
      <c r="E1472" s="576" t="s">
        <v>720</v>
      </c>
      <c r="F1472" s="576">
        <v>62500000</v>
      </c>
      <c r="G1472" s="588">
        <v>0</v>
      </c>
      <c r="H1472" s="576">
        <v>0</v>
      </c>
      <c r="I1472" s="589">
        <v>0</v>
      </c>
    </row>
    <row r="1473" spans="1:9" ht="15.75" customHeight="1" x14ac:dyDescent="0.2">
      <c r="A1473" s="577"/>
      <c r="B1473" s="577"/>
      <c r="C1473" s="576"/>
      <c r="D1473" s="607">
        <v>46962</v>
      </c>
      <c r="E1473" s="576" t="s">
        <v>719</v>
      </c>
      <c r="F1473" s="576">
        <v>62500000</v>
      </c>
      <c r="G1473" s="588">
        <v>0</v>
      </c>
      <c r="H1473" s="576">
        <v>0</v>
      </c>
      <c r="I1473" s="589">
        <v>0</v>
      </c>
    </row>
    <row r="1474" spans="1:9" ht="15.75" customHeight="1" x14ac:dyDescent="0.2">
      <c r="A1474" s="577"/>
      <c r="B1474" s="577"/>
      <c r="C1474" s="576"/>
      <c r="D1474" s="607">
        <v>46963</v>
      </c>
      <c r="E1474" s="576" t="s">
        <v>718</v>
      </c>
      <c r="F1474" s="576">
        <v>62500000</v>
      </c>
      <c r="G1474" s="588">
        <v>0</v>
      </c>
      <c r="H1474" s="576">
        <v>0</v>
      </c>
      <c r="I1474" s="589">
        <v>0</v>
      </c>
    </row>
    <row r="1475" spans="1:9" ht="15.75" customHeight="1" x14ac:dyDescent="0.2">
      <c r="A1475" s="577"/>
      <c r="B1475" s="577"/>
      <c r="C1475" s="576"/>
      <c r="D1475" s="607">
        <v>46964</v>
      </c>
      <c r="E1475" s="576" t="s">
        <v>717</v>
      </c>
      <c r="F1475" s="576">
        <v>62500000</v>
      </c>
      <c r="G1475" s="588">
        <v>0</v>
      </c>
      <c r="H1475" s="576">
        <v>0</v>
      </c>
      <c r="I1475" s="589">
        <v>0</v>
      </c>
    </row>
    <row r="1476" spans="1:9" ht="15.75" customHeight="1" x14ac:dyDescent="0.2">
      <c r="A1476" s="577"/>
      <c r="B1476" s="577"/>
      <c r="C1476" s="576"/>
      <c r="D1476" s="607">
        <v>46965</v>
      </c>
      <c r="E1476" s="576" t="s">
        <v>716</v>
      </c>
      <c r="F1476" s="576">
        <v>62500000</v>
      </c>
      <c r="G1476" s="588">
        <v>0</v>
      </c>
      <c r="H1476" s="576">
        <v>0</v>
      </c>
      <c r="I1476" s="589">
        <v>0</v>
      </c>
    </row>
    <row r="1477" spans="1:9" ht="15.75" customHeight="1" x14ac:dyDescent="0.2">
      <c r="A1477" s="577"/>
      <c r="B1477" s="577"/>
      <c r="C1477" s="576"/>
      <c r="D1477" s="607">
        <v>46966</v>
      </c>
      <c r="E1477" s="576" t="s">
        <v>715</v>
      </c>
      <c r="F1477" s="576">
        <v>62500000</v>
      </c>
      <c r="G1477" s="588">
        <v>0</v>
      </c>
      <c r="H1477" s="576">
        <v>0</v>
      </c>
      <c r="I1477" s="589">
        <v>0</v>
      </c>
    </row>
    <row r="1478" spans="1:9" ht="15.75" customHeight="1" x14ac:dyDescent="0.2">
      <c r="A1478" s="577"/>
      <c r="B1478" s="577"/>
      <c r="C1478" s="576"/>
      <c r="D1478" s="607">
        <v>46967</v>
      </c>
      <c r="E1478" s="576" t="s">
        <v>721</v>
      </c>
      <c r="F1478" s="576">
        <v>62500000</v>
      </c>
      <c r="G1478" s="588">
        <v>0</v>
      </c>
      <c r="H1478" s="576">
        <v>0</v>
      </c>
      <c r="I1478" s="589">
        <v>0</v>
      </c>
    </row>
    <row r="1479" spans="1:9" ht="15.75" customHeight="1" x14ac:dyDescent="0.2">
      <c r="A1479" s="577"/>
      <c r="B1479" s="577"/>
      <c r="C1479" s="576"/>
      <c r="D1479" s="607">
        <v>46968</v>
      </c>
      <c r="E1479" s="576" t="s">
        <v>720</v>
      </c>
      <c r="F1479" s="576">
        <v>62500000</v>
      </c>
      <c r="G1479" s="588">
        <v>0</v>
      </c>
      <c r="H1479" s="576">
        <v>0</v>
      </c>
      <c r="I1479" s="589">
        <v>0</v>
      </c>
    </row>
    <row r="1480" spans="1:9" ht="15.75" customHeight="1" x14ac:dyDescent="0.2">
      <c r="A1480" s="577"/>
      <c r="B1480" s="577"/>
      <c r="C1480" s="576"/>
      <c r="D1480" s="607">
        <v>46969</v>
      </c>
      <c r="E1480" s="576" t="s">
        <v>719</v>
      </c>
      <c r="F1480" s="576">
        <v>62500000</v>
      </c>
      <c r="G1480" s="588">
        <v>0</v>
      </c>
      <c r="H1480" s="576">
        <v>0</v>
      </c>
      <c r="I1480" s="589">
        <v>0</v>
      </c>
    </row>
    <row r="1481" spans="1:9" ht="15.75" customHeight="1" x14ac:dyDescent="0.2">
      <c r="A1481" s="577"/>
      <c r="B1481" s="577"/>
      <c r="C1481" s="576"/>
      <c r="D1481" s="607">
        <v>46970</v>
      </c>
      <c r="E1481" s="576" t="s">
        <v>718</v>
      </c>
      <c r="F1481" s="576">
        <v>62500000</v>
      </c>
      <c r="G1481" s="588">
        <v>0</v>
      </c>
      <c r="H1481" s="576">
        <v>0</v>
      </c>
      <c r="I1481" s="589">
        <v>0</v>
      </c>
    </row>
    <row r="1482" spans="1:9" ht="15.75" customHeight="1" x14ac:dyDescent="0.2">
      <c r="A1482" s="577"/>
      <c r="B1482" s="577"/>
      <c r="C1482" s="576"/>
      <c r="D1482" s="607">
        <v>46971</v>
      </c>
      <c r="E1482" s="576" t="s">
        <v>717</v>
      </c>
      <c r="F1482" s="576">
        <v>62500000</v>
      </c>
      <c r="G1482" s="588">
        <v>0</v>
      </c>
      <c r="H1482" s="576">
        <v>0</v>
      </c>
      <c r="I1482" s="589">
        <v>0</v>
      </c>
    </row>
    <row r="1483" spans="1:9" ht="15.75" customHeight="1" x14ac:dyDescent="0.2">
      <c r="A1483" s="577"/>
      <c r="B1483" s="577"/>
      <c r="C1483" s="576"/>
      <c r="D1483" s="607">
        <v>46972</v>
      </c>
      <c r="E1483" s="576" t="s">
        <v>716</v>
      </c>
      <c r="F1483" s="576">
        <v>62500000</v>
      </c>
      <c r="G1483" s="588">
        <v>0</v>
      </c>
      <c r="H1483" s="576">
        <v>0</v>
      </c>
      <c r="I1483" s="589">
        <v>0</v>
      </c>
    </row>
    <row r="1484" spans="1:9" ht="15.75" customHeight="1" x14ac:dyDescent="0.2">
      <c r="A1484" s="577"/>
      <c r="B1484" s="577"/>
      <c r="C1484" s="576"/>
      <c r="D1484" s="607">
        <v>46973</v>
      </c>
      <c r="E1484" s="576" t="s">
        <v>715</v>
      </c>
      <c r="F1484" s="576">
        <v>62500000</v>
      </c>
      <c r="G1484" s="588">
        <v>0</v>
      </c>
      <c r="H1484" s="576">
        <v>0</v>
      </c>
      <c r="I1484" s="589">
        <v>0</v>
      </c>
    </row>
    <row r="1485" spans="1:9" ht="15.75" customHeight="1" x14ac:dyDescent="0.2">
      <c r="A1485" s="577"/>
      <c r="B1485" s="577"/>
      <c r="C1485" s="576"/>
      <c r="D1485" s="607">
        <v>46974</v>
      </c>
      <c r="E1485" s="576" t="s">
        <v>721</v>
      </c>
      <c r="F1485" s="576">
        <v>62500000</v>
      </c>
      <c r="G1485" s="588">
        <v>0</v>
      </c>
      <c r="H1485" s="576">
        <v>0</v>
      </c>
      <c r="I1485" s="589">
        <v>0</v>
      </c>
    </row>
    <row r="1486" spans="1:9" ht="15.75" customHeight="1" x14ac:dyDescent="0.2">
      <c r="A1486" s="577"/>
      <c r="B1486" s="577"/>
      <c r="C1486" s="576"/>
      <c r="D1486" s="607">
        <v>46975</v>
      </c>
      <c r="E1486" s="576" t="s">
        <v>720</v>
      </c>
      <c r="F1486" s="576">
        <v>62500000</v>
      </c>
      <c r="G1486" s="588">
        <v>0</v>
      </c>
      <c r="H1486" s="576">
        <v>0</v>
      </c>
      <c r="I1486" s="589">
        <v>0</v>
      </c>
    </row>
    <row r="1487" spans="1:9" ht="15.75" customHeight="1" x14ac:dyDescent="0.2">
      <c r="A1487" s="577"/>
      <c r="B1487" s="577"/>
      <c r="C1487" s="576"/>
      <c r="D1487" s="607">
        <v>46976</v>
      </c>
      <c r="E1487" s="576" t="s">
        <v>719</v>
      </c>
      <c r="F1487" s="576">
        <v>62500000</v>
      </c>
      <c r="G1487" s="588">
        <v>0</v>
      </c>
      <c r="H1487" s="576">
        <v>0</v>
      </c>
      <c r="I1487" s="589">
        <v>0</v>
      </c>
    </row>
    <row r="1488" spans="1:9" ht="15.75" customHeight="1" x14ac:dyDescent="0.2">
      <c r="A1488" s="577"/>
      <c r="B1488" s="577"/>
      <c r="C1488" s="576"/>
      <c r="D1488" s="607">
        <v>46977</v>
      </c>
      <c r="E1488" s="576" t="s">
        <v>718</v>
      </c>
      <c r="F1488" s="576">
        <v>62500000</v>
      </c>
      <c r="G1488" s="588">
        <v>0</v>
      </c>
      <c r="H1488" s="576">
        <v>0</v>
      </c>
      <c r="I1488" s="589">
        <v>0</v>
      </c>
    </row>
    <row r="1489" spans="1:9" ht="15.75" customHeight="1" x14ac:dyDescent="0.2">
      <c r="A1489" s="577"/>
      <c r="B1489" s="577"/>
      <c r="C1489" s="576"/>
      <c r="D1489" s="607">
        <v>46978</v>
      </c>
      <c r="E1489" s="576" t="s">
        <v>717</v>
      </c>
      <c r="F1489" s="576">
        <v>62500000</v>
      </c>
      <c r="G1489" s="588">
        <v>0</v>
      </c>
      <c r="H1489" s="576">
        <v>0</v>
      </c>
      <c r="I1489" s="589">
        <v>0</v>
      </c>
    </row>
    <row r="1490" spans="1:9" ht="15.75" customHeight="1" x14ac:dyDescent="0.2">
      <c r="A1490" s="577"/>
      <c r="B1490" s="577"/>
      <c r="C1490" s="576"/>
      <c r="D1490" s="607">
        <v>46979</v>
      </c>
      <c r="E1490" s="576" t="s">
        <v>716</v>
      </c>
      <c r="F1490" s="576">
        <v>62500000</v>
      </c>
      <c r="G1490" s="588">
        <v>0</v>
      </c>
      <c r="H1490" s="576">
        <v>0</v>
      </c>
      <c r="I1490" s="589">
        <v>0</v>
      </c>
    </row>
    <row r="1491" spans="1:9" ht="15.75" customHeight="1" x14ac:dyDescent="0.2">
      <c r="A1491" s="577"/>
      <c r="B1491" s="577"/>
      <c r="C1491" s="576"/>
      <c r="D1491" s="607">
        <v>46980</v>
      </c>
      <c r="E1491" s="576" t="s">
        <v>715</v>
      </c>
      <c r="F1491" s="576">
        <v>62500000</v>
      </c>
      <c r="G1491" s="588">
        <v>0</v>
      </c>
      <c r="H1491" s="576">
        <v>0</v>
      </c>
      <c r="I1491" s="589">
        <v>0</v>
      </c>
    </row>
    <row r="1492" spans="1:9" ht="15.75" customHeight="1" x14ac:dyDescent="0.2">
      <c r="A1492" s="577"/>
      <c r="B1492" s="577"/>
      <c r="C1492" s="576"/>
      <c r="D1492" s="607">
        <v>46981</v>
      </c>
      <c r="E1492" s="576" t="s">
        <v>721</v>
      </c>
      <c r="F1492" s="576">
        <v>62500000</v>
      </c>
      <c r="G1492" s="588">
        <v>0</v>
      </c>
      <c r="H1492" s="576">
        <v>0</v>
      </c>
      <c r="I1492" s="589">
        <v>0</v>
      </c>
    </row>
    <row r="1493" spans="1:9" ht="15.75" customHeight="1" x14ac:dyDescent="0.2">
      <c r="A1493" s="577"/>
      <c r="B1493" s="577"/>
      <c r="C1493" s="576"/>
      <c r="D1493" s="607">
        <v>46982</v>
      </c>
      <c r="E1493" s="576" t="s">
        <v>720</v>
      </c>
      <c r="F1493" s="576">
        <v>62500000</v>
      </c>
      <c r="G1493" s="588">
        <v>0</v>
      </c>
      <c r="H1493" s="576">
        <v>0</v>
      </c>
      <c r="I1493" s="589">
        <v>0</v>
      </c>
    </row>
    <row r="1494" spans="1:9" ht="15.75" customHeight="1" x14ac:dyDescent="0.2">
      <c r="A1494" s="577"/>
      <c r="B1494" s="577"/>
      <c r="C1494" s="576"/>
      <c r="D1494" s="607">
        <v>46983</v>
      </c>
      <c r="E1494" s="576" t="s">
        <v>719</v>
      </c>
      <c r="F1494" s="576">
        <v>62500000</v>
      </c>
      <c r="G1494" s="588">
        <v>0</v>
      </c>
      <c r="H1494" s="576">
        <v>0</v>
      </c>
      <c r="I1494" s="589">
        <v>0</v>
      </c>
    </row>
    <row r="1495" spans="1:9" ht="15.75" customHeight="1" x14ac:dyDescent="0.2">
      <c r="A1495" s="577"/>
      <c r="B1495" s="577"/>
      <c r="C1495" s="576"/>
      <c r="D1495" s="607">
        <v>46984</v>
      </c>
      <c r="E1495" s="576" t="s">
        <v>718</v>
      </c>
      <c r="F1495" s="576">
        <v>62500000</v>
      </c>
      <c r="G1495" s="588">
        <v>0</v>
      </c>
      <c r="H1495" s="576">
        <v>0</v>
      </c>
      <c r="I1495" s="589">
        <v>0</v>
      </c>
    </row>
    <row r="1496" spans="1:9" ht="15.75" customHeight="1" x14ac:dyDescent="0.2">
      <c r="A1496" s="577"/>
      <c r="B1496" s="577"/>
      <c r="C1496" s="576"/>
      <c r="D1496" s="607">
        <v>46985</v>
      </c>
      <c r="E1496" s="576" t="s">
        <v>717</v>
      </c>
      <c r="F1496" s="576">
        <v>62500000</v>
      </c>
      <c r="G1496" s="588">
        <v>0</v>
      </c>
      <c r="H1496" s="576">
        <v>0</v>
      </c>
      <c r="I1496" s="589">
        <v>0</v>
      </c>
    </row>
    <row r="1497" spans="1:9" ht="15.75" customHeight="1" x14ac:dyDescent="0.2">
      <c r="A1497" s="577"/>
      <c r="B1497" s="577"/>
      <c r="C1497" s="576"/>
      <c r="D1497" s="607">
        <v>46986</v>
      </c>
      <c r="E1497" s="576" t="s">
        <v>716</v>
      </c>
      <c r="F1497" s="576">
        <v>62500000</v>
      </c>
      <c r="G1497" s="588">
        <v>0</v>
      </c>
      <c r="H1497" s="576">
        <v>0</v>
      </c>
      <c r="I1497" s="589">
        <v>0</v>
      </c>
    </row>
    <row r="1498" spans="1:9" ht="15.75" customHeight="1" x14ac:dyDescent="0.2">
      <c r="A1498" s="577"/>
      <c r="B1498" s="577"/>
      <c r="C1498" s="576"/>
      <c r="D1498" s="607">
        <v>46987</v>
      </c>
      <c r="E1498" s="576" t="s">
        <v>715</v>
      </c>
      <c r="F1498" s="576">
        <v>62500000</v>
      </c>
      <c r="G1498" s="588">
        <v>0</v>
      </c>
      <c r="H1498" s="576">
        <v>0</v>
      </c>
      <c r="I1498" s="589">
        <v>0</v>
      </c>
    </row>
    <row r="1499" spans="1:9" ht="15.75" customHeight="1" x14ac:dyDescent="0.2">
      <c r="A1499" s="577"/>
      <c r="B1499" s="577"/>
      <c r="C1499" s="576"/>
      <c r="D1499" s="607">
        <v>46988</v>
      </c>
      <c r="E1499" s="576" t="s">
        <v>721</v>
      </c>
      <c r="F1499" s="576">
        <v>62500000</v>
      </c>
      <c r="G1499" s="588">
        <v>0</v>
      </c>
      <c r="H1499" s="576">
        <v>0</v>
      </c>
      <c r="I1499" s="589">
        <v>0</v>
      </c>
    </row>
    <row r="1500" spans="1:9" ht="15.75" customHeight="1" x14ac:dyDescent="0.2">
      <c r="A1500" s="577"/>
      <c r="B1500" s="577"/>
      <c r="C1500" s="576"/>
      <c r="D1500" s="607">
        <v>46989</v>
      </c>
      <c r="E1500" s="576" t="s">
        <v>720</v>
      </c>
      <c r="F1500" s="576">
        <v>62500000</v>
      </c>
      <c r="G1500" s="588">
        <v>0</v>
      </c>
      <c r="H1500" s="576">
        <v>0</v>
      </c>
      <c r="I1500" s="589">
        <v>0</v>
      </c>
    </row>
    <row r="1501" spans="1:9" ht="15.75" customHeight="1" x14ac:dyDescent="0.2">
      <c r="A1501" s="577"/>
      <c r="B1501" s="577"/>
      <c r="C1501" s="576"/>
      <c r="D1501" s="607">
        <v>46990</v>
      </c>
      <c r="E1501" s="576" t="s">
        <v>719</v>
      </c>
      <c r="F1501" s="576">
        <v>62500000</v>
      </c>
      <c r="G1501" s="588">
        <v>0</v>
      </c>
      <c r="H1501" s="576">
        <v>0</v>
      </c>
      <c r="I1501" s="589">
        <v>0</v>
      </c>
    </row>
    <row r="1502" spans="1:9" ht="15.75" customHeight="1" x14ac:dyDescent="0.2">
      <c r="A1502" s="577"/>
      <c r="B1502" s="577"/>
      <c r="C1502" s="576"/>
      <c r="D1502" s="607">
        <v>46991</v>
      </c>
      <c r="E1502" s="576" t="s">
        <v>718</v>
      </c>
      <c r="F1502" s="576">
        <v>62500000</v>
      </c>
      <c r="G1502" s="588">
        <v>0</v>
      </c>
      <c r="H1502" s="576">
        <v>0</v>
      </c>
      <c r="I1502" s="589">
        <v>0</v>
      </c>
    </row>
    <row r="1503" spans="1:9" ht="15.75" customHeight="1" x14ac:dyDescent="0.2">
      <c r="A1503" s="577"/>
      <c r="B1503" s="577"/>
      <c r="C1503" s="576"/>
      <c r="D1503" s="607">
        <v>46992</v>
      </c>
      <c r="E1503" s="576" t="s">
        <v>717</v>
      </c>
      <c r="F1503" s="576">
        <v>62500000</v>
      </c>
      <c r="G1503" s="588">
        <v>0</v>
      </c>
      <c r="H1503" s="576">
        <v>0</v>
      </c>
      <c r="I1503" s="589">
        <v>0</v>
      </c>
    </row>
    <row r="1504" spans="1:9" ht="15.75" customHeight="1" x14ac:dyDescent="0.2">
      <c r="A1504" s="577"/>
      <c r="B1504" s="577"/>
      <c r="C1504" s="576"/>
      <c r="D1504" s="607">
        <v>46993</v>
      </c>
      <c r="E1504" s="576" t="s">
        <v>716</v>
      </c>
      <c r="F1504" s="576">
        <v>62500000</v>
      </c>
      <c r="G1504" s="588">
        <v>0</v>
      </c>
      <c r="H1504" s="576">
        <v>0</v>
      </c>
      <c r="I1504" s="589">
        <v>0</v>
      </c>
    </row>
    <row r="1505" spans="1:9" ht="15.75" customHeight="1" x14ac:dyDescent="0.2">
      <c r="A1505" s="577"/>
      <c r="B1505" s="577"/>
      <c r="C1505" s="576"/>
      <c r="D1505" s="607">
        <v>46994</v>
      </c>
      <c r="E1505" s="576" t="s">
        <v>715</v>
      </c>
      <c r="F1505" s="576">
        <v>62500000</v>
      </c>
      <c r="G1505" s="588">
        <v>0</v>
      </c>
      <c r="H1505" s="576">
        <v>0</v>
      </c>
      <c r="I1505" s="589">
        <v>0</v>
      </c>
    </row>
    <row r="1506" spans="1:9" ht="15.75" customHeight="1" x14ac:dyDescent="0.2">
      <c r="A1506" s="577"/>
      <c r="B1506" s="577"/>
      <c r="C1506" s="576"/>
      <c r="D1506" s="607">
        <v>46995</v>
      </c>
      <c r="E1506" s="576" t="s">
        <v>721</v>
      </c>
      <c r="F1506" s="576">
        <v>62500000</v>
      </c>
      <c r="G1506" s="588">
        <v>0</v>
      </c>
      <c r="H1506" s="576">
        <v>0</v>
      </c>
      <c r="I1506" s="589">
        <v>0</v>
      </c>
    </row>
    <row r="1507" spans="1:9" ht="15.75" customHeight="1" x14ac:dyDescent="0.2">
      <c r="A1507" s="577"/>
      <c r="B1507" s="577"/>
      <c r="C1507" s="576"/>
      <c r="D1507" s="607">
        <v>46996</v>
      </c>
      <c r="E1507" s="576" t="s">
        <v>720</v>
      </c>
      <c r="F1507" s="576">
        <v>62500000</v>
      </c>
      <c r="G1507" s="588">
        <v>0</v>
      </c>
      <c r="H1507" s="576">
        <v>0</v>
      </c>
      <c r="I1507" s="589">
        <v>0</v>
      </c>
    </row>
    <row r="1508" spans="1:9" ht="15.75" customHeight="1" x14ac:dyDescent="0.2">
      <c r="A1508" s="577"/>
      <c r="B1508" s="577"/>
      <c r="C1508" s="576"/>
      <c r="D1508" s="607">
        <v>46997</v>
      </c>
      <c r="E1508" s="576" t="s">
        <v>719</v>
      </c>
      <c r="F1508" s="576">
        <v>62500000</v>
      </c>
      <c r="G1508" s="588">
        <v>0</v>
      </c>
      <c r="H1508" s="576">
        <v>0</v>
      </c>
      <c r="I1508" s="589">
        <v>0</v>
      </c>
    </row>
    <row r="1509" spans="1:9" ht="15.75" customHeight="1" x14ac:dyDescent="0.2">
      <c r="A1509" s="577"/>
      <c r="B1509" s="577"/>
      <c r="C1509" s="576"/>
      <c r="D1509" s="607">
        <v>46998</v>
      </c>
      <c r="E1509" s="576" t="s">
        <v>718</v>
      </c>
      <c r="F1509" s="576">
        <v>62500000</v>
      </c>
      <c r="G1509" s="588">
        <v>0</v>
      </c>
      <c r="H1509" s="576">
        <v>0</v>
      </c>
      <c r="I1509" s="589">
        <v>0</v>
      </c>
    </row>
    <row r="1510" spans="1:9" ht="15.75" customHeight="1" x14ac:dyDescent="0.2">
      <c r="A1510" s="577"/>
      <c r="B1510" s="577"/>
      <c r="C1510" s="576"/>
      <c r="D1510" s="607">
        <v>46999</v>
      </c>
      <c r="E1510" s="576" t="s">
        <v>717</v>
      </c>
      <c r="F1510" s="576">
        <v>62500000</v>
      </c>
      <c r="G1510" s="588">
        <v>0</v>
      </c>
      <c r="H1510" s="576">
        <v>0</v>
      </c>
      <c r="I1510" s="589">
        <v>0</v>
      </c>
    </row>
    <row r="1511" spans="1:9" ht="15.75" customHeight="1" x14ac:dyDescent="0.2">
      <c r="A1511" s="577"/>
      <c r="B1511" s="577"/>
      <c r="C1511" s="576"/>
      <c r="D1511" s="607">
        <v>47000</v>
      </c>
      <c r="E1511" s="576" t="s">
        <v>716</v>
      </c>
      <c r="F1511" s="576">
        <v>62500000</v>
      </c>
      <c r="G1511" s="588">
        <v>0</v>
      </c>
      <c r="H1511" s="576">
        <v>0</v>
      </c>
      <c r="I1511" s="589">
        <v>0</v>
      </c>
    </row>
    <row r="1512" spans="1:9" ht="15.75" customHeight="1" x14ac:dyDescent="0.2">
      <c r="A1512" s="577"/>
      <c r="B1512" s="577"/>
      <c r="C1512" s="576"/>
      <c r="D1512" s="607">
        <v>47001</v>
      </c>
      <c r="E1512" s="576" t="s">
        <v>715</v>
      </c>
      <c r="F1512" s="576">
        <v>62500000</v>
      </c>
      <c r="G1512" s="588">
        <v>0</v>
      </c>
      <c r="H1512" s="576">
        <v>0</v>
      </c>
      <c r="I1512" s="589">
        <v>0</v>
      </c>
    </row>
    <row r="1513" spans="1:9" ht="15.75" customHeight="1" x14ac:dyDescent="0.2">
      <c r="A1513" s="577"/>
      <c r="B1513" s="577"/>
      <c r="C1513" s="576"/>
      <c r="D1513" s="607">
        <v>47002</v>
      </c>
      <c r="E1513" s="576" t="s">
        <v>721</v>
      </c>
      <c r="F1513" s="576">
        <v>62500000</v>
      </c>
      <c r="G1513" s="588">
        <v>0</v>
      </c>
      <c r="H1513" s="576">
        <v>0</v>
      </c>
      <c r="I1513" s="589">
        <v>0</v>
      </c>
    </row>
    <row r="1514" spans="1:9" ht="15.75" customHeight="1" x14ac:dyDescent="0.2">
      <c r="A1514" s="577"/>
      <c r="B1514" s="577"/>
      <c r="C1514" s="576"/>
      <c r="D1514" s="607">
        <v>47003</v>
      </c>
      <c r="E1514" s="576" t="s">
        <v>720</v>
      </c>
      <c r="F1514" s="576">
        <v>62500000</v>
      </c>
      <c r="G1514" s="588">
        <v>0</v>
      </c>
      <c r="H1514" s="576">
        <v>0</v>
      </c>
      <c r="I1514" s="589">
        <v>0</v>
      </c>
    </row>
    <row r="1515" spans="1:9" ht="15.75" customHeight="1" x14ac:dyDescent="0.2">
      <c r="A1515" s="577"/>
      <c r="B1515" s="577"/>
      <c r="C1515" s="576"/>
      <c r="D1515" s="607">
        <v>47004</v>
      </c>
      <c r="E1515" s="576" t="s">
        <v>719</v>
      </c>
      <c r="F1515" s="576">
        <v>62500000</v>
      </c>
      <c r="G1515" s="588">
        <v>0</v>
      </c>
      <c r="H1515" s="576">
        <v>0</v>
      </c>
      <c r="I1515" s="589">
        <v>0</v>
      </c>
    </row>
    <row r="1516" spans="1:9" ht="15.75" customHeight="1" x14ac:dyDescent="0.2">
      <c r="A1516" s="577"/>
      <c r="B1516" s="577"/>
      <c r="C1516" s="576"/>
      <c r="D1516" s="607">
        <v>47005</v>
      </c>
      <c r="E1516" s="576" t="s">
        <v>718</v>
      </c>
      <c r="F1516" s="576">
        <v>62500000</v>
      </c>
      <c r="G1516" s="588">
        <v>0</v>
      </c>
      <c r="H1516" s="576">
        <v>0</v>
      </c>
      <c r="I1516" s="589">
        <v>0</v>
      </c>
    </row>
    <row r="1517" spans="1:9" ht="15.75" customHeight="1" x14ac:dyDescent="0.2">
      <c r="A1517" s="577"/>
      <c r="B1517" s="577"/>
      <c r="C1517" s="576"/>
      <c r="D1517" s="607">
        <v>47006</v>
      </c>
      <c r="E1517" s="576" t="s">
        <v>717</v>
      </c>
      <c r="F1517" s="576">
        <v>62500000</v>
      </c>
      <c r="G1517" s="588">
        <v>0</v>
      </c>
      <c r="H1517" s="576">
        <v>0</v>
      </c>
      <c r="I1517" s="589">
        <v>0</v>
      </c>
    </row>
    <row r="1518" spans="1:9" ht="15.75" customHeight="1" x14ac:dyDescent="0.2">
      <c r="A1518" s="577"/>
      <c r="B1518" s="577"/>
      <c r="C1518" s="576"/>
      <c r="D1518" s="607">
        <v>47007</v>
      </c>
      <c r="E1518" s="576" t="s">
        <v>716</v>
      </c>
      <c r="F1518" s="576">
        <v>62500000</v>
      </c>
      <c r="G1518" s="588">
        <v>0</v>
      </c>
      <c r="H1518" s="576">
        <v>0</v>
      </c>
      <c r="I1518" s="589">
        <v>0</v>
      </c>
    </row>
    <row r="1519" spans="1:9" ht="15.75" customHeight="1" x14ac:dyDescent="0.2">
      <c r="A1519" s="577"/>
      <c r="B1519" s="577"/>
      <c r="C1519" s="576"/>
      <c r="D1519" s="607">
        <v>47008</v>
      </c>
      <c r="E1519" s="576" t="s">
        <v>715</v>
      </c>
      <c r="F1519" s="576">
        <v>62500000</v>
      </c>
      <c r="G1519" s="588">
        <v>0</v>
      </c>
      <c r="H1519" s="576">
        <v>0</v>
      </c>
      <c r="I1519" s="589">
        <v>0</v>
      </c>
    </row>
    <row r="1520" spans="1:9" ht="15.75" customHeight="1" x14ac:dyDescent="0.2">
      <c r="A1520" s="577"/>
      <c r="B1520" s="577"/>
      <c r="C1520" s="576"/>
      <c r="D1520" s="607">
        <v>47009</v>
      </c>
      <c r="E1520" s="576" t="s">
        <v>721</v>
      </c>
      <c r="F1520" s="576">
        <v>62500000</v>
      </c>
      <c r="G1520" s="588">
        <v>0</v>
      </c>
      <c r="H1520" s="576">
        <v>0</v>
      </c>
      <c r="I1520" s="589">
        <v>0</v>
      </c>
    </row>
    <row r="1521" spans="1:9" ht="15.75" customHeight="1" x14ac:dyDescent="0.2">
      <c r="A1521" s="577"/>
      <c r="B1521" s="577"/>
      <c r="C1521" s="576"/>
      <c r="D1521" s="607">
        <v>47010</v>
      </c>
      <c r="E1521" s="576" t="s">
        <v>720</v>
      </c>
      <c r="F1521" s="576">
        <v>62500000</v>
      </c>
      <c r="G1521" s="588">
        <v>0</v>
      </c>
      <c r="H1521" s="576">
        <v>0</v>
      </c>
      <c r="I1521" s="589">
        <v>0</v>
      </c>
    </row>
    <row r="1522" spans="1:9" ht="15.75" customHeight="1" x14ac:dyDescent="0.2">
      <c r="A1522" s="577"/>
      <c r="B1522" s="577"/>
      <c r="C1522" s="576"/>
      <c r="D1522" s="607">
        <v>47011</v>
      </c>
      <c r="E1522" s="576" t="s">
        <v>719</v>
      </c>
      <c r="F1522" s="576">
        <v>62500000</v>
      </c>
      <c r="G1522" s="588">
        <v>0</v>
      </c>
      <c r="H1522" s="576">
        <v>0</v>
      </c>
      <c r="I1522" s="589">
        <v>0</v>
      </c>
    </row>
    <row r="1523" spans="1:9" ht="15.75" customHeight="1" x14ac:dyDescent="0.2">
      <c r="A1523" s="577"/>
      <c r="B1523" s="577"/>
      <c r="C1523" s="576"/>
      <c r="D1523" s="607">
        <v>47012</v>
      </c>
      <c r="E1523" s="576" t="s">
        <v>718</v>
      </c>
      <c r="F1523" s="576">
        <v>62500000</v>
      </c>
      <c r="G1523" s="588">
        <v>0</v>
      </c>
      <c r="H1523" s="576">
        <v>0</v>
      </c>
      <c r="I1523" s="589">
        <v>0</v>
      </c>
    </row>
    <row r="1524" spans="1:9" ht="15.75" customHeight="1" x14ac:dyDescent="0.2">
      <c r="A1524" s="577"/>
      <c r="B1524" s="577"/>
      <c r="C1524" s="576"/>
      <c r="D1524" s="607">
        <v>47013</v>
      </c>
      <c r="E1524" s="576" t="s">
        <v>717</v>
      </c>
      <c r="F1524" s="576">
        <v>62500000</v>
      </c>
      <c r="G1524" s="588">
        <v>0</v>
      </c>
      <c r="H1524" s="576">
        <v>0</v>
      </c>
      <c r="I1524" s="589">
        <v>0</v>
      </c>
    </row>
    <row r="1525" spans="1:9" ht="15.75" customHeight="1" x14ac:dyDescent="0.2">
      <c r="A1525" s="577"/>
      <c r="B1525" s="577"/>
      <c r="C1525" s="576"/>
      <c r="D1525" s="607">
        <v>47014</v>
      </c>
      <c r="E1525" s="576" t="s">
        <v>716</v>
      </c>
      <c r="F1525" s="576">
        <v>62500000</v>
      </c>
      <c r="G1525" s="588">
        <v>0</v>
      </c>
      <c r="H1525" s="576">
        <v>0</v>
      </c>
      <c r="I1525" s="589">
        <v>0</v>
      </c>
    </row>
    <row r="1526" spans="1:9" ht="15.75" customHeight="1" x14ac:dyDescent="0.2">
      <c r="A1526" s="577"/>
      <c r="B1526" s="577"/>
      <c r="C1526" s="576"/>
      <c r="D1526" s="607">
        <v>47015</v>
      </c>
      <c r="E1526" s="576" t="s">
        <v>715</v>
      </c>
      <c r="F1526" s="576">
        <v>62500000</v>
      </c>
      <c r="G1526" s="588">
        <v>0</v>
      </c>
      <c r="H1526" s="576">
        <v>0</v>
      </c>
      <c r="I1526" s="589">
        <v>0</v>
      </c>
    </row>
    <row r="1527" spans="1:9" ht="15.75" customHeight="1" x14ac:dyDescent="0.2">
      <c r="A1527" s="577"/>
      <c r="B1527" s="577"/>
      <c r="C1527" s="576"/>
      <c r="D1527" s="607">
        <v>47016</v>
      </c>
      <c r="E1527" s="576" t="s">
        <v>721</v>
      </c>
      <c r="F1527" s="576">
        <v>62500000</v>
      </c>
      <c r="G1527" s="588">
        <v>0</v>
      </c>
      <c r="H1527" s="576">
        <v>0</v>
      </c>
      <c r="I1527" s="589">
        <v>0</v>
      </c>
    </row>
    <row r="1528" spans="1:9" ht="15.75" customHeight="1" x14ac:dyDescent="0.2">
      <c r="A1528" s="577"/>
      <c r="B1528" s="577"/>
      <c r="C1528" s="576"/>
      <c r="D1528" s="607">
        <v>47017</v>
      </c>
      <c r="E1528" s="576" t="s">
        <v>720</v>
      </c>
      <c r="F1528" s="576">
        <v>62500000</v>
      </c>
      <c r="G1528" s="588">
        <v>0</v>
      </c>
      <c r="H1528" s="576">
        <v>0</v>
      </c>
      <c r="I1528" s="589">
        <v>0</v>
      </c>
    </row>
    <row r="1529" spans="1:9" ht="15.75" customHeight="1" x14ac:dyDescent="0.2">
      <c r="A1529" s="577"/>
      <c r="B1529" s="577"/>
      <c r="C1529" s="576"/>
      <c r="D1529" s="607">
        <v>47018</v>
      </c>
      <c r="E1529" s="576" t="s">
        <v>719</v>
      </c>
      <c r="F1529" s="576">
        <v>62500000</v>
      </c>
      <c r="G1529" s="588">
        <v>0</v>
      </c>
      <c r="H1529" s="576">
        <v>0</v>
      </c>
      <c r="I1529" s="589">
        <v>0</v>
      </c>
    </row>
    <row r="1530" spans="1:9" ht="15.75" customHeight="1" x14ac:dyDescent="0.2">
      <c r="A1530" s="577"/>
      <c r="B1530" s="577"/>
      <c r="C1530" s="576"/>
      <c r="D1530" s="607">
        <v>47019</v>
      </c>
      <c r="E1530" s="576" t="s">
        <v>718</v>
      </c>
      <c r="F1530" s="576">
        <v>62500000</v>
      </c>
      <c r="G1530" s="588">
        <v>0</v>
      </c>
      <c r="H1530" s="576">
        <v>0</v>
      </c>
      <c r="I1530" s="589">
        <v>0</v>
      </c>
    </row>
    <row r="1531" spans="1:9" ht="15.75" customHeight="1" x14ac:dyDescent="0.2">
      <c r="A1531" s="577"/>
      <c r="B1531" s="577"/>
      <c r="C1531" s="576"/>
      <c r="D1531" s="607">
        <v>47020</v>
      </c>
      <c r="E1531" s="576" t="s">
        <v>717</v>
      </c>
      <c r="F1531" s="576">
        <v>62500000</v>
      </c>
      <c r="G1531" s="588">
        <v>0</v>
      </c>
      <c r="H1531" s="576">
        <v>0</v>
      </c>
      <c r="I1531" s="589">
        <v>0</v>
      </c>
    </row>
    <row r="1532" spans="1:9" ht="15.75" customHeight="1" x14ac:dyDescent="0.2">
      <c r="A1532" s="577"/>
      <c r="B1532" s="577"/>
      <c r="C1532" s="576"/>
      <c r="D1532" s="607">
        <v>47021</v>
      </c>
      <c r="E1532" s="576" t="s">
        <v>716</v>
      </c>
      <c r="F1532" s="576">
        <v>62500000</v>
      </c>
      <c r="G1532" s="588">
        <v>0</v>
      </c>
      <c r="H1532" s="576">
        <v>0</v>
      </c>
      <c r="I1532" s="589">
        <v>0</v>
      </c>
    </row>
    <row r="1533" spans="1:9" ht="15.75" customHeight="1" x14ac:dyDescent="0.2">
      <c r="A1533" s="577"/>
      <c r="B1533" s="577"/>
      <c r="C1533" s="576"/>
      <c r="D1533" s="607">
        <v>47022</v>
      </c>
      <c r="E1533" s="576" t="s">
        <v>715</v>
      </c>
      <c r="F1533" s="576">
        <v>62500000</v>
      </c>
      <c r="G1533" s="588">
        <v>0</v>
      </c>
      <c r="H1533" s="576">
        <v>0</v>
      </c>
      <c r="I1533" s="589">
        <v>0</v>
      </c>
    </row>
    <row r="1534" spans="1:9" ht="15.75" customHeight="1" x14ac:dyDescent="0.2">
      <c r="A1534" s="577"/>
      <c r="B1534" s="577"/>
      <c r="C1534" s="576"/>
      <c r="D1534" s="607">
        <v>47023</v>
      </c>
      <c r="E1534" s="576" t="s">
        <v>721</v>
      </c>
      <c r="F1534" s="576">
        <v>62500000</v>
      </c>
      <c r="G1534" s="588">
        <v>0</v>
      </c>
      <c r="H1534" s="576">
        <v>0</v>
      </c>
      <c r="I1534" s="589">
        <v>0</v>
      </c>
    </row>
    <row r="1535" spans="1:9" ht="15.75" customHeight="1" x14ac:dyDescent="0.2">
      <c r="A1535" s="577"/>
      <c r="B1535" s="577"/>
      <c r="C1535" s="576"/>
      <c r="D1535" s="607">
        <v>47024</v>
      </c>
      <c r="E1535" s="576" t="s">
        <v>720</v>
      </c>
      <c r="F1535" s="576">
        <v>62500000</v>
      </c>
      <c r="G1535" s="588">
        <v>0</v>
      </c>
      <c r="H1535" s="576">
        <v>0</v>
      </c>
      <c r="I1535" s="589">
        <v>0</v>
      </c>
    </row>
    <row r="1536" spans="1:9" ht="15.75" customHeight="1" x14ac:dyDescent="0.2">
      <c r="A1536" s="577"/>
      <c r="B1536" s="577"/>
      <c r="C1536" s="576"/>
      <c r="D1536" s="607">
        <v>47025</v>
      </c>
      <c r="E1536" s="576" t="s">
        <v>719</v>
      </c>
      <c r="F1536" s="576">
        <v>62500000</v>
      </c>
      <c r="G1536" s="588">
        <v>0</v>
      </c>
      <c r="H1536" s="576">
        <v>0</v>
      </c>
      <c r="I1536" s="589">
        <v>0</v>
      </c>
    </row>
    <row r="1537" spans="1:9" ht="15.75" customHeight="1" x14ac:dyDescent="0.2">
      <c r="A1537" s="577"/>
      <c r="B1537" s="577"/>
      <c r="C1537" s="576"/>
      <c r="D1537" s="607">
        <v>47026</v>
      </c>
      <c r="E1537" s="576" t="s">
        <v>718</v>
      </c>
      <c r="F1537" s="576">
        <v>62500000</v>
      </c>
      <c r="G1537" s="588">
        <v>0</v>
      </c>
      <c r="H1537" s="576">
        <v>0</v>
      </c>
      <c r="I1537" s="589">
        <v>0</v>
      </c>
    </row>
    <row r="1538" spans="1:9" ht="15.75" customHeight="1" x14ac:dyDescent="0.2">
      <c r="A1538" s="577"/>
      <c r="B1538" s="577"/>
      <c r="C1538" s="576"/>
      <c r="D1538" s="607">
        <v>47027</v>
      </c>
      <c r="E1538" s="576" t="s">
        <v>717</v>
      </c>
      <c r="F1538" s="576">
        <v>62500000</v>
      </c>
      <c r="G1538" s="588">
        <v>0</v>
      </c>
      <c r="H1538" s="576">
        <v>0</v>
      </c>
      <c r="I1538" s="589">
        <v>0</v>
      </c>
    </row>
    <row r="1539" spans="1:9" ht="15.75" customHeight="1" x14ac:dyDescent="0.2">
      <c r="A1539" s="577"/>
      <c r="B1539" s="577"/>
      <c r="C1539" s="576"/>
      <c r="D1539" s="607">
        <v>47028</v>
      </c>
      <c r="E1539" s="576" t="s">
        <v>716</v>
      </c>
      <c r="F1539" s="576">
        <v>62500000</v>
      </c>
      <c r="G1539" s="588">
        <v>0</v>
      </c>
      <c r="H1539" s="576">
        <v>0</v>
      </c>
      <c r="I1539" s="589">
        <v>0</v>
      </c>
    </row>
    <row r="1540" spans="1:9" ht="15.75" customHeight="1" x14ac:dyDescent="0.2">
      <c r="A1540" s="577"/>
      <c r="B1540" s="577"/>
      <c r="C1540" s="576"/>
      <c r="D1540" s="607">
        <v>47029</v>
      </c>
      <c r="E1540" s="576" t="s">
        <v>715</v>
      </c>
      <c r="F1540" s="576">
        <v>62500000</v>
      </c>
      <c r="G1540" s="588">
        <v>0</v>
      </c>
      <c r="H1540" s="576">
        <v>0</v>
      </c>
      <c r="I1540" s="589">
        <v>0</v>
      </c>
    </row>
    <row r="1541" spans="1:9" ht="15.75" customHeight="1" x14ac:dyDescent="0.2">
      <c r="A1541" s="577"/>
      <c r="B1541" s="577"/>
      <c r="C1541" s="576"/>
      <c r="D1541" s="607">
        <v>47030</v>
      </c>
      <c r="E1541" s="576" t="s">
        <v>721</v>
      </c>
      <c r="F1541" s="576">
        <v>62500000</v>
      </c>
      <c r="G1541" s="588">
        <v>0</v>
      </c>
      <c r="H1541" s="576">
        <v>0</v>
      </c>
      <c r="I1541" s="589">
        <v>0</v>
      </c>
    </row>
    <row r="1542" spans="1:9" ht="15.75" customHeight="1" x14ac:dyDescent="0.2">
      <c r="A1542" s="577"/>
      <c r="B1542" s="577"/>
      <c r="C1542" s="576"/>
      <c r="D1542" s="607">
        <v>47031</v>
      </c>
      <c r="E1542" s="576" t="s">
        <v>720</v>
      </c>
      <c r="F1542" s="576">
        <v>62500000</v>
      </c>
      <c r="G1542" s="588">
        <v>0</v>
      </c>
      <c r="H1542" s="576">
        <v>0</v>
      </c>
      <c r="I1542" s="589">
        <v>0</v>
      </c>
    </row>
    <row r="1543" spans="1:9" ht="15.75" customHeight="1" x14ac:dyDescent="0.2">
      <c r="A1543" s="577"/>
      <c r="B1543" s="577"/>
      <c r="C1543" s="576"/>
      <c r="D1543" s="607">
        <v>47032</v>
      </c>
      <c r="E1543" s="576" t="s">
        <v>719</v>
      </c>
      <c r="F1543" s="576">
        <v>62500000</v>
      </c>
      <c r="G1543" s="588">
        <v>0</v>
      </c>
      <c r="H1543" s="576">
        <v>0</v>
      </c>
      <c r="I1543" s="589">
        <v>0</v>
      </c>
    </row>
    <row r="1544" spans="1:9" ht="15.75" customHeight="1" x14ac:dyDescent="0.2">
      <c r="A1544" s="577"/>
      <c r="B1544" s="577"/>
      <c r="C1544" s="576"/>
      <c r="D1544" s="607">
        <v>47033</v>
      </c>
      <c r="E1544" s="576" t="s">
        <v>718</v>
      </c>
      <c r="F1544" s="576">
        <v>62500000</v>
      </c>
      <c r="G1544" s="588">
        <v>0</v>
      </c>
      <c r="H1544" s="576">
        <v>0</v>
      </c>
      <c r="I1544" s="589">
        <v>0</v>
      </c>
    </row>
    <row r="1545" spans="1:9" ht="15.75" customHeight="1" x14ac:dyDescent="0.2">
      <c r="A1545" s="577"/>
      <c r="B1545" s="577"/>
      <c r="C1545" s="576"/>
      <c r="D1545" s="607">
        <v>47034</v>
      </c>
      <c r="E1545" s="576" t="s">
        <v>717</v>
      </c>
      <c r="F1545" s="576">
        <v>62500000</v>
      </c>
      <c r="G1545" s="588">
        <v>0</v>
      </c>
      <c r="H1545" s="576">
        <v>0</v>
      </c>
      <c r="I1545" s="589">
        <v>0</v>
      </c>
    </row>
    <row r="1546" spans="1:9" ht="15.75" customHeight="1" x14ac:dyDescent="0.2">
      <c r="A1546" s="577"/>
      <c r="B1546" s="577"/>
      <c r="C1546" s="576"/>
      <c r="D1546" s="607">
        <v>47035</v>
      </c>
      <c r="E1546" s="576" t="s">
        <v>716</v>
      </c>
      <c r="F1546" s="576">
        <v>62500000</v>
      </c>
      <c r="G1546" s="588">
        <v>0</v>
      </c>
      <c r="H1546" s="576">
        <v>0</v>
      </c>
      <c r="I1546" s="589">
        <v>0</v>
      </c>
    </row>
    <row r="1547" spans="1:9" ht="15.75" customHeight="1" x14ac:dyDescent="0.2">
      <c r="A1547" s="577"/>
      <c r="B1547" s="577"/>
      <c r="C1547" s="576"/>
      <c r="D1547" s="607">
        <v>47036</v>
      </c>
      <c r="E1547" s="576" t="s">
        <v>715</v>
      </c>
      <c r="F1547" s="576">
        <v>62500000</v>
      </c>
      <c r="G1547" s="588">
        <v>0</v>
      </c>
      <c r="H1547" s="576">
        <v>0</v>
      </c>
      <c r="I1547" s="589">
        <v>0</v>
      </c>
    </row>
    <row r="1548" spans="1:9" ht="15.75" customHeight="1" x14ac:dyDescent="0.2">
      <c r="A1548" s="577"/>
      <c r="B1548" s="577"/>
      <c r="C1548" s="576"/>
      <c r="D1548" s="607">
        <v>47037</v>
      </c>
      <c r="E1548" s="576" t="s">
        <v>721</v>
      </c>
      <c r="F1548" s="576">
        <v>62500000</v>
      </c>
      <c r="G1548" s="588">
        <v>0</v>
      </c>
      <c r="H1548" s="576">
        <v>0</v>
      </c>
      <c r="I1548" s="589">
        <v>0</v>
      </c>
    </row>
    <row r="1549" spans="1:9" ht="15.75" customHeight="1" x14ac:dyDescent="0.2">
      <c r="A1549" s="577"/>
      <c r="B1549" s="577"/>
      <c r="C1549" s="576"/>
      <c r="D1549" s="607">
        <v>47038</v>
      </c>
      <c r="E1549" s="576" t="s">
        <v>720</v>
      </c>
      <c r="F1549" s="576">
        <v>62500000</v>
      </c>
      <c r="G1549" s="588">
        <v>0</v>
      </c>
      <c r="H1549" s="576">
        <v>0</v>
      </c>
      <c r="I1549" s="589">
        <v>0</v>
      </c>
    </row>
    <row r="1550" spans="1:9" ht="15.75" customHeight="1" x14ac:dyDescent="0.2">
      <c r="A1550" s="577"/>
      <c r="B1550" s="577"/>
      <c r="C1550" s="576"/>
      <c r="D1550" s="607">
        <v>47039</v>
      </c>
      <c r="E1550" s="576" t="s">
        <v>719</v>
      </c>
      <c r="F1550" s="576">
        <v>62500000</v>
      </c>
      <c r="G1550" s="588">
        <v>0</v>
      </c>
      <c r="H1550" s="576">
        <v>0</v>
      </c>
      <c r="I1550" s="589">
        <v>0</v>
      </c>
    </row>
    <row r="1551" spans="1:9" ht="15.75" customHeight="1" x14ac:dyDescent="0.2">
      <c r="A1551" s="577"/>
      <c r="B1551" s="577"/>
      <c r="C1551" s="576"/>
      <c r="D1551" s="607">
        <v>47040</v>
      </c>
      <c r="E1551" s="576" t="s">
        <v>718</v>
      </c>
      <c r="F1551" s="576">
        <v>62500000</v>
      </c>
      <c r="G1551" s="588">
        <v>0</v>
      </c>
      <c r="H1551" s="576">
        <v>0</v>
      </c>
      <c r="I1551" s="589">
        <v>0</v>
      </c>
    </row>
    <row r="1552" spans="1:9" ht="15.75" customHeight="1" x14ac:dyDescent="0.2">
      <c r="A1552" s="577"/>
      <c r="B1552" s="577"/>
      <c r="C1552" s="576"/>
      <c r="D1552" s="607">
        <v>47041</v>
      </c>
      <c r="E1552" s="576" t="s">
        <v>717</v>
      </c>
      <c r="F1552" s="576">
        <v>62500000</v>
      </c>
      <c r="G1552" s="588">
        <v>0</v>
      </c>
      <c r="H1552" s="576">
        <v>0</v>
      </c>
      <c r="I1552" s="589">
        <v>0</v>
      </c>
    </row>
    <row r="1553" spans="1:9" ht="15.75" customHeight="1" x14ac:dyDescent="0.2">
      <c r="A1553" s="577"/>
      <c r="B1553" s="577"/>
      <c r="C1553" s="576"/>
      <c r="D1553" s="607">
        <v>47042</v>
      </c>
      <c r="E1553" s="576" t="s">
        <v>716</v>
      </c>
      <c r="F1553" s="576">
        <v>62500000</v>
      </c>
      <c r="G1553" s="588">
        <v>0</v>
      </c>
      <c r="H1553" s="576">
        <v>0</v>
      </c>
      <c r="I1553" s="589">
        <v>0</v>
      </c>
    </row>
    <row r="1554" spans="1:9" ht="15.75" customHeight="1" x14ac:dyDescent="0.2">
      <c r="A1554" s="577"/>
      <c r="B1554" s="577"/>
      <c r="C1554" s="576"/>
      <c r="D1554" s="607">
        <v>47043</v>
      </c>
      <c r="E1554" s="576" t="s">
        <v>715</v>
      </c>
      <c r="F1554" s="576">
        <v>62500000</v>
      </c>
      <c r="G1554" s="588">
        <v>0</v>
      </c>
      <c r="H1554" s="576">
        <v>0</v>
      </c>
      <c r="I1554" s="589">
        <v>0</v>
      </c>
    </row>
    <row r="1555" spans="1:9" ht="15.75" customHeight="1" x14ac:dyDescent="0.2">
      <c r="A1555" s="577"/>
      <c r="B1555" s="577"/>
      <c r="C1555" s="576"/>
      <c r="D1555" s="607">
        <v>47044</v>
      </c>
      <c r="E1555" s="576" t="s">
        <v>721</v>
      </c>
      <c r="F1555" s="576">
        <v>62500000</v>
      </c>
      <c r="G1555" s="588">
        <v>0</v>
      </c>
      <c r="H1555" s="576">
        <v>0</v>
      </c>
      <c r="I1555" s="589">
        <v>0</v>
      </c>
    </row>
    <row r="1556" spans="1:9" ht="15.75" customHeight="1" x14ac:dyDescent="0.2">
      <c r="A1556" s="577"/>
      <c r="B1556" s="577"/>
      <c r="C1556" s="576"/>
      <c r="D1556" s="607">
        <v>47045</v>
      </c>
      <c r="E1556" s="576" t="s">
        <v>720</v>
      </c>
      <c r="F1556" s="576">
        <v>62500000</v>
      </c>
      <c r="G1556" s="588">
        <v>0</v>
      </c>
      <c r="H1556" s="576">
        <v>0</v>
      </c>
      <c r="I1556" s="589">
        <v>0</v>
      </c>
    </row>
    <row r="1557" spans="1:9" ht="15.75" customHeight="1" x14ac:dyDescent="0.2">
      <c r="A1557" s="577"/>
      <c r="B1557" s="577"/>
      <c r="C1557" s="576"/>
      <c r="D1557" s="607">
        <v>47046</v>
      </c>
      <c r="E1557" s="576" t="s">
        <v>719</v>
      </c>
      <c r="F1557" s="576">
        <v>62500000</v>
      </c>
      <c r="G1557" s="588">
        <v>0</v>
      </c>
      <c r="H1557" s="576">
        <v>0</v>
      </c>
      <c r="I1557" s="589">
        <v>0</v>
      </c>
    </row>
    <row r="1558" spans="1:9" ht="15.75" customHeight="1" x14ac:dyDescent="0.2">
      <c r="A1558" s="577"/>
      <c r="B1558" s="577"/>
      <c r="C1558" s="576"/>
      <c r="D1558" s="607">
        <v>47047</v>
      </c>
      <c r="E1558" s="576" t="s">
        <v>718</v>
      </c>
      <c r="F1558" s="576">
        <v>62500000</v>
      </c>
      <c r="G1558" s="588">
        <v>0</v>
      </c>
      <c r="H1558" s="576">
        <v>0</v>
      </c>
      <c r="I1558" s="589">
        <v>0</v>
      </c>
    </row>
    <row r="1559" spans="1:9" ht="15.75" customHeight="1" x14ac:dyDescent="0.2">
      <c r="A1559" s="577"/>
      <c r="B1559" s="577"/>
      <c r="C1559" s="576"/>
      <c r="D1559" s="607">
        <v>47048</v>
      </c>
      <c r="E1559" s="576" t="s">
        <v>717</v>
      </c>
      <c r="F1559" s="576">
        <v>62500000</v>
      </c>
      <c r="G1559" s="588">
        <v>0</v>
      </c>
      <c r="H1559" s="576">
        <v>0</v>
      </c>
      <c r="I1559" s="589">
        <v>0</v>
      </c>
    </row>
    <row r="1560" spans="1:9" ht="15.75" customHeight="1" x14ac:dyDescent="0.2">
      <c r="A1560" s="577"/>
      <c r="B1560" s="577"/>
      <c r="C1560" s="576"/>
      <c r="D1560" s="607">
        <v>47049</v>
      </c>
      <c r="E1560" s="576" t="s">
        <v>716</v>
      </c>
      <c r="F1560" s="576">
        <v>62500000</v>
      </c>
      <c r="G1560" s="588">
        <v>0</v>
      </c>
      <c r="H1560" s="576">
        <v>0</v>
      </c>
      <c r="I1560" s="589">
        <v>0</v>
      </c>
    </row>
    <row r="1561" spans="1:9" ht="15.75" customHeight="1" x14ac:dyDescent="0.2">
      <c r="A1561" s="577"/>
      <c r="B1561" s="577"/>
      <c r="C1561" s="576"/>
      <c r="D1561" s="607">
        <v>47050</v>
      </c>
      <c r="E1561" s="576" t="s">
        <v>715</v>
      </c>
      <c r="F1561" s="576">
        <v>62500000</v>
      </c>
      <c r="G1561" s="588">
        <v>0</v>
      </c>
      <c r="H1561" s="576">
        <v>0</v>
      </c>
      <c r="I1561" s="589">
        <v>0</v>
      </c>
    </row>
    <row r="1562" spans="1:9" ht="15.75" customHeight="1" x14ac:dyDescent="0.2">
      <c r="A1562" s="577"/>
      <c r="B1562" s="577"/>
      <c r="C1562" s="576"/>
      <c r="D1562" s="607">
        <v>47051</v>
      </c>
      <c r="E1562" s="576" t="s">
        <v>721</v>
      </c>
      <c r="F1562" s="576">
        <v>62500000</v>
      </c>
      <c r="G1562" s="588">
        <v>0</v>
      </c>
      <c r="H1562" s="576">
        <v>0</v>
      </c>
      <c r="I1562" s="589">
        <v>0</v>
      </c>
    </row>
    <row r="1563" spans="1:9" ht="15.75" customHeight="1" x14ac:dyDescent="0.2">
      <c r="A1563" s="577"/>
      <c r="B1563" s="577"/>
      <c r="C1563" s="576"/>
      <c r="D1563" s="607">
        <v>47052</v>
      </c>
      <c r="E1563" s="576" t="s">
        <v>720</v>
      </c>
      <c r="F1563" s="576">
        <v>62500000</v>
      </c>
      <c r="G1563" s="588">
        <v>0</v>
      </c>
      <c r="H1563" s="576">
        <v>0</v>
      </c>
      <c r="I1563" s="589">
        <v>0</v>
      </c>
    </row>
    <row r="1564" spans="1:9" ht="15.75" customHeight="1" x14ac:dyDescent="0.2">
      <c r="A1564" s="577"/>
      <c r="B1564" s="577"/>
      <c r="C1564" s="576"/>
      <c r="D1564" s="607">
        <v>47053</v>
      </c>
      <c r="E1564" s="576" t="s">
        <v>719</v>
      </c>
      <c r="F1564" s="576">
        <v>62500000</v>
      </c>
      <c r="G1564" s="588">
        <v>0</v>
      </c>
      <c r="H1564" s="576">
        <v>0</v>
      </c>
      <c r="I1564" s="589">
        <v>0</v>
      </c>
    </row>
    <row r="1565" spans="1:9" ht="15.75" customHeight="1" x14ac:dyDescent="0.2">
      <c r="A1565" s="577"/>
      <c r="B1565" s="577"/>
      <c r="C1565" s="576"/>
      <c r="D1565" s="607">
        <v>47054</v>
      </c>
      <c r="E1565" s="576" t="s">
        <v>718</v>
      </c>
      <c r="F1565" s="576">
        <v>62500000</v>
      </c>
      <c r="G1565" s="588">
        <v>0</v>
      </c>
      <c r="H1565" s="576">
        <v>0</v>
      </c>
      <c r="I1565" s="589">
        <v>0</v>
      </c>
    </row>
    <row r="1566" spans="1:9" ht="15.75" customHeight="1" x14ac:dyDescent="0.2">
      <c r="A1566" s="577"/>
      <c r="B1566" s="577"/>
      <c r="C1566" s="576"/>
      <c r="D1566" s="607">
        <v>47055</v>
      </c>
      <c r="E1566" s="576" t="s">
        <v>717</v>
      </c>
      <c r="F1566" s="576">
        <v>62500000</v>
      </c>
      <c r="G1566" s="588">
        <v>0</v>
      </c>
      <c r="H1566" s="576">
        <v>0</v>
      </c>
      <c r="I1566" s="589">
        <v>0</v>
      </c>
    </row>
    <row r="1567" spans="1:9" ht="15.75" customHeight="1" x14ac:dyDescent="0.2">
      <c r="A1567" s="577"/>
      <c r="B1567" s="577"/>
      <c r="C1567" s="576"/>
      <c r="D1567" s="607">
        <v>47056</v>
      </c>
      <c r="E1567" s="576" t="s">
        <v>716</v>
      </c>
      <c r="F1567" s="576">
        <v>62500000</v>
      </c>
      <c r="G1567" s="588">
        <v>0</v>
      </c>
      <c r="H1567" s="576">
        <v>0</v>
      </c>
      <c r="I1567" s="589">
        <v>0</v>
      </c>
    </row>
    <row r="1568" spans="1:9" ht="15.75" customHeight="1" x14ac:dyDescent="0.2">
      <c r="A1568" s="577"/>
      <c r="B1568" s="577"/>
      <c r="C1568" s="576"/>
      <c r="D1568" s="607">
        <v>47057</v>
      </c>
      <c r="E1568" s="576" t="s">
        <v>715</v>
      </c>
      <c r="F1568" s="576">
        <v>62500000</v>
      </c>
      <c r="G1568" s="588">
        <v>0</v>
      </c>
      <c r="H1568" s="576">
        <v>0</v>
      </c>
      <c r="I1568" s="589">
        <v>0</v>
      </c>
    </row>
    <row r="1569" spans="1:9" ht="15.75" customHeight="1" x14ac:dyDescent="0.2">
      <c r="A1569" s="577"/>
      <c r="B1569" s="577"/>
      <c r="C1569" s="576"/>
      <c r="D1569" s="607">
        <v>47058</v>
      </c>
      <c r="E1569" s="576" t="s">
        <v>721</v>
      </c>
      <c r="F1569" s="576">
        <v>62500000</v>
      </c>
      <c r="G1569" s="588">
        <v>0</v>
      </c>
      <c r="H1569" s="576">
        <v>0</v>
      </c>
      <c r="I1569" s="589">
        <v>0</v>
      </c>
    </row>
    <row r="1570" spans="1:9" ht="15.75" customHeight="1" x14ac:dyDescent="0.2">
      <c r="A1570" s="577"/>
      <c r="B1570" s="577"/>
      <c r="C1570" s="576"/>
      <c r="D1570" s="607">
        <v>47059</v>
      </c>
      <c r="E1570" s="576" t="s">
        <v>720</v>
      </c>
      <c r="F1570" s="576">
        <v>62500000</v>
      </c>
      <c r="G1570" s="588">
        <v>0</v>
      </c>
      <c r="H1570" s="576">
        <v>0</v>
      </c>
      <c r="I1570" s="589">
        <v>0</v>
      </c>
    </row>
    <row r="1571" spans="1:9" ht="15.75" customHeight="1" x14ac:dyDescent="0.2">
      <c r="A1571" s="577"/>
      <c r="B1571" s="577"/>
      <c r="C1571" s="576"/>
      <c r="D1571" s="607">
        <v>47060</v>
      </c>
      <c r="E1571" s="576" t="s">
        <v>719</v>
      </c>
      <c r="F1571" s="576">
        <v>62500000</v>
      </c>
      <c r="G1571" s="588">
        <v>0</v>
      </c>
      <c r="H1571" s="576">
        <v>0</v>
      </c>
      <c r="I1571" s="589">
        <v>0</v>
      </c>
    </row>
    <row r="1572" spans="1:9" ht="15.75" customHeight="1" x14ac:dyDescent="0.2">
      <c r="A1572" s="577"/>
      <c r="B1572" s="577"/>
      <c r="C1572" s="576"/>
      <c r="D1572" s="607">
        <v>47061</v>
      </c>
      <c r="E1572" s="576" t="s">
        <v>718</v>
      </c>
      <c r="F1572" s="576">
        <v>62500000</v>
      </c>
      <c r="G1572" s="588">
        <v>0</v>
      </c>
      <c r="H1572" s="576">
        <v>0</v>
      </c>
      <c r="I1572" s="589">
        <v>0</v>
      </c>
    </row>
    <row r="1573" spans="1:9" ht="15.75" customHeight="1" x14ac:dyDescent="0.2">
      <c r="A1573" s="577"/>
      <c r="B1573" s="577"/>
      <c r="C1573" s="576"/>
      <c r="D1573" s="607">
        <v>47062</v>
      </c>
      <c r="E1573" s="576" t="s">
        <v>717</v>
      </c>
      <c r="F1573" s="576">
        <v>62500000</v>
      </c>
      <c r="G1573" s="588">
        <v>0</v>
      </c>
      <c r="H1573" s="576">
        <v>0</v>
      </c>
      <c r="I1573" s="589">
        <v>0</v>
      </c>
    </row>
    <row r="1574" spans="1:9" ht="15.75" customHeight="1" x14ac:dyDescent="0.2">
      <c r="A1574" s="577"/>
      <c r="B1574" s="577"/>
      <c r="C1574" s="576"/>
      <c r="D1574" s="607">
        <v>47063</v>
      </c>
      <c r="E1574" s="576" t="s">
        <v>716</v>
      </c>
      <c r="F1574" s="576">
        <v>62500000</v>
      </c>
      <c r="G1574" s="588">
        <v>0</v>
      </c>
      <c r="H1574" s="576">
        <v>0</v>
      </c>
      <c r="I1574" s="589">
        <v>0</v>
      </c>
    </row>
    <row r="1575" spans="1:9" ht="15.75" customHeight="1" x14ac:dyDescent="0.2">
      <c r="A1575" s="577"/>
      <c r="B1575" s="577"/>
      <c r="C1575" s="576"/>
      <c r="D1575" s="607">
        <v>47064</v>
      </c>
      <c r="E1575" s="576" t="s">
        <v>715</v>
      </c>
      <c r="F1575" s="576">
        <v>62500000</v>
      </c>
      <c r="G1575" s="588">
        <v>0</v>
      </c>
      <c r="H1575" s="576">
        <v>0</v>
      </c>
      <c r="I1575" s="589">
        <v>0</v>
      </c>
    </row>
    <row r="1576" spans="1:9" ht="15.75" customHeight="1" x14ac:dyDescent="0.2">
      <c r="A1576" s="577"/>
      <c r="B1576" s="577"/>
      <c r="C1576" s="576"/>
      <c r="D1576" s="607">
        <v>47065</v>
      </c>
      <c r="E1576" s="576" t="s">
        <v>721</v>
      </c>
      <c r="F1576" s="576">
        <v>62500000</v>
      </c>
      <c r="G1576" s="588">
        <v>0</v>
      </c>
      <c r="H1576" s="576">
        <v>0</v>
      </c>
      <c r="I1576" s="589">
        <v>0</v>
      </c>
    </row>
    <row r="1577" spans="1:9" ht="15.75" customHeight="1" x14ac:dyDescent="0.2">
      <c r="A1577" s="577"/>
      <c r="B1577" s="577"/>
      <c r="C1577" s="576"/>
      <c r="D1577" s="607">
        <v>47066</v>
      </c>
      <c r="E1577" s="576" t="s">
        <v>720</v>
      </c>
      <c r="F1577" s="576">
        <v>62500000</v>
      </c>
      <c r="G1577" s="588">
        <v>0</v>
      </c>
      <c r="H1577" s="576">
        <v>0</v>
      </c>
      <c r="I1577" s="589">
        <v>0</v>
      </c>
    </row>
    <row r="1578" spans="1:9" ht="15.75" customHeight="1" x14ac:dyDescent="0.2">
      <c r="A1578" s="577"/>
      <c r="B1578" s="577"/>
      <c r="C1578" s="576"/>
      <c r="D1578" s="607">
        <v>47067</v>
      </c>
      <c r="E1578" s="576" t="s">
        <v>719</v>
      </c>
      <c r="F1578" s="576">
        <v>62500000</v>
      </c>
      <c r="G1578" s="588">
        <v>0</v>
      </c>
      <c r="H1578" s="576">
        <v>0</v>
      </c>
      <c r="I1578" s="589">
        <v>0</v>
      </c>
    </row>
    <row r="1579" spans="1:9" ht="15.75" customHeight="1" x14ac:dyDescent="0.2">
      <c r="A1579" s="577"/>
      <c r="B1579" s="577"/>
      <c r="C1579" s="576"/>
      <c r="D1579" s="607">
        <v>47068</v>
      </c>
      <c r="E1579" s="576" t="s">
        <v>718</v>
      </c>
      <c r="F1579" s="576">
        <v>62500000</v>
      </c>
      <c r="G1579" s="588">
        <v>0</v>
      </c>
      <c r="H1579" s="576">
        <v>0</v>
      </c>
      <c r="I1579" s="589">
        <v>0</v>
      </c>
    </row>
    <row r="1580" spans="1:9" ht="15.75" customHeight="1" x14ac:dyDescent="0.2">
      <c r="A1580" s="577"/>
      <c r="B1580" s="577"/>
      <c r="C1580" s="576"/>
      <c r="D1580" s="607">
        <v>47069</v>
      </c>
      <c r="E1580" s="576" t="s">
        <v>717</v>
      </c>
      <c r="F1580" s="576">
        <v>62500000</v>
      </c>
      <c r="G1580" s="588">
        <v>0</v>
      </c>
      <c r="H1580" s="576">
        <v>0</v>
      </c>
      <c r="I1580" s="589">
        <v>0</v>
      </c>
    </row>
    <row r="1581" spans="1:9" ht="15.75" customHeight="1" x14ac:dyDescent="0.2">
      <c r="A1581" s="577"/>
      <c r="B1581" s="577"/>
      <c r="C1581" s="576"/>
      <c r="D1581" s="607">
        <v>47070</v>
      </c>
      <c r="E1581" s="576" t="s">
        <v>716</v>
      </c>
      <c r="F1581" s="576">
        <v>62500000</v>
      </c>
      <c r="G1581" s="588">
        <v>0</v>
      </c>
      <c r="H1581" s="576">
        <v>0</v>
      </c>
      <c r="I1581" s="589">
        <v>0</v>
      </c>
    </row>
    <row r="1582" spans="1:9" ht="15.75" customHeight="1" x14ac:dyDescent="0.2">
      <c r="A1582" s="577"/>
      <c r="B1582" s="577"/>
      <c r="C1582" s="576"/>
      <c r="D1582" s="607">
        <v>47071</v>
      </c>
      <c r="E1582" s="576" t="s">
        <v>715</v>
      </c>
      <c r="F1582" s="576">
        <v>62500000</v>
      </c>
      <c r="G1582" s="588">
        <v>0</v>
      </c>
      <c r="H1582" s="576">
        <v>0</v>
      </c>
      <c r="I1582" s="589">
        <v>0</v>
      </c>
    </row>
    <row r="1583" spans="1:9" ht="15.75" customHeight="1" x14ac:dyDescent="0.2">
      <c r="A1583" s="577"/>
      <c r="B1583" s="577"/>
      <c r="C1583" s="576"/>
      <c r="D1583" s="607">
        <v>47072</v>
      </c>
      <c r="E1583" s="576" t="s">
        <v>721</v>
      </c>
      <c r="F1583" s="576">
        <v>62500000</v>
      </c>
      <c r="G1583" s="588">
        <v>0</v>
      </c>
      <c r="H1583" s="576">
        <v>0</v>
      </c>
      <c r="I1583" s="589">
        <v>0</v>
      </c>
    </row>
    <row r="1584" spans="1:9" ht="15.75" customHeight="1" x14ac:dyDescent="0.2">
      <c r="A1584" s="577"/>
      <c r="B1584" s="577"/>
      <c r="C1584" s="576"/>
      <c r="D1584" s="607">
        <v>47073</v>
      </c>
      <c r="E1584" s="576" t="s">
        <v>720</v>
      </c>
      <c r="F1584" s="576">
        <v>62500000</v>
      </c>
      <c r="G1584" s="588">
        <v>0</v>
      </c>
      <c r="H1584" s="576">
        <v>0</v>
      </c>
      <c r="I1584" s="589">
        <v>0</v>
      </c>
    </row>
    <row r="1585" spans="1:9" ht="15.75" customHeight="1" x14ac:dyDescent="0.2">
      <c r="A1585" s="577"/>
      <c r="B1585" s="577"/>
      <c r="C1585" s="576"/>
      <c r="D1585" s="607">
        <v>47074</v>
      </c>
      <c r="E1585" s="576" t="s">
        <v>719</v>
      </c>
      <c r="F1585" s="576">
        <v>62500000</v>
      </c>
      <c r="G1585" s="588">
        <v>0</v>
      </c>
      <c r="H1585" s="576">
        <v>0</v>
      </c>
      <c r="I1585" s="589">
        <v>0</v>
      </c>
    </row>
    <row r="1586" spans="1:9" ht="15.75" customHeight="1" x14ac:dyDescent="0.2">
      <c r="A1586" s="577"/>
      <c r="B1586" s="577"/>
      <c r="C1586" s="576"/>
      <c r="D1586" s="607">
        <v>47075</v>
      </c>
      <c r="E1586" s="576" t="s">
        <v>718</v>
      </c>
      <c r="F1586" s="576">
        <v>62500000</v>
      </c>
      <c r="G1586" s="588">
        <v>0</v>
      </c>
      <c r="H1586" s="576">
        <v>0</v>
      </c>
      <c r="I1586" s="589">
        <v>0</v>
      </c>
    </row>
    <row r="1587" spans="1:9" ht="15.75" customHeight="1" x14ac:dyDescent="0.2">
      <c r="A1587" s="577"/>
      <c r="B1587" s="577"/>
      <c r="C1587" s="576"/>
      <c r="D1587" s="607">
        <v>47076</v>
      </c>
      <c r="E1587" s="576" t="s">
        <v>717</v>
      </c>
      <c r="F1587" s="576">
        <v>62500000</v>
      </c>
      <c r="G1587" s="588">
        <v>0</v>
      </c>
      <c r="H1587" s="576">
        <v>0</v>
      </c>
      <c r="I1587" s="589">
        <v>0</v>
      </c>
    </row>
    <row r="1588" spans="1:9" ht="15.75" customHeight="1" x14ac:dyDescent="0.2">
      <c r="A1588" s="577"/>
      <c r="B1588" s="577"/>
      <c r="C1588" s="576"/>
      <c r="D1588" s="607">
        <v>47077</v>
      </c>
      <c r="E1588" s="576" t="s">
        <v>716</v>
      </c>
      <c r="F1588" s="576">
        <v>62500000</v>
      </c>
      <c r="G1588" s="588">
        <v>0</v>
      </c>
      <c r="H1588" s="576">
        <v>0</v>
      </c>
      <c r="I1588" s="589">
        <v>0</v>
      </c>
    </row>
    <row r="1589" spans="1:9" ht="15.75" customHeight="1" x14ac:dyDescent="0.2">
      <c r="A1589" s="577"/>
      <c r="B1589" s="577"/>
      <c r="C1589" s="576"/>
      <c r="D1589" s="607">
        <v>47078</v>
      </c>
      <c r="E1589" s="576" t="s">
        <v>715</v>
      </c>
      <c r="F1589" s="576">
        <v>62500000</v>
      </c>
      <c r="G1589" s="588">
        <v>0</v>
      </c>
      <c r="H1589" s="576">
        <v>0</v>
      </c>
      <c r="I1589" s="589">
        <v>0</v>
      </c>
    </row>
    <row r="1590" spans="1:9" ht="15.75" customHeight="1" x14ac:dyDescent="0.2">
      <c r="A1590" s="577"/>
      <c r="B1590" s="577"/>
      <c r="C1590" s="576"/>
      <c r="D1590" s="607">
        <v>47079</v>
      </c>
      <c r="E1590" s="576" t="s">
        <v>721</v>
      </c>
      <c r="F1590" s="576">
        <v>62500000</v>
      </c>
      <c r="G1590" s="588">
        <v>0</v>
      </c>
      <c r="H1590" s="576">
        <v>0</v>
      </c>
      <c r="I1590" s="589">
        <v>0</v>
      </c>
    </row>
    <row r="1591" spans="1:9" ht="15.75" customHeight="1" x14ac:dyDescent="0.2">
      <c r="A1591" s="577"/>
      <c r="B1591" s="577"/>
      <c r="C1591" s="576"/>
      <c r="D1591" s="607">
        <v>47080</v>
      </c>
      <c r="E1591" s="576" t="s">
        <v>720</v>
      </c>
      <c r="F1591" s="576">
        <v>62500000</v>
      </c>
      <c r="G1591" s="588">
        <v>0</v>
      </c>
      <c r="H1591" s="576">
        <v>0</v>
      </c>
      <c r="I1591" s="589">
        <v>0</v>
      </c>
    </row>
    <row r="1592" spans="1:9" ht="15.75" customHeight="1" x14ac:dyDescent="0.2">
      <c r="A1592" s="577"/>
      <c r="B1592" s="577"/>
      <c r="C1592" s="576"/>
      <c r="D1592" s="607">
        <v>47081</v>
      </c>
      <c r="E1592" s="576" t="s">
        <v>719</v>
      </c>
      <c r="F1592" s="576">
        <v>62500000</v>
      </c>
      <c r="G1592" s="588">
        <v>0</v>
      </c>
      <c r="H1592" s="576">
        <v>0</v>
      </c>
      <c r="I1592" s="589">
        <v>0</v>
      </c>
    </row>
    <row r="1593" spans="1:9" ht="15.75" customHeight="1" x14ac:dyDescent="0.2">
      <c r="A1593" s="577"/>
      <c r="B1593" s="577"/>
      <c r="C1593" s="576"/>
      <c r="D1593" s="607">
        <v>47082</v>
      </c>
      <c r="E1593" s="576" t="s">
        <v>718</v>
      </c>
      <c r="F1593" s="576">
        <v>62500000</v>
      </c>
      <c r="G1593" s="588">
        <v>0</v>
      </c>
      <c r="H1593" s="576">
        <v>0</v>
      </c>
      <c r="I1593" s="589">
        <v>0</v>
      </c>
    </row>
    <row r="1594" spans="1:9" ht="15.75" customHeight="1" x14ac:dyDescent="0.2">
      <c r="A1594" s="577"/>
      <c r="B1594" s="577"/>
      <c r="C1594" s="576"/>
      <c r="D1594" s="607">
        <v>47083</v>
      </c>
      <c r="E1594" s="576" t="s">
        <v>717</v>
      </c>
      <c r="F1594" s="576">
        <v>62500000</v>
      </c>
      <c r="G1594" s="588">
        <v>0</v>
      </c>
      <c r="H1594" s="576">
        <v>0</v>
      </c>
      <c r="I1594" s="589">
        <v>0</v>
      </c>
    </row>
    <row r="1595" spans="1:9" ht="15.75" customHeight="1" x14ac:dyDescent="0.2">
      <c r="A1595" s="577"/>
      <c r="B1595" s="577"/>
      <c r="C1595" s="576"/>
      <c r="D1595" s="607">
        <v>47084</v>
      </c>
      <c r="E1595" s="576" t="s">
        <v>716</v>
      </c>
      <c r="F1595" s="576">
        <v>62500000</v>
      </c>
      <c r="G1595" s="588">
        <v>0</v>
      </c>
      <c r="H1595" s="576">
        <v>0</v>
      </c>
      <c r="I1595" s="589">
        <v>0</v>
      </c>
    </row>
    <row r="1596" spans="1:9" ht="15.75" customHeight="1" x14ac:dyDescent="0.2">
      <c r="A1596" s="577"/>
      <c r="B1596" s="577"/>
      <c r="C1596" s="576"/>
      <c r="D1596" s="607">
        <v>47085</v>
      </c>
      <c r="E1596" s="576" t="s">
        <v>715</v>
      </c>
      <c r="F1596" s="576">
        <v>62500000</v>
      </c>
      <c r="G1596" s="588">
        <v>0</v>
      </c>
      <c r="H1596" s="576">
        <v>0</v>
      </c>
      <c r="I1596" s="589">
        <v>0</v>
      </c>
    </row>
    <row r="1597" spans="1:9" ht="15.75" customHeight="1" x14ac:dyDescent="0.2">
      <c r="A1597" s="577"/>
      <c r="B1597" s="577"/>
      <c r="C1597" s="576"/>
      <c r="D1597" s="607">
        <v>47086</v>
      </c>
      <c r="E1597" s="576" t="s">
        <v>721</v>
      </c>
      <c r="F1597" s="576">
        <v>62500000</v>
      </c>
      <c r="G1597" s="588">
        <v>0</v>
      </c>
      <c r="H1597" s="576">
        <v>0</v>
      </c>
      <c r="I1597" s="589">
        <v>0</v>
      </c>
    </row>
    <row r="1598" spans="1:9" ht="15.75" customHeight="1" x14ac:dyDescent="0.2">
      <c r="A1598" s="577"/>
      <c r="B1598" s="577"/>
      <c r="C1598" s="576"/>
      <c r="D1598" s="607">
        <v>47087</v>
      </c>
      <c r="E1598" s="576" t="s">
        <v>720</v>
      </c>
      <c r="F1598" s="576">
        <v>62500000</v>
      </c>
      <c r="G1598" s="588">
        <v>0</v>
      </c>
      <c r="H1598" s="576">
        <v>0</v>
      </c>
      <c r="I1598" s="589">
        <v>0</v>
      </c>
    </row>
    <row r="1599" spans="1:9" ht="15.75" customHeight="1" x14ac:dyDescent="0.2">
      <c r="A1599" s="577"/>
      <c r="B1599" s="577"/>
      <c r="C1599" s="576"/>
      <c r="D1599" s="607">
        <v>47088</v>
      </c>
      <c r="E1599" s="576" t="s">
        <v>719</v>
      </c>
      <c r="F1599" s="576">
        <v>62500000</v>
      </c>
      <c r="G1599" s="588">
        <v>0</v>
      </c>
      <c r="H1599" s="576">
        <v>0</v>
      </c>
      <c r="I1599" s="589">
        <v>0</v>
      </c>
    </row>
    <row r="1600" spans="1:9" ht="15.75" customHeight="1" x14ac:dyDescent="0.2">
      <c r="A1600" s="577"/>
      <c r="B1600" s="577"/>
      <c r="C1600" s="576"/>
      <c r="D1600" s="607">
        <v>47089</v>
      </c>
      <c r="E1600" s="576" t="s">
        <v>718</v>
      </c>
      <c r="F1600" s="576">
        <v>62500000</v>
      </c>
      <c r="G1600" s="588">
        <v>0</v>
      </c>
      <c r="H1600" s="576">
        <v>0</v>
      </c>
      <c r="I1600" s="589">
        <v>0</v>
      </c>
    </row>
    <row r="1601" spans="1:9" ht="15.75" customHeight="1" x14ac:dyDescent="0.2">
      <c r="A1601" s="577"/>
      <c r="B1601" s="577"/>
      <c r="C1601" s="576"/>
      <c r="D1601" s="607">
        <v>47090</v>
      </c>
      <c r="E1601" s="576" t="s">
        <v>717</v>
      </c>
      <c r="F1601" s="576">
        <v>62500000</v>
      </c>
      <c r="G1601" s="588">
        <v>0</v>
      </c>
      <c r="H1601" s="576">
        <v>0</v>
      </c>
      <c r="I1601" s="589">
        <v>0</v>
      </c>
    </row>
    <row r="1602" spans="1:9" ht="15.75" customHeight="1" x14ac:dyDescent="0.2">
      <c r="A1602" s="577"/>
      <c r="B1602" s="577"/>
      <c r="C1602" s="576"/>
      <c r="D1602" s="607">
        <v>47091</v>
      </c>
      <c r="E1602" s="576" t="s">
        <v>716</v>
      </c>
      <c r="F1602" s="576">
        <v>62500000</v>
      </c>
      <c r="G1602" s="588">
        <v>0</v>
      </c>
      <c r="H1602" s="576">
        <v>0</v>
      </c>
      <c r="I1602" s="589">
        <v>0</v>
      </c>
    </row>
    <row r="1603" spans="1:9" ht="15.75" customHeight="1" x14ac:dyDescent="0.2">
      <c r="A1603" s="577"/>
      <c r="B1603" s="577"/>
      <c r="C1603" s="576"/>
      <c r="D1603" s="607">
        <v>47092</v>
      </c>
      <c r="E1603" s="576" t="s">
        <v>715</v>
      </c>
      <c r="F1603" s="576">
        <v>62500000</v>
      </c>
      <c r="G1603" s="588">
        <v>0</v>
      </c>
      <c r="H1603" s="576">
        <v>0</v>
      </c>
      <c r="I1603" s="589">
        <v>0</v>
      </c>
    </row>
    <row r="1604" spans="1:9" ht="15.75" customHeight="1" x14ac:dyDescent="0.2">
      <c r="A1604" s="577"/>
      <c r="B1604" s="577"/>
      <c r="C1604" s="576"/>
      <c r="D1604" s="607">
        <v>47093</v>
      </c>
      <c r="E1604" s="576" t="s">
        <v>721</v>
      </c>
      <c r="F1604" s="576">
        <v>62500000</v>
      </c>
      <c r="G1604" s="588">
        <v>0</v>
      </c>
      <c r="H1604" s="576">
        <v>0</v>
      </c>
      <c r="I1604" s="589">
        <v>0</v>
      </c>
    </row>
    <row r="1605" spans="1:9" ht="15.75" customHeight="1" x14ac:dyDescent="0.2">
      <c r="A1605" s="577"/>
      <c r="B1605" s="577"/>
      <c r="C1605" s="576"/>
      <c r="D1605" s="607">
        <v>47094</v>
      </c>
      <c r="E1605" s="576" t="s">
        <v>720</v>
      </c>
      <c r="F1605" s="576">
        <v>62500000</v>
      </c>
      <c r="G1605" s="588">
        <v>0</v>
      </c>
      <c r="H1605" s="576">
        <v>0</v>
      </c>
      <c r="I1605" s="589">
        <v>0</v>
      </c>
    </row>
    <row r="1606" spans="1:9" ht="15.75" customHeight="1" x14ac:dyDescent="0.2">
      <c r="A1606" s="577"/>
      <c r="B1606" s="577"/>
      <c r="C1606" s="576"/>
      <c r="D1606" s="607">
        <v>47095</v>
      </c>
      <c r="E1606" s="576" t="s">
        <v>719</v>
      </c>
      <c r="F1606" s="576">
        <v>62500000</v>
      </c>
      <c r="G1606" s="588">
        <v>0</v>
      </c>
      <c r="H1606" s="576">
        <v>0</v>
      </c>
      <c r="I1606" s="589">
        <v>0</v>
      </c>
    </row>
    <row r="1607" spans="1:9" ht="15.75" customHeight="1" x14ac:dyDescent="0.2">
      <c r="A1607" s="577"/>
      <c r="B1607" s="577"/>
      <c r="C1607" s="576"/>
      <c r="D1607" s="607">
        <v>47096</v>
      </c>
      <c r="E1607" s="576" t="s">
        <v>718</v>
      </c>
      <c r="F1607" s="576">
        <v>62500000</v>
      </c>
      <c r="G1607" s="588">
        <v>0</v>
      </c>
      <c r="H1607" s="576">
        <v>0</v>
      </c>
      <c r="I1607" s="589">
        <v>0</v>
      </c>
    </row>
    <row r="1608" spans="1:9" ht="15.75" customHeight="1" x14ac:dyDescent="0.2">
      <c r="A1608" s="577"/>
      <c r="B1608" s="577"/>
      <c r="C1608" s="576"/>
      <c r="D1608" s="607">
        <v>47097</v>
      </c>
      <c r="E1608" s="576" t="s">
        <v>717</v>
      </c>
      <c r="F1608" s="576">
        <v>62500000</v>
      </c>
      <c r="G1608" s="588">
        <v>0</v>
      </c>
      <c r="H1608" s="576">
        <v>0</v>
      </c>
      <c r="I1608" s="589">
        <v>0</v>
      </c>
    </row>
    <row r="1609" spans="1:9" ht="15.75" customHeight="1" x14ac:dyDescent="0.2">
      <c r="A1609" s="577"/>
      <c r="B1609" s="577"/>
      <c r="C1609" s="576"/>
      <c r="D1609" s="607">
        <v>47098</v>
      </c>
      <c r="E1609" s="576" t="s">
        <v>716</v>
      </c>
      <c r="F1609" s="576">
        <v>62500000</v>
      </c>
      <c r="G1609" s="588">
        <v>0</v>
      </c>
      <c r="H1609" s="576">
        <v>0</v>
      </c>
      <c r="I1609" s="589">
        <v>0</v>
      </c>
    </row>
    <row r="1610" spans="1:9" ht="15.75" customHeight="1" x14ac:dyDescent="0.2">
      <c r="A1610" s="577"/>
      <c r="B1610" s="577"/>
      <c r="C1610" s="576"/>
      <c r="D1610" s="607">
        <v>47099</v>
      </c>
      <c r="E1610" s="576" t="s">
        <v>715</v>
      </c>
      <c r="F1610" s="576">
        <v>62500000</v>
      </c>
      <c r="G1610" s="588">
        <v>0</v>
      </c>
      <c r="H1610" s="576">
        <v>0</v>
      </c>
      <c r="I1610" s="589">
        <v>0</v>
      </c>
    </row>
    <row r="1611" spans="1:9" ht="15.75" customHeight="1" x14ac:dyDescent="0.2">
      <c r="A1611" s="577"/>
      <c r="B1611" s="577"/>
      <c r="C1611" s="576"/>
      <c r="D1611" s="607">
        <v>47100</v>
      </c>
      <c r="E1611" s="576" t="s">
        <v>721</v>
      </c>
      <c r="F1611" s="576">
        <v>62500000</v>
      </c>
      <c r="G1611" s="588">
        <v>0</v>
      </c>
      <c r="H1611" s="576">
        <v>0</v>
      </c>
      <c r="I1611" s="589">
        <v>0</v>
      </c>
    </row>
    <row r="1612" spans="1:9" ht="15.75" customHeight="1" x14ac:dyDescent="0.2">
      <c r="A1612" s="577"/>
      <c r="B1612" s="577"/>
      <c r="C1612" s="576"/>
      <c r="D1612" s="607">
        <v>47101</v>
      </c>
      <c r="E1612" s="576" t="s">
        <v>720</v>
      </c>
      <c r="F1612" s="576">
        <v>62500000</v>
      </c>
      <c r="G1612" s="588">
        <v>0</v>
      </c>
      <c r="H1612" s="576">
        <v>0</v>
      </c>
      <c r="I1612" s="589">
        <v>0</v>
      </c>
    </row>
    <row r="1613" spans="1:9" ht="15.75" customHeight="1" x14ac:dyDescent="0.2">
      <c r="A1613" s="577"/>
      <c r="B1613" s="577"/>
      <c r="C1613" s="576"/>
      <c r="D1613" s="607">
        <v>47102</v>
      </c>
      <c r="E1613" s="576" t="s">
        <v>719</v>
      </c>
      <c r="F1613" s="576">
        <v>62500000</v>
      </c>
      <c r="G1613" s="588">
        <v>0</v>
      </c>
      <c r="H1613" s="576">
        <v>0</v>
      </c>
      <c r="I1613" s="589">
        <v>0</v>
      </c>
    </row>
    <row r="1614" spans="1:9" ht="15.75" customHeight="1" x14ac:dyDescent="0.2">
      <c r="A1614" s="577"/>
      <c r="B1614" s="577"/>
      <c r="C1614" s="576"/>
      <c r="D1614" s="607">
        <v>47103</v>
      </c>
      <c r="E1614" s="576" t="s">
        <v>718</v>
      </c>
      <c r="F1614" s="576">
        <v>62500000</v>
      </c>
      <c r="G1614" s="588">
        <v>0</v>
      </c>
      <c r="H1614" s="576">
        <v>0</v>
      </c>
      <c r="I1614" s="589">
        <v>0</v>
      </c>
    </row>
    <row r="1615" spans="1:9" ht="15.75" customHeight="1" x14ac:dyDescent="0.2">
      <c r="A1615" s="577"/>
      <c r="B1615" s="577"/>
      <c r="C1615" s="576"/>
      <c r="D1615" s="607">
        <v>47104</v>
      </c>
      <c r="E1615" s="576" t="s">
        <v>717</v>
      </c>
      <c r="F1615" s="576">
        <v>62500000</v>
      </c>
      <c r="G1615" s="588">
        <v>0</v>
      </c>
      <c r="H1615" s="576">
        <v>0</v>
      </c>
      <c r="I1615" s="589">
        <v>0</v>
      </c>
    </row>
    <row r="1616" spans="1:9" ht="15.75" customHeight="1" x14ac:dyDescent="0.2">
      <c r="A1616" s="577"/>
      <c r="B1616" s="577"/>
      <c r="C1616" s="576"/>
      <c r="D1616" s="607">
        <v>47105</v>
      </c>
      <c r="E1616" s="576" t="s">
        <v>716</v>
      </c>
      <c r="F1616" s="576">
        <v>62500000</v>
      </c>
      <c r="G1616" s="588">
        <v>0</v>
      </c>
      <c r="H1616" s="576">
        <v>0</v>
      </c>
      <c r="I1616" s="589">
        <v>0</v>
      </c>
    </row>
    <row r="1617" spans="1:9" ht="15.75" customHeight="1" x14ac:dyDescent="0.2">
      <c r="A1617" s="577"/>
      <c r="B1617" s="577"/>
      <c r="C1617" s="576"/>
      <c r="D1617" s="607">
        <v>47106</v>
      </c>
      <c r="E1617" s="576" t="s">
        <v>715</v>
      </c>
      <c r="F1617" s="576">
        <v>62500000</v>
      </c>
      <c r="G1617" s="588">
        <v>0</v>
      </c>
      <c r="H1617" s="576">
        <v>0</v>
      </c>
      <c r="I1617" s="589">
        <v>0</v>
      </c>
    </row>
    <row r="1618" spans="1:9" ht="15.75" customHeight="1" x14ac:dyDescent="0.2">
      <c r="A1618" s="577"/>
      <c r="B1618" s="577"/>
      <c r="C1618" s="576"/>
      <c r="D1618" s="607">
        <v>47107</v>
      </c>
      <c r="E1618" s="576" t="s">
        <v>721</v>
      </c>
      <c r="F1618" s="576">
        <v>62500000</v>
      </c>
      <c r="G1618" s="588">
        <v>0</v>
      </c>
      <c r="H1618" s="576">
        <v>0</v>
      </c>
      <c r="I1618" s="589">
        <v>0</v>
      </c>
    </row>
    <row r="1619" spans="1:9" ht="15.75" customHeight="1" x14ac:dyDescent="0.2">
      <c r="A1619" s="577"/>
      <c r="B1619" s="577"/>
      <c r="C1619" s="576"/>
      <c r="D1619" s="607">
        <v>47108</v>
      </c>
      <c r="E1619" s="576" t="s">
        <v>720</v>
      </c>
      <c r="F1619" s="576">
        <v>62500000</v>
      </c>
      <c r="G1619" s="588">
        <v>0</v>
      </c>
      <c r="H1619" s="576">
        <v>0</v>
      </c>
      <c r="I1619" s="589">
        <v>0</v>
      </c>
    </row>
    <row r="1620" spans="1:9" ht="15.75" customHeight="1" x14ac:dyDescent="0.2">
      <c r="A1620" s="577"/>
      <c r="B1620" s="577"/>
      <c r="C1620" s="576"/>
      <c r="D1620" s="607">
        <v>47109</v>
      </c>
      <c r="E1620" s="576" t="s">
        <v>719</v>
      </c>
      <c r="F1620" s="576">
        <v>62500000</v>
      </c>
      <c r="G1620" s="588">
        <v>0</v>
      </c>
      <c r="H1620" s="576">
        <v>0</v>
      </c>
      <c r="I1620" s="589">
        <v>0</v>
      </c>
    </row>
    <row r="1621" spans="1:9" ht="15.75" customHeight="1" x14ac:dyDescent="0.2">
      <c r="A1621" s="577"/>
      <c r="B1621" s="577"/>
      <c r="C1621" s="576"/>
      <c r="D1621" s="607">
        <v>47110</v>
      </c>
      <c r="E1621" s="576" t="s">
        <v>718</v>
      </c>
      <c r="F1621" s="576">
        <v>62500000</v>
      </c>
      <c r="G1621" s="588">
        <v>0</v>
      </c>
      <c r="H1621" s="576">
        <v>0</v>
      </c>
      <c r="I1621" s="589">
        <v>0</v>
      </c>
    </row>
    <row r="1622" spans="1:9" ht="15.75" customHeight="1" x14ac:dyDescent="0.2">
      <c r="A1622" s="577"/>
      <c r="B1622" s="577"/>
      <c r="C1622" s="576"/>
      <c r="D1622" s="607">
        <v>47111</v>
      </c>
      <c r="E1622" s="576" t="s">
        <v>717</v>
      </c>
      <c r="F1622" s="576">
        <v>62500000</v>
      </c>
      <c r="G1622" s="588">
        <v>0</v>
      </c>
      <c r="H1622" s="576">
        <v>0</v>
      </c>
      <c r="I1622" s="589">
        <v>0</v>
      </c>
    </row>
    <row r="1623" spans="1:9" ht="15.75" customHeight="1" x14ac:dyDescent="0.2">
      <c r="A1623" s="577"/>
      <c r="B1623" s="577"/>
      <c r="C1623" s="576"/>
      <c r="D1623" s="607">
        <v>47112</v>
      </c>
      <c r="E1623" s="576" t="s">
        <v>716</v>
      </c>
      <c r="F1623" s="576">
        <v>62500000</v>
      </c>
      <c r="G1623" s="588">
        <v>0</v>
      </c>
      <c r="H1623" s="576">
        <v>0</v>
      </c>
      <c r="I1623" s="589">
        <v>0</v>
      </c>
    </row>
    <row r="1624" spans="1:9" ht="15.75" customHeight="1" x14ac:dyDescent="0.2">
      <c r="A1624" s="577"/>
      <c r="B1624" s="577"/>
      <c r="C1624" s="576"/>
      <c r="D1624" s="607">
        <v>47113</v>
      </c>
      <c r="E1624" s="576" t="s">
        <v>715</v>
      </c>
      <c r="F1624" s="576">
        <v>62500000</v>
      </c>
      <c r="G1624" s="588">
        <v>0</v>
      </c>
      <c r="H1624" s="576">
        <v>0</v>
      </c>
      <c r="I1624" s="589">
        <v>0</v>
      </c>
    </row>
    <row r="1625" spans="1:9" ht="15.75" customHeight="1" x14ac:dyDescent="0.2">
      <c r="A1625" s="577"/>
      <c r="B1625" s="577"/>
      <c r="C1625" s="576"/>
      <c r="D1625" s="607">
        <v>47114</v>
      </c>
      <c r="E1625" s="576" t="s">
        <v>721</v>
      </c>
      <c r="F1625" s="576">
        <v>62500000</v>
      </c>
      <c r="G1625" s="588">
        <v>0</v>
      </c>
      <c r="H1625" s="576">
        <v>0</v>
      </c>
      <c r="I1625" s="589">
        <v>0</v>
      </c>
    </row>
    <row r="1626" spans="1:9" ht="15.75" customHeight="1" x14ac:dyDescent="0.2">
      <c r="A1626" s="577"/>
      <c r="B1626" s="577"/>
      <c r="C1626" s="576"/>
      <c r="D1626" s="607">
        <v>47115</v>
      </c>
      <c r="E1626" s="576" t="s">
        <v>720</v>
      </c>
      <c r="F1626" s="576">
        <v>62500000</v>
      </c>
      <c r="G1626" s="588">
        <v>0</v>
      </c>
      <c r="H1626" s="576">
        <v>0</v>
      </c>
      <c r="I1626" s="589">
        <v>0</v>
      </c>
    </row>
    <row r="1627" spans="1:9" ht="15.75" customHeight="1" x14ac:dyDescent="0.2">
      <c r="A1627" s="577"/>
      <c r="B1627" s="577"/>
      <c r="C1627" s="576"/>
      <c r="D1627" s="607">
        <v>47116</v>
      </c>
      <c r="E1627" s="576" t="s">
        <v>719</v>
      </c>
      <c r="F1627" s="576">
        <v>62500000</v>
      </c>
      <c r="G1627" s="588">
        <v>0</v>
      </c>
      <c r="H1627" s="576">
        <v>0</v>
      </c>
      <c r="I1627" s="589">
        <v>0</v>
      </c>
    </row>
    <row r="1628" spans="1:9" ht="15.75" customHeight="1" x14ac:dyDescent="0.2">
      <c r="A1628" s="577"/>
      <c r="B1628" s="577"/>
      <c r="C1628" s="576"/>
      <c r="D1628" s="607">
        <v>47117</v>
      </c>
      <c r="E1628" s="576" t="s">
        <v>718</v>
      </c>
      <c r="F1628" s="576">
        <v>62500000</v>
      </c>
      <c r="G1628" s="588">
        <v>0</v>
      </c>
      <c r="H1628" s="576">
        <v>0</v>
      </c>
      <c r="I1628" s="589">
        <v>0</v>
      </c>
    </row>
    <row r="1629" spans="1:9" ht="15.75" customHeight="1" x14ac:dyDescent="0.2">
      <c r="A1629" s="577"/>
      <c r="B1629" s="577"/>
      <c r="C1629" s="576"/>
      <c r="D1629" s="607">
        <v>47118</v>
      </c>
      <c r="E1629" s="576" t="s">
        <v>717</v>
      </c>
      <c r="F1629" s="576">
        <v>62500000</v>
      </c>
      <c r="G1629" s="588">
        <v>0</v>
      </c>
      <c r="H1629" s="576">
        <v>0</v>
      </c>
      <c r="I1629" s="589">
        <v>0</v>
      </c>
    </row>
    <row r="1630" spans="1:9" ht="15.75" customHeight="1" x14ac:dyDescent="0.2">
      <c r="A1630" s="577"/>
      <c r="B1630" s="577"/>
      <c r="C1630" s="576"/>
      <c r="D1630" s="607">
        <v>47119</v>
      </c>
      <c r="E1630" s="576" t="s">
        <v>716</v>
      </c>
      <c r="F1630" s="576">
        <v>62500000</v>
      </c>
      <c r="G1630" s="588">
        <v>0</v>
      </c>
      <c r="H1630" s="576">
        <v>0</v>
      </c>
      <c r="I1630" s="589">
        <v>0</v>
      </c>
    </row>
    <row r="1631" spans="1:9" ht="15.75" customHeight="1" x14ac:dyDescent="0.2">
      <c r="A1631" s="577"/>
      <c r="B1631" s="577"/>
      <c r="C1631" s="576"/>
      <c r="D1631" s="607">
        <v>47120</v>
      </c>
      <c r="E1631" s="576" t="s">
        <v>715</v>
      </c>
      <c r="F1631" s="576">
        <v>62500000</v>
      </c>
      <c r="G1631" s="588">
        <v>0</v>
      </c>
      <c r="H1631" s="576">
        <v>0</v>
      </c>
      <c r="I1631" s="589">
        <v>0</v>
      </c>
    </row>
    <row r="1632" spans="1:9" ht="15.75" customHeight="1" x14ac:dyDescent="0.2">
      <c r="A1632" s="577"/>
      <c r="B1632" s="577"/>
      <c r="C1632" s="576"/>
      <c r="D1632" s="607">
        <v>47121</v>
      </c>
      <c r="E1632" s="576" t="s">
        <v>721</v>
      </c>
      <c r="F1632" s="576">
        <v>62500000</v>
      </c>
      <c r="G1632" s="588">
        <v>0</v>
      </c>
      <c r="H1632" s="576">
        <v>0</v>
      </c>
      <c r="I1632" s="589">
        <v>0</v>
      </c>
    </row>
    <row r="1633" spans="1:9" ht="15.75" customHeight="1" x14ac:dyDescent="0.2">
      <c r="A1633" s="577"/>
      <c r="B1633" s="577"/>
      <c r="C1633" s="576"/>
      <c r="D1633" s="607">
        <v>47122</v>
      </c>
      <c r="E1633" s="576" t="s">
        <v>720</v>
      </c>
      <c r="F1633" s="576">
        <v>62500000</v>
      </c>
      <c r="G1633" s="588">
        <v>0</v>
      </c>
      <c r="H1633" s="576">
        <v>0</v>
      </c>
      <c r="I1633" s="589">
        <v>0</v>
      </c>
    </row>
    <row r="1634" spans="1:9" ht="15.75" customHeight="1" x14ac:dyDescent="0.2">
      <c r="A1634" s="577"/>
      <c r="B1634" s="577"/>
      <c r="C1634" s="576"/>
      <c r="D1634" s="607">
        <v>47123</v>
      </c>
      <c r="E1634" s="576" t="s">
        <v>719</v>
      </c>
      <c r="F1634" s="576">
        <v>62500000</v>
      </c>
      <c r="G1634" s="588">
        <v>0</v>
      </c>
      <c r="H1634" s="576">
        <v>0</v>
      </c>
      <c r="I1634" s="589">
        <v>0</v>
      </c>
    </row>
    <row r="1635" spans="1:9" ht="15.75" customHeight="1" x14ac:dyDescent="0.2">
      <c r="A1635" s="577"/>
      <c r="B1635" s="577"/>
      <c r="C1635" s="576"/>
      <c r="D1635" s="607">
        <v>47124</v>
      </c>
      <c r="E1635" s="576" t="s">
        <v>718</v>
      </c>
      <c r="F1635" s="576">
        <v>62500000</v>
      </c>
      <c r="G1635" s="588">
        <v>0</v>
      </c>
      <c r="H1635" s="576">
        <v>0</v>
      </c>
      <c r="I1635" s="589">
        <v>0</v>
      </c>
    </row>
    <row r="1636" spans="1:9" ht="15.75" customHeight="1" x14ac:dyDescent="0.2">
      <c r="A1636" s="577"/>
      <c r="B1636" s="577"/>
      <c r="C1636" s="576"/>
      <c r="D1636" s="607">
        <v>47125</v>
      </c>
      <c r="E1636" s="576" t="s">
        <v>717</v>
      </c>
      <c r="F1636" s="576">
        <v>62500000</v>
      </c>
      <c r="G1636" s="588">
        <v>0</v>
      </c>
      <c r="H1636" s="576">
        <v>0</v>
      </c>
      <c r="I1636" s="589">
        <v>0</v>
      </c>
    </row>
    <row r="1637" spans="1:9" ht="15.75" customHeight="1" x14ac:dyDescent="0.2">
      <c r="A1637" s="577"/>
      <c r="B1637" s="577"/>
      <c r="C1637" s="576"/>
      <c r="D1637" s="607">
        <v>47126</v>
      </c>
      <c r="E1637" s="576" t="s">
        <v>716</v>
      </c>
      <c r="F1637" s="576">
        <v>62500000</v>
      </c>
      <c r="G1637" s="588">
        <v>0</v>
      </c>
      <c r="H1637" s="576">
        <v>0</v>
      </c>
      <c r="I1637" s="589">
        <v>0</v>
      </c>
    </row>
    <row r="1638" spans="1:9" ht="15.75" customHeight="1" x14ac:dyDescent="0.2">
      <c r="A1638" s="577"/>
      <c r="B1638" s="577"/>
      <c r="C1638" s="576"/>
      <c r="D1638" s="607">
        <v>47127</v>
      </c>
      <c r="E1638" s="576" t="s">
        <v>715</v>
      </c>
      <c r="F1638" s="576">
        <v>62500000</v>
      </c>
      <c r="G1638" s="588">
        <v>0</v>
      </c>
      <c r="H1638" s="576">
        <v>0</v>
      </c>
      <c r="I1638" s="589">
        <v>0</v>
      </c>
    </row>
    <row r="1639" spans="1:9" ht="15.75" customHeight="1" x14ac:dyDescent="0.2">
      <c r="A1639" s="577"/>
      <c r="B1639" s="577"/>
      <c r="C1639" s="576"/>
      <c r="D1639" s="607">
        <v>47128</v>
      </c>
      <c r="E1639" s="576" t="s">
        <v>721</v>
      </c>
      <c r="F1639" s="576">
        <v>62500000</v>
      </c>
      <c r="G1639" s="588">
        <v>0</v>
      </c>
      <c r="H1639" s="576">
        <v>0</v>
      </c>
      <c r="I1639" s="589">
        <v>0</v>
      </c>
    </row>
    <row r="1640" spans="1:9" ht="15.75" customHeight="1" x14ac:dyDescent="0.2">
      <c r="A1640" s="577"/>
      <c r="B1640" s="577"/>
      <c r="C1640" s="576"/>
      <c r="D1640" s="607">
        <v>47129</v>
      </c>
      <c r="E1640" s="576" t="s">
        <v>720</v>
      </c>
      <c r="F1640" s="576">
        <v>62500000</v>
      </c>
      <c r="G1640" s="588">
        <v>0</v>
      </c>
      <c r="H1640" s="576">
        <v>0</v>
      </c>
      <c r="I1640" s="589">
        <v>0</v>
      </c>
    </row>
    <row r="1641" spans="1:9" ht="15.75" customHeight="1" x14ac:dyDescent="0.2">
      <c r="A1641" s="577"/>
      <c r="B1641" s="577"/>
      <c r="C1641" s="576"/>
      <c r="D1641" s="607">
        <v>47130</v>
      </c>
      <c r="E1641" s="576" t="s">
        <v>719</v>
      </c>
      <c r="F1641" s="576">
        <v>62500000</v>
      </c>
      <c r="G1641" s="588">
        <v>0</v>
      </c>
      <c r="H1641" s="576">
        <v>0</v>
      </c>
      <c r="I1641" s="589">
        <v>0</v>
      </c>
    </row>
    <row r="1642" spans="1:9" ht="15.75" customHeight="1" x14ac:dyDescent="0.2">
      <c r="A1642" s="577"/>
      <c r="B1642" s="577"/>
      <c r="C1642" s="576"/>
      <c r="D1642" s="607">
        <v>47131</v>
      </c>
      <c r="E1642" s="576" t="s">
        <v>718</v>
      </c>
      <c r="F1642" s="576">
        <v>62500000</v>
      </c>
      <c r="G1642" s="588">
        <v>0</v>
      </c>
      <c r="H1642" s="576">
        <v>0</v>
      </c>
      <c r="I1642" s="589">
        <v>0</v>
      </c>
    </row>
    <row r="1643" spans="1:9" ht="15.75" customHeight="1" x14ac:dyDescent="0.2">
      <c r="A1643" s="577"/>
      <c r="B1643" s="577"/>
      <c r="C1643" s="576"/>
      <c r="D1643" s="607">
        <v>47132</v>
      </c>
      <c r="E1643" s="576" t="s">
        <v>717</v>
      </c>
      <c r="F1643" s="576">
        <v>62500000</v>
      </c>
      <c r="G1643" s="588">
        <v>0</v>
      </c>
      <c r="H1643" s="576">
        <v>0</v>
      </c>
      <c r="I1643" s="589">
        <v>0</v>
      </c>
    </row>
    <row r="1644" spans="1:9" ht="15.75" customHeight="1" x14ac:dyDescent="0.2">
      <c r="A1644" s="577"/>
      <c r="B1644" s="577"/>
      <c r="C1644" s="576"/>
      <c r="D1644" s="607">
        <v>47133</v>
      </c>
      <c r="E1644" s="576" t="s">
        <v>716</v>
      </c>
      <c r="F1644" s="576">
        <v>62500000</v>
      </c>
      <c r="G1644" s="588">
        <v>0</v>
      </c>
      <c r="H1644" s="576">
        <v>0</v>
      </c>
      <c r="I1644" s="589">
        <v>0</v>
      </c>
    </row>
    <row r="1645" spans="1:9" ht="15.75" customHeight="1" x14ac:dyDescent="0.2">
      <c r="A1645" s="577"/>
      <c r="B1645" s="577"/>
      <c r="C1645" s="576"/>
      <c r="D1645" s="607">
        <v>47134</v>
      </c>
      <c r="E1645" s="576" t="s">
        <v>715</v>
      </c>
      <c r="F1645" s="576">
        <v>62500000</v>
      </c>
      <c r="G1645" s="588">
        <v>0</v>
      </c>
      <c r="H1645" s="576">
        <v>0</v>
      </c>
      <c r="I1645" s="589">
        <v>0</v>
      </c>
    </row>
    <row r="1646" spans="1:9" ht="15.75" customHeight="1" x14ac:dyDescent="0.2">
      <c r="A1646" s="577"/>
      <c r="B1646" s="577"/>
      <c r="C1646" s="576"/>
      <c r="D1646" s="607">
        <v>47135</v>
      </c>
      <c r="E1646" s="576" t="s">
        <v>721</v>
      </c>
      <c r="F1646" s="576">
        <v>62500000</v>
      </c>
      <c r="G1646" s="588">
        <v>0</v>
      </c>
      <c r="H1646" s="576">
        <v>0</v>
      </c>
      <c r="I1646" s="589">
        <v>0</v>
      </c>
    </row>
    <row r="1647" spans="1:9" ht="15.75" customHeight="1" x14ac:dyDescent="0.2">
      <c r="A1647" s="577"/>
      <c r="B1647" s="577"/>
      <c r="C1647" s="576"/>
      <c r="D1647" s="607">
        <v>47136</v>
      </c>
      <c r="E1647" s="576" t="s">
        <v>720</v>
      </c>
      <c r="F1647" s="576">
        <v>62500000</v>
      </c>
      <c r="G1647" s="588">
        <v>0</v>
      </c>
      <c r="H1647" s="576">
        <v>0</v>
      </c>
      <c r="I1647" s="589">
        <v>0</v>
      </c>
    </row>
    <row r="1648" spans="1:9" ht="15.75" customHeight="1" x14ac:dyDescent="0.2">
      <c r="A1648" s="577"/>
      <c r="B1648" s="577"/>
      <c r="C1648" s="576"/>
      <c r="D1648" s="607">
        <v>47137</v>
      </c>
      <c r="E1648" s="576" t="s">
        <v>719</v>
      </c>
      <c r="F1648" s="576">
        <v>62500000</v>
      </c>
      <c r="G1648" s="588">
        <v>0</v>
      </c>
      <c r="H1648" s="576">
        <v>0</v>
      </c>
      <c r="I1648" s="589">
        <v>0</v>
      </c>
    </row>
    <row r="1649" spans="1:9" ht="15.75" customHeight="1" x14ac:dyDescent="0.2">
      <c r="A1649" s="577"/>
      <c r="B1649" s="577"/>
      <c r="C1649" s="576"/>
      <c r="D1649" s="607">
        <v>47138</v>
      </c>
      <c r="E1649" s="576" t="s">
        <v>718</v>
      </c>
      <c r="F1649" s="576">
        <v>62500000</v>
      </c>
      <c r="G1649" s="588">
        <v>0</v>
      </c>
      <c r="H1649" s="576">
        <v>0</v>
      </c>
      <c r="I1649" s="589">
        <v>0</v>
      </c>
    </row>
    <row r="1650" spans="1:9" ht="15.75" customHeight="1" x14ac:dyDescent="0.2">
      <c r="A1650" s="577"/>
      <c r="B1650" s="577"/>
      <c r="C1650" s="576"/>
      <c r="D1650" s="607">
        <v>47139</v>
      </c>
      <c r="E1650" s="576" t="s">
        <v>717</v>
      </c>
      <c r="F1650" s="576">
        <v>62500000</v>
      </c>
      <c r="G1650" s="588">
        <v>0</v>
      </c>
      <c r="H1650" s="576">
        <v>0</v>
      </c>
      <c r="I1650" s="589">
        <v>0</v>
      </c>
    </row>
    <row r="1651" spans="1:9" ht="15.75" customHeight="1" x14ac:dyDescent="0.2">
      <c r="A1651" s="577"/>
      <c r="B1651" s="577"/>
      <c r="C1651" s="576"/>
      <c r="D1651" s="607">
        <v>47140</v>
      </c>
      <c r="E1651" s="576" t="s">
        <v>716</v>
      </c>
      <c r="F1651" s="576">
        <v>62500000</v>
      </c>
      <c r="G1651" s="588">
        <v>0</v>
      </c>
      <c r="H1651" s="576">
        <v>0</v>
      </c>
      <c r="I1651" s="589">
        <v>0</v>
      </c>
    </row>
    <row r="1652" spans="1:9" ht="15.75" customHeight="1" x14ac:dyDescent="0.2">
      <c r="A1652" s="577"/>
      <c r="B1652" s="577"/>
      <c r="C1652" s="576"/>
      <c r="D1652" s="607">
        <v>47141</v>
      </c>
      <c r="E1652" s="576" t="s">
        <v>715</v>
      </c>
      <c r="F1652" s="576">
        <v>62500000</v>
      </c>
      <c r="G1652" s="588">
        <v>0</v>
      </c>
      <c r="H1652" s="576">
        <v>0</v>
      </c>
      <c r="I1652" s="589">
        <v>0</v>
      </c>
    </row>
    <row r="1653" spans="1:9" ht="15.75" customHeight="1" x14ac:dyDescent="0.2">
      <c r="A1653" s="577"/>
      <c r="B1653" s="577"/>
      <c r="C1653" s="576"/>
      <c r="D1653" s="607">
        <v>47142</v>
      </c>
      <c r="E1653" s="576" t="s">
        <v>721</v>
      </c>
      <c r="F1653" s="576">
        <v>62500000</v>
      </c>
      <c r="G1653" s="588">
        <v>0</v>
      </c>
      <c r="H1653" s="576">
        <v>0</v>
      </c>
      <c r="I1653" s="589">
        <v>0</v>
      </c>
    </row>
    <row r="1654" spans="1:9" ht="15.75" customHeight="1" x14ac:dyDescent="0.2">
      <c r="A1654" s="577"/>
      <c r="B1654" s="577"/>
      <c r="C1654" s="576"/>
      <c r="D1654" s="607">
        <v>47143</v>
      </c>
      <c r="E1654" s="576" t="s">
        <v>720</v>
      </c>
      <c r="F1654" s="576">
        <v>62500000</v>
      </c>
      <c r="G1654" s="588">
        <v>0</v>
      </c>
      <c r="H1654" s="576">
        <v>0</v>
      </c>
      <c r="I1654" s="589">
        <v>0</v>
      </c>
    </row>
    <row r="1655" spans="1:9" ht="15.75" customHeight="1" x14ac:dyDescent="0.2">
      <c r="A1655" s="577"/>
      <c r="B1655" s="577"/>
      <c r="C1655" s="576"/>
      <c r="D1655" s="607">
        <v>47144</v>
      </c>
      <c r="E1655" s="576" t="s">
        <v>719</v>
      </c>
      <c r="F1655" s="576">
        <v>62500000</v>
      </c>
      <c r="G1655" s="588">
        <v>0</v>
      </c>
      <c r="H1655" s="576">
        <v>0</v>
      </c>
      <c r="I1655" s="589">
        <v>0</v>
      </c>
    </row>
    <row r="1656" spans="1:9" ht="15.75" customHeight="1" x14ac:dyDescent="0.2">
      <c r="A1656" s="577"/>
      <c r="B1656" s="577"/>
      <c r="C1656" s="576"/>
      <c r="D1656" s="607">
        <v>47145</v>
      </c>
      <c r="E1656" s="576" t="s">
        <v>718</v>
      </c>
      <c r="F1656" s="576">
        <v>62500000</v>
      </c>
      <c r="G1656" s="588">
        <v>0</v>
      </c>
      <c r="H1656" s="576">
        <v>0</v>
      </c>
      <c r="I1656" s="589">
        <v>0</v>
      </c>
    </row>
    <row r="1657" spans="1:9" ht="15.75" customHeight="1" x14ac:dyDescent="0.2">
      <c r="A1657" s="577"/>
      <c r="B1657" s="577"/>
      <c r="C1657" s="576"/>
      <c r="D1657" s="607">
        <v>47146</v>
      </c>
      <c r="E1657" s="576" t="s">
        <v>717</v>
      </c>
      <c r="F1657" s="576">
        <v>62500000</v>
      </c>
      <c r="G1657" s="588">
        <v>0</v>
      </c>
      <c r="H1657" s="576">
        <v>0</v>
      </c>
      <c r="I1657" s="589">
        <v>0</v>
      </c>
    </row>
    <row r="1658" spans="1:9" ht="15.75" customHeight="1" x14ac:dyDescent="0.2">
      <c r="A1658" s="577"/>
      <c r="B1658" s="577"/>
      <c r="C1658" s="576"/>
      <c r="D1658" s="607">
        <v>47147</v>
      </c>
      <c r="E1658" s="576" t="s">
        <v>716</v>
      </c>
      <c r="F1658" s="576">
        <v>62500000</v>
      </c>
      <c r="G1658" s="588">
        <v>0</v>
      </c>
      <c r="H1658" s="576">
        <v>0</v>
      </c>
      <c r="I1658" s="589">
        <v>0</v>
      </c>
    </row>
    <row r="1659" spans="1:9" ht="15.75" customHeight="1" x14ac:dyDescent="0.2">
      <c r="A1659" s="577"/>
      <c r="B1659" s="577"/>
      <c r="C1659" s="576"/>
      <c r="D1659" s="607">
        <v>47148</v>
      </c>
      <c r="E1659" s="576" t="s">
        <v>715</v>
      </c>
      <c r="F1659" s="576">
        <v>62500000</v>
      </c>
      <c r="G1659" s="588">
        <v>0</v>
      </c>
      <c r="H1659" s="576">
        <v>0</v>
      </c>
      <c r="I1659" s="589">
        <v>0</v>
      </c>
    </row>
    <row r="1660" spans="1:9" ht="15.75" customHeight="1" x14ac:dyDescent="0.2">
      <c r="A1660" s="577"/>
      <c r="B1660" s="577"/>
      <c r="C1660" s="576"/>
      <c r="D1660" s="607">
        <v>47149</v>
      </c>
      <c r="E1660" s="576" t="s">
        <v>721</v>
      </c>
      <c r="F1660" s="576">
        <v>62500000</v>
      </c>
      <c r="G1660" s="588">
        <v>0</v>
      </c>
      <c r="H1660" s="576">
        <v>0</v>
      </c>
      <c r="I1660" s="589">
        <v>0</v>
      </c>
    </row>
    <row r="1661" spans="1:9" ht="15.75" customHeight="1" x14ac:dyDescent="0.2">
      <c r="A1661" s="577"/>
      <c r="B1661" s="577"/>
      <c r="C1661" s="576"/>
      <c r="D1661" s="607">
        <v>47150</v>
      </c>
      <c r="E1661" s="576" t="s">
        <v>720</v>
      </c>
      <c r="F1661" s="576">
        <v>62500000</v>
      </c>
      <c r="G1661" s="588">
        <v>0</v>
      </c>
      <c r="H1661" s="576">
        <v>0</v>
      </c>
      <c r="I1661" s="589">
        <v>0</v>
      </c>
    </row>
    <row r="1662" spans="1:9" ht="15.75" customHeight="1" x14ac:dyDescent="0.2">
      <c r="A1662" s="577"/>
      <c r="B1662" s="577"/>
      <c r="C1662" s="576"/>
      <c r="D1662" s="607">
        <v>47151</v>
      </c>
      <c r="E1662" s="576" t="s">
        <v>719</v>
      </c>
      <c r="F1662" s="576">
        <v>62500000</v>
      </c>
      <c r="G1662" s="588">
        <v>0</v>
      </c>
      <c r="H1662" s="576">
        <v>0</v>
      </c>
      <c r="I1662" s="589">
        <v>0</v>
      </c>
    </row>
    <row r="1663" spans="1:9" ht="15.75" customHeight="1" x14ac:dyDescent="0.2">
      <c r="A1663" s="577"/>
      <c r="B1663" s="577"/>
      <c r="C1663" s="576"/>
      <c r="D1663" s="607">
        <v>47152</v>
      </c>
      <c r="E1663" s="576" t="s">
        <v>718</v>
      </c>
      <c r="F1663" s="576">
        <v>62500000</v>
      </c>
      <c r="G1663" s="588">
        <v>0</v>
      </c>
      <c r="H1663" s="576">
        <v>0</v>
      </c>
      <c r="I1663" s="589">
        <v>0</v>
      </c>
    </row>
    <row r="1664" spans="1:9" ht="15.75" customHeight="1" x14ac:dyDescent="0.2">
      <c r="A1664" s="577"/>
      <c r="B1664" s="577"/>
      <c r="C1664" s="576"/>
      <c r="D1664" s="607">
        <v>47153</v>
      </c>
      <c r="E1664" s="576" t="s">
        <v>717</v>
      </c>
      <c r="F1664" s="576">
        <v>62500000</v>
      </c>
      <c r="G1664" s="588">
        <v>0</v>
      </c>
      <c r="H1664" s="576">
        <v>0</v>
      </c>
      <c r="I1664" s="589">
        <v>0</v>
      </c>
    </row>
    <row r="1665" spans="1:9" ht="15.75" customHeight="1" x14ac:dyDescent="0.2">
      <c r="A1665" s="577"/>
      <c r="B1665" s="577"/>
      <c r="C1665" s="576"/>
      <c r="D1665" s="607">
        <v>47154</v>
      </c>
      <c r="E1665" s="576" t="s">
        <v>716</v>
      </c>
      <c r="F1665" s="576">
        <v>62500000</v>
      </c>
      <c r="G1665" s="588">
        <v>0</v>
      </c>
      <c r="H1665" s="576">
        <v>0</v>
      </c>
      <c r="I1665" s="589">
        <v>0</v>
      </c>
    </row>
    <row r="1666" spans="1:9" ht="15.75" customHeight="1" x14ac:dyDescent="0.2">
      <c r="A1666" s="577"/>
      <c r="B1666" s="577"/>
      <c r="C1666" s="576"/>
      <c r="D1666" s="607">
        <v>47155</v>
      </c>
      <c r="E1666" s="576" t="s">
        <v>715</v>
      </c>
      <c r="F1666" s="576">
        <v>62500000</v>
      </c>
      <c r="G1666" s="588">
        <v>0</v>
      </c>
      <c r="H1666" s="576">
        <v>0</v>
      </c>
      <c r="I1666" s="589">
        <v>0</v>
      </c>
    </row>
    <row r="1667" spans="1:9" ht="15.75" customHeight="1" x14ac:dyDescent="0.2">
      <c r="A1667" s="577"/>
      <c r="B1667" s="577"/>
      <c r="C1667" s="576"/>
      <c r="D1667" s="607">
        <v>47156</v>
      </c>
      <c r="E1667" s="576" t="s">
        <v>721</v>
      </c>
      <c r="F1667" s="576">
        <v>62500000</v>
      </c>
      <c r="G1667" s="588">
        <v>0</v>
      </c>
      <c r="H1667" s="576">
        <v>0</v>
      </c>
      <c r="I1667" s="589">
        <v>0</v>
      </c>
    </row>
    <row r="1668" spans="1:9" ht="15.75" customHeight="1" x14ac:dyDescent="0.2">
      <c r="A1668" s="577"/>
      <c r="B1668" s="577"/>
      <c r="C1668" s="576"/>
      <c r="D1668" s="607">
        <v>47157</v>
      </c>
      <c r="E1668" s="576" t="s">
        <v>720</v>
      </c>
      <c r="F1668" s="576">
        <v>62500000</v>
      </c>
      <c r="G1668" s="588">
        <v>0</v>
      </c>
      <c r="H1668" s="576">
        <v>0</v>
      </c>
      <c r="I1668" s="589">
        <v>0</v>
      </c>
    </row>
    <row r="1669" spans="1:9" ht="15.75" customHeight="1" x14ac:dyDescent="0.2">
      <c r="A1669" s="577"/>
      <c r="B1669" s="577"/>
      <c r="C1669" s="576"/>
      <c r="D1669" s="607">
        <v>47158</v>
      </c>
      <c r="E1669" s="576" t="s">
        <v>719</v>
      </c>
      <c r="F1669" s="576">
        <v>62500000</v>
      </c>
      <c r="G1669" s="588">
        <v>0</v>
      </c>
      <c r="H1669" s="576">
        <v>0</v>
      </c>
      <c r="I1669" s="589">
        <v>0</v>
      </c>
    </row>
    <row r="1670" spans="1:9" ht="15.75" customHeight="1" x14ac:dyDescent="0.2">
      <c r="A1670" s="577"/>
      <c r="B1670" s="577"/>
      <c r="C1670" s="576"/>
      <c r="D1670" s="607">
        <v>47159</v>
      </c>
      <c r="E1670" s="576" t="s">
        <v>718</v>
      </c>
      <c r="F1670" s="576">
        <v>62500000</v>
      </c>
      <c r="G1670" s="588">
        <v>0</v>
      </c>
      <c r="H1670" s="576">
        <v>0</v>
      </c>
      <c r="I1670" s="589">
        <v>0</v>
      </c>
    </row>
    <row r="1671" spans="1:9" ht="15.75" customHeight="1" x14ac:dyDescent="0.2">
      <c r="A1671" s="577"/>
      <c r="B1671" s="577"/>
      <c r="C1671" s="576"/>
      <c r="D1671" s="607">
        <v>47160</v>
      </c>
      <c r="E1671" s="576" t="s">
        <v>717</v>
      </c>
      <c r="F1671" s="576">
        <v>62500000</v>
      </c>
      <c r="G1671" s="588">
        <v>0</v>
      </c>
      <c r="H1671" s="576">
        <v>0</v>
      </c>
      <c r="I1671" s="589">
        <v>0</v>
      </c>
    </row>
    <row r="1672" spans="1:9" ht="15.75" customHeight="1" x14ac:dyDescent="0.2">
      <c r="A1672" s="577"/>
      <c r="B1672" s="577"/>
      <c r="C1672" s="576"/>
      <c r="D1672" s="607">
        <v>47161</v>
      </c>
      <c r="E1672" s="576" t="s">
        <v>716</v>
      </c>
      <c r="F1672" s="576">
        <v>62500000</v>
      </c>
      <c r="G1672" s="588">
        <v>0</v>
      </c>
      <c r="H1672" s="576">
        <v>0</v>
      </c>
      <c r="I1672" s="589">
        <v>0</v>
      </c>
    </row>
    <row r="1673" spans="1:9" ht="15.75" customHeight="1" x14ac:dyDescent="0.2">
      <c r="A1673" s="577"/>
      <c r="B1673" s="577"/>
      <c r="C1673" s="576"/>
      <c r="D1673" s="607">
        <v>47162</v>
      </c>
      <c r="E1673" s="576" t="s">
        <v>715</v>
      </c>
      <c r="F1673" s="576">
        <v>62500000</v>
      </c>
      <c r="G1673" s="588">
        <v>0</v>
      </c>
      <c r="H1673" s="576">
        <v>0</v>
      </c>
      <c r="I1673" s="589">
        <v>0</v>
      </c>
    </row>
    <row r="1674" spans="1:9" ht="15.75" customHeight="1" x14ac:dyDescent="0.2">
      <c r="A1674" s="577"/>
      <c r="B1674" s="577"/>
      <c r="C1674" s="576"/>
      <c r="D1674" s="607">
        <v>47163</v>
      </c>
      <c r="E1674" s="576" t="s">
        <v>721</v>
      </c>
      <c r="F1674" s="576">
        <v>62500000</v>
      </c>
      <c r="G1674" s="588">
        <v>0</v>
      </c>
      <c r="H1674" s="576">
        <v>0</v>
      </c>
      <c r="I1674" s="589">
        <v>0</v>
      </c>
    </row>
    <row r="1675" spans="1:9" ht="15.75" customHeight="1" x14ac:dyDescent="0.2">
      <c r="A1675" s="577"/>
      <c r="B1675" s="577"/>
      <c r="C1675" s="576"/>
      <c r="D1675" s="607">
        <v>47164</v>
      </c>
      <c r="E1675" s="576" t="s">
        <v>720</v>
      </c>
      <c r="F1675" s="576">
        <v>62500000</v>
      </c>
      <c r="G1675" s="588">
        <v>0</v>
      </c>
      <c r="H1675" s="576">
        <v>0</v>
      </c>
      <c r="I1675" s="589">
        <v>0</v>
      </c>
    </row>
    <row r="1676" spans="1:9" ht="15.75" customHeight="1" x14ac:dyDescent="0.2">
      <c r="A1676" s="577"/>
      <c r="B1676" s="577"/>
      <c r="C1676" s="576"/>
      <c r="D1676" s="607">
        <v>47165</v>
      </c>
      <c r="E1676" s="576" t="s">
        <v>719</v>
      </c>
      <c r="F1676" s="576">
        <v>62500000</v>
      </c>
      <c r="G1676" s="588">
        <v>0</v>
      </c>
      <c r="H1676" s="576">
        <v>0</v>
      </c>
      <c r="I1676" s="589">
        <v>0</v>
      </c>
    </row>
    <row r="1677" spans="1:9" ht="15.75" customHeight="1" x14ac:dyDescent="0.2">
      <c r="A1677" s="577"/>
      <c r="B1677" s="577"/>
      <c r="C1677" s="576"/>
      <c r="D1677" s="607">
        <v>47166</v>
      </c>
      <c r="E1677" s="576" t="s">
        <v>718</v>
      </c>
      <c r="F1677" s="576">
        <v>62500000</v>
      </c>
      <c r="G1677" s="588">
        <v>0</v>
      </c>
      <c r="H1677" s="576">
        <v>0</v>
      </c>
      <c r="I1677" s="589">
        <v>0</v>
      </c>
    </row>
    <row r="1678" spans="1:9" ht="15.75" customHeight="1" x14ac:dyDescent="0.2">
      <c r="A1678" s="577"/>
      <c r="B1678" s="577"/>
      <c r="C1678" s="576"/>
      <c r="D1678" s="607">
        <v>47167</v>
      </c>
      <c r="E1678" s="576" t="s">
        <v>717</v>
      </c>
      <c r="F1678" s="576">
        <v>62500000</v>
      </c>
      <c r="G1678" s="588">
        <v>0</v>
      </c>
      <c r="H1678" s="576">
        <v>0</v>
      </c>
      <c r="I1678" s="589">
        <v>0</v>
      </c>
    </row>
    <row r="1679" spans="1:9" ht="15.75" customHeight="1" x14ac:dyDescent="0.2">
      <c r="A1679" s="577"/>
      <c r="B1679" s="577"/>
      <c r="C1679" s="576"/>
      <c r="D1679" s="607">
        <v>47168</v>
      </c>
      <c r="E1679" s="576" t="s">
        <v>716</v>
      </c>
      <c r="F1679" s="576">
        <v>62500000</v>
      </c>
      <c r="G1679" s="588">
        <v>0</v>
      </c>
      <c r="H1679" s="576">
        <v>0</v>
      </c>
      <c r="I1679" s="589">
        <v>0</v>
      </c>
    </row>
    <row r="1680" spans="1:9" ht="15.75" customHeight="1" x14ac:dyDescent="0.2">
      <c r="A1680" s="577"/>
      <c r="B1680" s="577"/>
      <c r="C1680" s="576"/>
      <c r="D1680" s="607">
        <v>47169</v>
      </c>
      <c r="E1680" s="576" t="s">
        <v>715</v>
      </c>
      <c r="F1680" s="576">
        <v>62500000</v>
      </c>
      <c r="G1680" s="588">
        <v>0</v>
      </c>
      <c r="H1680" s="576">
        <v>0</v>
      </c>
      <c r="I1680" s="589">
        <v>0</v>
      </c>
    </row>
    <row r="1681" spans="1:9" ht="15.75" customHeight="1" x14ac:dyDescent="0.2">
      <c r="A1681" s="577"/>
      <c r="B1681" s="577"/>
      <c r="C1681" s="576"/>
      <c r="D1681" s="607">
        <v>47170</v>
      </c>
      <c r="E1681" s="576" t="s">
        <v>721</v>
      </c>
      <c r="F1681" s="576">
        <v>62500000</v>
      </c>
      <c r="G1681" s="588">
        <v>0</v>
      </c>
      <c r="H1681" s="576">
        <v>0</v>
      </c>
      <c r="I1681" s="589">
        <v>0</v>
      </c>
    </row>
    <row r="1682" spans="1:9" ht="15.75" customHeight="1" x14ac:dyDescent="0.2">
      <c r="A1682" s="577"/>
      <c r="B1682" s="577"/>
      <c r="C1682" s="576"/>
      <c r="D1682" s="607">
        <v>47171</v>
      </c>
      <c r="E1682" s="576" t="s">
        <v>720</v>
      </c>
      <c r="F1682" s="576">
        <v>62500000</v>
      </c>
      <c r="G1682" s="588">
        <v>0</v>
      </c>
      <c r="H1682" s="576">
        <v>0</v>
      </c>
      <c r="I1682" s="589">
        <v>0</v>
      </c>
    </row>
    <row r="1683" spans="1:9" ht="15.75" customHeight="1" x14ac:dyDescent="0.2">
      <c r="A1683" s="577"/>
      <c r="B1683" s="577"/>
      <c r="C1683" s="576"/>
      <c r="D1683" s="607">
        <v>47172</v>
      </c>
      <c r="E1683" s="576" t="s">
        <v>719</v>
      </c>
      <c r="F1683" s="576">
        <v>62500000</v>
      </c>
      <c r="G1683" s="588">
        <v>0</v>
      </c>
      <c r="H1683" s="576">
        <v>0</v>
      </c>
      <c r="I1683" s="589">
        <v>0</v>
      </c>
    </row>
    <row r="1684" spans="1:9" ht="15.75" customHeight="1" x14ac:dyDescent="0.2">
      <c r="A1684" s="577"/>
      <c r="B1684" s="577"/>
      <c r="C1684" s="576"/>
      <c r="D1684" s="607">
        <v>47173</v>
      </c>
      <c r="E1684" s="576" t="s">
        <v>718</v>
      </c>
      <c r="F1684" s="576">
        <v>62500000</v>
      </c>
      <c r="G1684" s="588">
        <v>0</v>
      </c>
      <c r="H1684" s="576">
        <v>0</v>
      </c>
      <c r="I1684" s="589">
        <v>0</v>
      </c>
    </row>
    <row r="1685" spans="1:9" ht="15.75" customHeight="1" x14ac:dyDescent="0.2">
      <c r="A1685" s="577"/>
      <c r="B1685" s="577"/>
      <c r="C1685" s="576"/>
      <c r="D1685" s="607">
        <v>47174</v>
      </c>
      <c r="E1685" s="576" t="s">
        <v>717</v>
      </c>
      <c r="F1685" s="576">
        <v>62500000</v>
      </c>
      <c r="G1685" s="588">
        <v>0</v>
      </c>
      <c r="H1685" s="576">
        <v>0</v>
      </c>
      <c r="I1685" s="589">
        <v>0</v>
      </c>
    </row>
    <row r="1686" spans="1:9" ht="15.75" customHeight="1" x14ac:dyDescent="0.2">
      <c r="A1686" s="577"/>
      <c r="B1686" s="577"/>
      <c r="C1686" s="576"/>
      <c r="D1686" s="607">
        <v>47175</v>
      </c>
      <c r="E1686" s="576" t="s">
        <v>716</v>
      </c>
      <c r="F1686" s="576">
        <v>62500000</v>
      </c>
      <c r="G1686" s="588">
        <v>0</v>
      </c>
      <c r="H1686" s="576">
        <v>0</v>
      </c>
      <c r="I1686" s="589">
        <v>0</v>
      </c>
    </row>
    <row r="1687" spans="1:9" ht="15.75" customHeight="1" x14ac:dyDescent="0.2">
      <c r="A1687" s="577"/>
      <c r="B1687" s="577"/>
      <c r="C1687" s="576"/>
      <c r="D1687" s="607">
        <v>47176</v>
      </c>
      <c r="E1687" s="576" t="s">
        <v>715</v>
      </c>
      <c r="F1687" s="576">
        <v>62500000</v>
      </c>
      <c r="G1687" s="588">
        <v>0</v>
      </c>
      <c r="H1687" s="576">
        <v>0</v>
      </c>
      <c r="I1687" s="589">
        <v>0</v>
      </c>
    </row>
    <row r="1688" spans="1:9" ht="15.75" customHeight="1" x14ac:dyDescent="0.2">
      <c r="A1688" s="577"/>
      <c r="B1688" s="577"/>
      <c r="C1688" s="576"/>
      <c r="D1688" s="607">
        <v>47177</v>
      </c>
      <c r="E1688" s="576" t="s">
        <v>721</v>
      </c>
      <c r="F1688" s="576">
        <v>62500000</v>
      </c>
      <c r="G1688" s="588">
        <v>0</v>
      </c>
      <c r="H1688" s="576">
        <v>0</v>
      </c>
      <c r="I1688" s="589">
        <v>0</v>
      </c>
    </row>
    <row r="1689" spans="1:9" ht="15.75" customHeight="1" x14ac:dyDescent="0.2">
      <c r="A1689" s="577"/>
      <c r="B1689" s="577"/>
      <c r="C1689" s="576"/>
      <c r="D1689" s="607">
        <v>47178</v>
      </c>
      <c r="E1689" s="576" t="s">
        <v>720</v>
      </c>
      <c r="F1689" s="576">
        <v>62500000</v>
      </c>
      <c r="G1689" s="588">
        <v>0</v>
      </c>
      <c r="H1689" s="576">
        <v>0</v>
      </c>
      <c r="I1689" s="589">
        <v>0</v>
      </c>
    </row>
    <row r="1690" spans="1:9" ht="15.75" customHeight="1" x14ac:dyDescent="0.2">
      <c r="A1690" s="577"/>
      <c r="B1690" s="577"/>
      <c r="C1690" s="576"/>
      <c r="D1690" s="607">
        <v>47179</v>
      </c>
      <c r="E1690" s="576" t="s">
        <v>719</v>
      </c>
      <c r="F1690" s="576">
        <v>62500000</v>
      </c>
      <c r="G1690" s="588">
        <v>0</v>
      </c>
      <c r="H1690" s="576">
        <v>0</v>
      </c>
      <c r="I1690" s="589">
        <v>0</v>
      </c>
    </row>
    <row r="1691" spans="1:9" ht="15.75" customHeight="1" x14ac:dyDescent="0.2">
      <c r="A1691" s="577"/>
      <c r="B1691" s="577"/>
      <c r="C1691" s="576"/>
      <c r="D1691" s="607">
        <v>47180</v>
      </c>
      <c r="E1691" s="576" t="s">
        <v>718</v>
      </c>
      <c r="F1691" s="576">
        <v>62500000</v>
      </c>
      <c r="G1691" s="588">
        <v>0</v>
      </c>
      <c r="H1691" s="576">
        <v>0</v>
      </c>
      <c r="I1691" s="589">
        <v>0</v>
      </c>
    </row>
    <row r="1692" spans="1:9" ht="15.75" customHeight="1" x14ac:dyDescent="0.2">
      <c r="A1692" s="577"/>
      <c r="B1692" s="577"/>
      <c r="C1692" s="576"/>
      <c r="D1692" s="607">
        <v>47181</v>
      </c>
      <c r="E1692" s="576" t="s">
        <v>717</v>
      </c>
      <c r="F1692" s="576">
        <v>62500000</v>
      </c>
      <c r="G1692" s="588">
        <v>0</v>
      </c>
      <c r="H1692" s="576">
        <v>0</v>
      </c>
      <c r="I1692" s="589">
        <v>0</v>
      </c>
    </row>
    <row r="1693" spans="1:9" ht="15.75" customHeight="1" x14ac:dyDescent="0.2">
      <c r="A1693" s="577"/>
      <c r="B1693" s="577"/>
      <c r="C1693" s="576"/>
      <c r="D1693" s="607">
        <v>47182</v>
      </c>
      <c r="E1693" s="576" t="s">
        <v>716</v>
      </c>
      <c r="F1693" s="576">
        <v>62500000</v>
      </c>
      <c r="G1693" s="588">
        <v>0</v>
      </c>
      <c r="H1693" s="576">
        <v>0</v>
      </c>
      <c r="I1693" s="589">
        <v>0</v>
      </c>
    </row>
    <row r="1694" spans="1:9" ht="15.75" customHeight="1" x14ac:dyDescent="0.2">
      <c r="A1694" s="577"/>
      <c r="B1694" s="577"/>
      <c r="C1694" s="576"/>
      <c r="D1694" s="607">
        <v>47183</v>
      </c>
      <c r="E1694" s="576" t="s">
        <v>715</v>
      </c>
      <c r="F1694" s="576">
        <v>62500000</v>
      </c>
      <c r="G1694" s="588">
        <v>0</v>
      </c>
      <c r="H1694" s="576">
        <v>0</v>
      </c>
      <c r="I1694" s="589">
        <v>0</v>
      </c>
    </row>
    <row r="1695" spans="1:9" ht="15.75" customHeight="1" x14ac:dyDescent="0.2">
      <c r="A1695" s="577"/>
      <c r="B1695" s="577"/>
      <c r="C1695" s="576"/>
      <c r="D1695" s="607">
        <v>47184</v>
      </c>
      <c r="E1695" s="576" t="s">
        <v>721</v>
      </c>
      <c r="F1695" s="576">
        <v>62500000</v>
      </c>
      <c r="G1695" s="588">
        <v>0</v>
      </c>
      <c r="H1695" s="576">
        <v>0</v>
      </c>
      <c r="I1695" s="589">
        <v>0</v>
      </c>
    </row>
    <row r="1696" spans="1:9" ht="15.75" customHeight="1" x14ac:dyDescent="0.2">
      <c r="A1696" s="577"/>
      <c r="B1696" s="577"/>
      <c r="C1696" s="576"/>
      <c r="D1696" s="607">
        <v>47185</v>
      </c>
      <c r="E1696" s="576" t="s">
        <v>720</v>
      </c>
      <c r="F1696" s="576">
        <v>62500000</v>
      </c>
      <c r="G1696" s="588">
        <v>0</v>
      </c>
      <c r="H1696" s="576">
        <v>0</v>
      </c>
      <c r="I1696" s="589">
        <v>0</v>
      </c>
    </row>
    <row r="1697" spans="1:9" ht="15.75" customHeight="1" x14ac:dyDescent="0.2">
      <c r="A1697" s="577"/>
      <c r="B1697" s="577"/>
      <c r="C1697" s="576"/>
      <c r="D1697" s="607">
        <v>47186</v>
      </c>
      <c r="E1697" s="576" t="s">
        <v>719</v>
      </c>
      <c r="F1697" s="576">
        <v>62500000</v>
      </c>
      <c r="G1697" s="588">
        <v>0</v>
      </c>
      <c r="H1697" s="576">
        <v>0</v>
      </c>
      <c r="I1697" s="589">
        <v>0</v>
      </c>
    </row>
    <row r="1698" spans="1:9" ht="15.75" customHeight="1" x14ac:dyDescent="0.2">
      <c r="A1698" s="577"/>
      <c r="B1698" s="577"/>
      <c r="C1698" s="576"/>
      <c r="D1698" s="607">
        <v>47187</v>
      </c>
      <c r="E1698" s="576" t="s">
        <v>718</v>
      </c>
      <c r="F1698" s="576">
        <v>62500000</v>
      </c>
      <c r="G1698" s="588">
        <v>0</v>
      </c>
      <c r="H1698" s="576">
        <v>0</v>
      </c>
      <c r="I1698" s="589">
        <v>0</v>
      </c>
    </row>
    <row r="1699" spans="1:9" ht="15.75" customHeight="1" x14ac:dyDescent="0.2">
      <c r="A1699" s="577"/>
      <c r="B1699" s="577"/>
      <c r="C1699" s="576"/>
      <c r="D1699" s="607">
        <v>47188</v>
      </c>
      <c r="E1699" s="576" t="s">
        <v>717</v>
      </c>
      <c r="F1699" s="576">
        <v>62500000</v>
      </c>
      <c r="G1699" s="588">
        <v>0</v>
      </c>
      <c r="H1699" s="576">
        <v>0</v>
      </c>
      <c r="I1699" s="589">
        <v>0</v>
      </c>
    </row>
    <row r="1700" spans="1:9" ht="15.75" customHeight="1" x14ac:dyDescent="0.2">
      <c r="A1700" s="577"/>
      <c r="B1700" s="577"/>
      <c r="C1700" s="576"/>
      <c r="D1700" s="607">
        <v>47189</v>
      </c>
      <c r="E1700" s="576" t="s">
        <v>716</v>
      </c>
      <c r="F1700" s="576">
        <v>62500000</v>
      </c>
      <c r="G1700" s="588">
        <v>0</v>
      </c>
      <c r="H1700" s="576">
        <v>0</v>
      </c>
      <c r="I1700" s="589">
        <v>0</v>
      </c>
    </row>
    <row r="1701" spans="1:9" ht="15.75" customHeight="1" x14ac:dyDescent="0.2">
      <c r="A1701" s="577"/>
      <c r="B1701" s="577"/>
      <c r="C1701" s="576"/>
      <c r="D1701" s="607">
        <v>47190</v>
      </c>
      <c r="E1701" s="576" t="s">
        <v>715</v>
      </c>
      <c r="F1701" s="576">
        <v>62500000</v>
      </c>
      <c r="G1701" s="588">
        <v>0</v>
      </c>
      <c r="H1701" s="576">
        <v>0</v>
      </c>
      <c r="I1701" s="589">
        <v>0</v>
      </c>
    </row>
    <row r="1702" spans="1:9" ht="15.75" customHeight="1" x14ac:dyDescent="0.2">
      <c r="A1702" s="577"/>
      <c r="B1702" s="577"/>
      <c r="C1702" s="576"/>
      <c r="D1702" s="607">
        <v>47191</v>
      </c>
      <c r="E1702" s="576" t="s">
        <v>721</v>
      </c>
      <c r="F1702" s="576">
        <v>62500000</v>
      </c>
      <c r="G1702" s="588">
        <v>0</v>
      </c>
      <c r="H1702" s="576">
        <v>0</v>
      </c>
      <c r="I1702" s="589">
        <v>0</v>
      </c>
    </row>
    <row r="1703" spans="1:9" ht="15.75" customHeight="1" x14ac:dyDescent="0.2">
      <c r="A1703" s="577"/>
      <c r="B1703" s="577"/>
      <c r="C1703" s="576"/>
      <c r="D1703" s="607">
        <v>47192</v>
      </c>
      <c r="E1703" s="576" t="s">
        <v>720</v>
      </c>
      <c r="F1703" s="576">
        <v>62500000</v>
      </c>
      <c r="G1703" s="588">
        <v>0</v>
      </c>
      <c r="H1703" s="576">
        <v>0</v>
      </c>
      <c r="I1703" s="589">
        <v>0</v>
      </c>
    </row>
    <row r="1704" spans="1:9" ht="15.75" customHeight="1" x14ac:dyDescent="0.2">
      <c r="A1704" s="577"/>
      <c r="B1704" s="577"/>
      <c r="C1704" s="576"/>
      <c r="D1704" s="607">
        <v>47193</v>
      </c>
      <c r="E1704" s="576" t="s">
        <v>719</v>
      </c>
      <c r="F1704" s="576">
        <v>62500000</v>
      </c>
      <c r="G1704" s="588">
        <v>0</v>
      </c>
      <c r="H1704" s="576">
        <v>0</v>
      </c>
      <c r="I1704" s="589">
        <v>0</v>
      </c>
    </row>
    <row r="1705" spans="1:9" ht="15.75" customHeight="1" x14ac:dyDescent="0.2">
      <c r="A1705" s="577"/>
      <c r="B1705" s="577"/>
      <c r="C1705" s="576"/>
      <c r="D1705" s="607">
        <v>47194</v>
      </c>
      <c r="E1705" s="576" t="s">
        <v>718</v>
      </c>
      <c r="F1705" s="576">
        <v>62500000</v>
      </c>
      <c r="G1705" s="588">
        <v>0</v>
      </c>
      <c r="H1705" s="576">
        <v>0</v>
      </c>
      <c r="I1705" s="589">
        <v>0</v>
      </c>
    </row>
    <row r="1706" spans="1:9" ht="15.75" customHeight="1" x14ac:dyDescent="0.2">
      <c r="A1706" s="577"/>
      <c r="B1706" s="577"/>
      <c r="C1706" s="576"/>
      <c r="D1706" s="607">
        <v>47195</v>
      </c>
      <c r="E1706" s="576" t="s">
        <v>717</v>
      </c>
      <c r="F1706" s="576">
        <v>62500000</v>
      </c>
      <c r="G1706" s="588">
        <v>0</v>
      </c>
      <c r="H1706" s="576">
        <v>0</v>
      </c>
      <c r="I1706" s="589">
        <v>0</v>
      </c>
    </row>
    <row r="1707" spans="1:9" ht="15.75" customHeight="1" x14ac:dyDescent="0.2">
      <c r="A1707" s="577"/>
      <c r="B1707" s="577"/>
      <c r="C1707" s="576"/>
      <c r="D1707" s="607">
        <v>47196</v>
      </c>
      <c r="E1707" s="576" t="s">
        <v>716</v>
      </c>
      <c r="F1707" s="576">
        <v>62500000</v>
      </c>
      <c r="G1707" s="588">
        <v>0</v>
      </c>
      <c r="H1707" s="576">
        <v>0</v>
      </c>
      <c r="I1707" s="589">
        <v>0</v>
      </c>
    </row>
    <row r="1708" spans="1:9" ht="15.75" customHeight="1" x14ac:dyDescent="0.2">
      <c r="A1708" s="577"/>
      <c r="B1708" s="577"/>
      <c r="C1708" s="576"/>
      <c r="D1708" s="607">
        <v>47197</v>
      </c>
      <c r="E1708" s="576" t="s">
        <v>715</v>
      </c>
      <c r="F1708" s="576">
        <v>62500000</v>
      </c>
      <c r="G1708" s="588">
        <v>0</v>
      </c>
      <c r="H1708" s="576">
        <v>0</v>
      </c>
      <c r="I1708" s="589">
        <v>0</v>
      </c>
    </row>
    <row r="1709" spans="1:9" ht="15.75" customHeight="1" x14ac:dyDescent="0.2">
      <c r="A1709" s="577"/>
      <c r="B1709" s="577"/>
      <c r="C1709" s="576"/>
      <c r="D1709" s="607">
        <v>47198</v>
      </c>
      <c r="E1709" s="576" t="s">
        <v>721</v>
      </c>
      <c r="F1709" s="576">
        <v>62500000</v>
      </c>
      <c r="G1709" s="588">
        <v>0</v>
      </c>
      <c r="H1709" s="576">
        <v>0</v>
      </c>
      <c r="I1709" s="589">
        <v>0</v>
      </c>
    </row>
    <row r="1710" spans="1:9" ht="15.75" customHeight="1" x14ac:dyDescent="0.2">
      <c r="A1710" s="577"/>
      <c r="B1710" s="577"/>
      <c r="C1710" s="576"/>
      <c r="D1710" s="607">
        <v>47199</v>
      </c>
      <c r="E1710" s="576" t="s">
        <v>720</v>
      </c>
      <c r="F1710" s="576">
        <v>62500000</v>
      </c>
      <c r="G1710" s="588">
        <v>0</v>
      </c>
      <c r="H1710" s="576">
        <v>0</v>
      </c>
      <c r="I1710" s="589">
        <v>0</v>
      </c>
    </row>
    <row r="1711" spans="1:9" ht="15.75" customHeight="1" x14ac:dyDescent="0.2">
      <c r="A1711" s="577"/>
      <c r="B1711" s="577"/>
      <c r="C1711" s="576"/>
      <c r="D1711" s="607">
        <v>47200</v>
      </c>
      <c r="E1711" s="576" t="s">
        <v>719</v>
      </c>
      <c r="F1711" s="576">
        <v>62500000</v>
      </c>
      <c r="G1711" s="588">
        <v>0</v>
      </c>
      <c r="H1711" s="576">
        <v>0</v>
      </c>
      <c r="I1711" s="589">
        <v>0</v>
      </c>
    </row>
    <row r="1712" spans="1:9" ht="15.75" customHeight="1" x14ac:dyDescent="0.2">
      <c r="A1712" s="577"/>
      <c r="B1712" s="577"/>
      <c r="C1712" s="576"/>
      <c r="D1712" s="607">
        <v>47201</v>
      </c>
      <c r="E1712" s="576" t="s">
        <v>718</v>
      </c>
      <c r="F1712" s="576">
        <v>62500000</v>
      </c>
      <c r="G1712" s="588">
        <v>0</v>
      </c>
      <c r="H1712" s="576">
        <v>0</v>
      </c>
      <c r="I1712" s="589">
        <v>0</v>
      </c>
    </row>
    <row r="1713" spans="1:9" ht="15.75" customHeight="1" x14ac:dyDescent="0.2">
      <c r="A1713" s="577"/>
      <c r="B1713" s="577"/>
      <c r="C1713" s="576"/>
      <c r="D1713" s="607">
        <v>47202</v>
      </c>
      <c r="E1713" s="576" t="s">
        <v>717</v>
      </c>
      <c r="F1713" s="576">
        <v>62500000</v>
      </c>
      <c r="G1713" s="588">
        <v>0</v>
      </c>
      <c r="H1713" s="576">
        <v>0</v>
      </c>
      <c r="I1713" s="589">
        <v>0</v>
      </c>
    </row>
    <row r="1714" spans="1:9" ht="15.75" customHeight="1" x14ac:dyDescent="0.2">
      <c r="A1714" s="577"/>
      <c r="B1714" s="577"/>
      <c r="C1714" s="576"/>
      <c r="D1714" s="607">
        <v>47203</v>
      </c>
      <c r="E1714" s="576" t="s">
        <v>716</v>
      </c>
      <c r="F1714" s="576">
        <v>62500000</v>
      </c>
      <c r="G1714" s="588">
        <v>0</v>
      </c>
      <c r="H1714" s="576">
        <v>0</v>
      </c>
      <c r="I1714" s="589">
        <v>0</v>
      </c>
    </row>
    <row r="1715" spans="1:9" ht="15.75" customHeight="1" x14ac:dyDescent="0.2">
      <c r="A1715" s="577"/>
      <c r="B1715" s="577"/>
      <c r="C1715" s="576"/>
      <c r="D1715" s="607">
        <v>47204</v>
      </c>
      <c r="E1715" s="576" t="s">
        <v>715</v>
      </c>
      <c r="F1715" s="576">
        <v>62500000</v>
      </c>
      <c r="G1715" s="588">
        <v>0</v>
      </c>
      <c r="H1715" s="576">
        <v>0</v>
      </c>
      <c r="I1715" s="589">
        <v>0</v>
      </c>
    </row>
    <row r="1716" spans="1:9" ht="15.75" customHeight="1" x14ac:dyDescent="0.2">
      <c r="A1716" s="577"/>
      <c r="B1716" s="577"/>
      <c r="C1716" s="576"/>
      <c r="D1716" s="607">
        <v>47205</v>
      </c>
      <c r="E1716" s="576" t="s">
        <v>721</v>
      </c>
      <c r="F1716" s="576">
        <v>62500000</v>
      </c>
      <c r="G1716" s="588">
        <v>0</v>
      </c>
      <c r="H1716" s="576">
        <v>0</v>
      </c>
      <c r="I1716" s="589">
        <v>0</v>
      </c>
    </row>
    <row r="1717" spans="1:9" ht="15.75" customHeight="1" x14ac:dyDescent="0.2">
      <c r="A1717" s="577"/>
      <c r="B1717" s="577"/>
      <c r="C1717" s="576"/>
      <c r="D1717" s="607">
        <v>47206</v>
      </c>
      <c r="E1717" s="576" t="s">
        <v>720</v>
      </c>
      <c r="F1717" s="576">
        <v>62500000</v>
      </c>
      <c r="G1717" s="588">
        <v>0</v>
      </c>
      <c r="H1717" s="576">
        <v>0</v>
      </c>
      <c r="I1717" s="589">
        <v>0</v>
      </c>
    </row>
    <row r="1718" spans="1:9" ht="15.75" customHeight="1" x14ac:dyDescent="0.2">
      <c r="A1718" s="577"/>
      <c r="B1718" s="577"/>
      <c r="C1718" s="576"/>
      <c r="D1718" s="607">
        <v>47207</v>
      </c>
      <c r="E1718" s="576" t="s">
        <v>719</v>
      </c>
      <c r="F1718" s="576">
        <v>62500000</v>
      </c>
      <c r="G1718" s="588">
        <v>0</v>
      </c>
      <c r="H1718" s="576">
        <v>0</v>
      </c>
      <c r="I1718" s="589">
        <v>0</v>
      </c>
    </row>
    <row r="1719" spans="1:9" ht="15.75" customHeight="1" x14ac:dyDescent="0.2">
      <c r="A1719" s="577"/>
      <c r="B1719" s="577"/>
      <c r="C1719" s="576"/>
      <c r="D1719" s="607">
        <v>47208</v>
      </c>
      <c r="E1719" s="576" t="s">
        <v>718</v>
      </c>
      <c r="F1719" s="576">
        <v>62500000</v>
      </c>
      <c r="G1719" s="588">
        <v>0</v>
      </c>
      <c r="H1719" s="576">
        <v>0</v>
      </c>
      <c r="I1719" s="589">
        <v>0</v>
      </c>
    </row>
    <row r="1720" spans="1:9" ht="15.75" customHeight="1" x14ac:dyDescent="0.2">
      <c r="A1720" s="577"/>
      <c r="B1720" s="577"/>
      <c r="C1720" s="576"/>
      <c r="D1720" s="607">
        <v>47209</v>
      </c>
      <c r="E1720" s="576" t="s">
        <v>717</v>
      </c>
      <c r="F1720" s="576">
        <v>62500000</v>
      </c>
      <c r="G1720" s="588">
        <v>0</v>
      </c>
      <c r="H1720" s="576">
        <v>0</v>
      </c>
      <c r="I1720" s="589">
        <v>0</v>
      </c>
    </row>
    <row r="1721" spans="1:9" ht="15.75" customHeight="1" x14ac:dyDescent="0.2">
      <c r="A1721" s="577"/>
      <c r="B1721" s="577"/>
      <c r="C1721" s="576"/>
      <c r="D1721" s="607">
        <v>47210</v>
      </c>
      <c r="E1721" s="576" t="s">
        <v>716</v>
      </c>
      <c r="F1721" s="576">
        <v>62500000</v>
      </c>
      <c r="G1721" s="588">
        <v>0</v>
      </c>
      <c r="H1721" s="576">
        <v>0</v>
      </c>
      <c r="I1721" s="589">
        <v>0</v>
      </c>
    </row>
    <row r="1722" spans="1:9" ht="15.75" customHeight="1" x14ac:dyDescent="0.2">
      <c r="A1722" s="577"/>
      <c r="B1722" s="577"/>
      <c r="C1722" s="576"/>
      <c r="D1722" s="607">
        <v>47211</v>
      </c>
      <c r="E1722" s="576" t="s">
        <v>715</v>
      </c>
      <c r="F1722" s="576">
        <v>62500000</v>
      </c>
      <c r="G1722" s="588">
        <v>0</v>
      </c>
      <c r="H1722" s="576">
        <v>0</v>
      </c>
      <c r="I1722" s="589">
        <v>0</v>
      </c>
    </row>
    <row r="1723" spans="1:9" ht="15.75" customHeight="1" x14ac:dyDescent="0.2">
      <c r="A1723" s="577"/>
      <c r="B1723" s="577"/>
      <c r="C1723" s="576"/>
      <c r="D1723" s="607">
        <v>47212</v>
      </c>
      <c r="E1723" s="576" t="s">
        <v>721</v>
      </c>
      <c r="F1723" s="576">
        <v>62500000</v>
      </c>
      <c r="G1723" s="588">
        <v>0</v>
      </c>
      <c r="H1723" s="576">
        <v>0</v>
      </c>
      <c r="I1723" s="589">
        <v>0</v>
      </c>
    </row>
    <row r="1724" spans="1:9" ht="15.75" customHeight="1" x14ac:dyDescent="0.2">
      <c r="A1724" s="577"/>
      <c r="B1724" s="577"/>
      <c r="C1724" s="576"/>
      <c r="D1724" s="607">
        <v>47213</v>
      </c>
      <c r="E1724" s="576" t="s">
        <v>720</v>
      </c>
      <c r="F1724" s="576">
        <v>62500000</v>
      </c>
      <c r="G1724" s="588">
        <v>0</v>
      </c>
      <c r="H1724" s="576">
        <v>0</v>
      </c>
      <c r="I1724" s="589">
        <v>0</v>
      </c>
    </row>
    <row r="1725" spans="1:9" ht="15.75" customHeight="1" x14ac:dyDescent="0.2">
      <c r="A1725" s="577"/>
      <c r="B1725" s="577"/>
      <c r="C1725" s="576"/>
      <c r="D1725" s="607">
        <v>47214</v>
      </c>
      <c r="E1725" s="576" t="s">
        <v>719</v>
      </c>
      <c r="F1725" s="576">
        <v>62500000</v>
      </c>
      <c r="G1725" s="588">
        <v>0</v>
      </c>
      <c r="H1725" s="576">
        <v>0</v>
      </c>
      <c r="I1725" s="589">
        <v>0</v>
      </c>
    </row>
    <row r="1726" spans="1:9" ht="15.75" customHeight="1" x14ac:dyDescent="0.2">
      <c r="A1726" s="577"/>
      <c r="B1726" s="577"/>
      <c r="C1726" s="576"/>
      <c r="D1726" s="607">
        <v>47215</v>
      </c>
      <c r="E1726" s="576" t="s">
        <v>718</v>
      </c>
      <c r="F1726" s="576">
        <v>62500000</v>
      </c>
      <c r="G1726" s="588">
        <v>0</v>
      </c>
      <c r="H1726" s="576">
        <v>0</v>
      </c>
      <c r="I1726" s="589">
        <v>0</v>
      </c>
    </row>
    <row r="1727" spans="1:9" ht="15.75" customHeight="1" x14ac:dyDescent="0.2">
      <c r="A1727" s="577"/>
      <c r="B1727" s="577"/>
      <c r="C1727" s="576"/>
      <c r="D1727" s="607">
        <v>47216</v>
      </c>
      <c r="E1727" s="576" t="s">
        <v>717</v>
      </c>
      <c r="F1727" s="576">
        <v>62500000</v>
      </c>
      <c r="G1727" s="588">
        <v>0</v>
      </c>
      <c r="H1727" s="576">
        <v>0</v>
      </c>
      <c r="I1727" s="589">
        <v>0</v>
      </c>
    </row>
    <row r="1728" spans="1:9" ht="15.75" customHeight="1" x14ac:dyDescent="0.2">
      <c r="A1728" s="577"/>
      <c r="B1728" s="577"/>
      <c r="C1728" s="576"/>
      <c r="D1728" s="607">
        <v>47217</v>
      </c>
      <c r="E1728" s="576" t="s">
        <v>716</v>
      </c>
      <c r="F1728" s="576">
        <v>62500000</v>
      </c>
      <c r="G1728" s="588">
        <v>0</v>
      </c>
      <c r="H1728" s="576">
        <v>0</v>
      </c>
      <c r="I1728" s="589">
        <v>0</v>
      </c>
    </row>
    <row r="1729" spans="1:9" ht="15.75" customHeight="1" x14ac:dyDescent="0.2">
      <c r="A1729" s="577"/>
      <c r="B1729" s="577"/>
      <c r="C1729" s="576"/>
      <c r="D1729" s="607">
        <v>47218</v>
      </c>
      <c r="E1729" s="576" t="s">
        <v>715</v>
      </c>
      <c r="F1729" s="576">
        <v>62500000</v>
      </c>
      <c r="G1729" s="588">
        <v>0</v>
      </c>
      <c r="H1729" s="576">
        <v>0</v>
      </c>
      <c r="I1729" s="589">
        <v>0</v>
      </c>
    </row>
    <row r="1730" spans="1:9" ht="15.75" customHeight="1" x14ac:dyDescent="0.2">
      <c r="A1730" s="577"/>
      <c r="B1730" s="577"/>
      <c r="C1730" s="576"/>
      <c r="D1730" s="607">
        <v>47219</v>
      </c>
      <c r="E1730" s="576" t="s">
        <v>721</v>
      </c>
      <c r="F1730" s="576">
        <v>62500000</v>
      </c>
      <c r="G1730" s="588">
        <v>0</v>
      </c>
      <c r="H1730" s="576">
        <v>0</v>
      </c>
      <c r="I1730" s="589">
        <v>0</v>
      </c>
    </row>
    <row r="1731" spans="1:9" ht="15.75" customHeight="1" x14ac:dyDescent="0.2">
      <c r="A1731" s="577"/>
      <c r="B1731" s="577"/>
      <c r="C1731" s="576"/>
      <c r="D1731" s="607">
        <v>47220</v>
      </c>
      <c r="E1731" s="576" t="s">
        <v>720</v>
      </c>
      <c r="F1731" s="576">
        <v>62500000</v>
      </c>
      <c r="G1731" s="588">
        <v>0</v>
      </c>
      <c r="H1731" s="576">
        <v>0</v>
      </c>
      <c r="I1731" s="589">
        <v>0</v>
      </c>
    </row>
    <row r="1732" spans="1:9" ht="15.75" customHeight="1" x14ac:dyDescent="0.2">
      <c r="A1732" s="577"/>
      <c r="B1732" s="577"/>
      <c r="C1732" s="576"/>
      <c r="D1732" s="607">
        <v>47221</v>
      </c>
      <c r="E1732" s="576" t="s">
        <v>719</v>
      </c>
      <c r="F1732" s="576">
        <v>62500000</v>
      </c>
      <c r="G1732" s="588">
        <v>0</v>
      </c>
      <c r="H1732" s="576">
        <v>0</v>
      </c>
      <c r="I1732" s="589">
        <v>0</v>
      </c>
    </row>
    <row r="1733" spans="1:9" ht="15.75" customHeight="1" x14ac:dyDescent="0.2">
      <c r="A1733" s="577"/>
      <c r="B1733" s="577"/>
      <c r="C1733" s="576"/>
      <c r="D1733" s="607">
        <v>47222</v>
      </c>
      <c r="E1733" s="576" t="s">
        <v>718</v>
      </c>
      <c r="F1733" s="576">
        <v>62500000</v>
      </c>
      <c r="G1733" s="588">
        <v>0</v>
      </c>
      <c r="H1733" s="576">
        <v>0</v>
      </c>
      <c r="I1733" s="589">
        <v>0</v>
      </c>
    </row>
    <row r="1734" spans="1:9" ht="15.75" customHeight="1" x14ac:dyDescent="0.2">
      <c r="A1734" s="577"/>
      <c r="B1734" s="577"/>
      <c r="C1734" s="576"/>
      <c r="D1734" s="607">
        <v>47223</v>
      </c>
      <c r="E1734" s="576" t="s">
        <v>717</v>
      </c>
      <c r="F1734" s="576">
        <v>62500000</v>
      </c>
      <c r="G1734" s="588">
        <v>0</v>
      </c>
      <c r="H1734" s="576">
        <v>0</v>
      </c>
      <c r="I1734" s="589">
        <v>0</v>
      </c>
    </row>
    <row r="1735" spans="1:9" ht="15.75" customHeight="1" x14ac:dyDescent="0.2">
      <c r="A1735" s="577"/>
      <c r="B1735" s="577"/>
      <c r="C1735" s="576"/>
      <c r="D1735" s="607">
        <v>47224</v>
      </c>
      <c r="E1735" s="576" t="s">
        <v>716</v>
      </c>
      <c r="F1735" s="576">
        <v>62500000</v>
      </c>
      <c r="G1735" s="588">
        <v>0</v>
      </c>
      <c r="H1735" s="576">
        <v>0</v>
      </c>
      <c r="I1735" s="589">
        <v>0</v>
      </c>
    </row>
    <row r="1736" spans="1:9" ht="15.75" customHeight="1" x14ac:dyDescent="0.2">
      <c r="A1736" s="577"/>
      <c r="B1736" s="577"/>
      <c r="C1736" s="576"/>
      <c r="D1736" s="607">
        <v>47225</v>
      </c>
      <c r="E1736" s="576" t="s">
        <v>715</v>
      </c>
      <c r="F1736" s="576">
        <v>62500000</v>
      </c>
      <c r="G1736" s="588">
        <v>0</v>
      </c>
      <c r="H1736" s="576">
        <v>0</v>
      </c>
      <c r="I1736" s="589">
        <v>0</v>
      </c>
    </row>
    <row r="1737" spans="1:9" ht="15.75" customHeight="1" x14ac:dyDescent="0.2">
      <c r="A1737" s="577"/>
      <c r="B1737" s="577"/>
      <c r="C1737" s="576"/>
      <c r="D1737" s="607">
        <v>47226</v>
      </c>
      <c r="E1737" s="576" t="s">
        <v>721</v>
      </c>
      <c r="F1737" s="576">
        <v>62500000</v>
      </c>
      <c r="G1737" s="588">
        <v>0</v>
      </c>
      <c r="H1737" s="576">
        <v>0</v>
      </c>
      <c r="I1737" s="589">
        <v>0</v>
      </c>
    </row>
    <row r="1738" spans="1:9" ht="15.75" customHeight="1" x14ac:dyDescent="0.2">
      <c r="A1738" s="577"/>
      <c r="B1738" s="577"/>
      <c r="C1738" s="576"/>
      <c r="D1738" s="607">
        <v>47227</v>
      </c>
      <c r="E1738" s="576" t="s">
        <v>720</v>
      </c>
      <c r="F1738" s="576">
        <v>62500000</v>
      </c>
      <c r="G1738" s="588">
        <v>0</v>
      </c>
      <c r="H1738" s="576">
        <v>0</v>
      </c>
      <c r="I1738" s="589">
        <v>0</v>
      </c>
    </row>
    <row r="1739" spans="1:9" ht="15.75" customHeight="1" x14ac:dyDescent="0.2">
      <c r="A1739" s="577"/>
      <c r="B1739" s="577"/>
      <c r="C1739" s="576"/>
      <c r="D1739" s="607">
        <v>47228</v>
      </c>
      <c r="E1739" s="576" t="s">
        <v>719</v>
      </c>
      <c r="F1739" s="576">
        <v>62500000</v>
      </c>
      <c r="G1739" s="588">
        <v>0</v>
      </c>
      <c r="H1739" s="576">
        <v>0</v>
      </c>
      <c r="I1739" s="589">
        <v>0</v>
      </c>
    </row>
    <row r="1740" spans="1:9" ht="15.75" customHeight="1" x14ac:dyDescent="0.2">
      <c r="A1740" s="577"/>
      <c r="B1740" s="577"/>
      <c r="C1740" s="576"/>
      <c r="D1740" s="607">
        <v>47229</v>
      </c>
      <c r="E1740" s="576" t="s">
        <v>718</v>
      </c>
      <c r="F1740" s="576">
        <v>62500000</v>
      </c>
      <c r="G1740" s="588">
        <v>0</v>
      </c>
      <c r="H1740" s="576">
        <v>0</v>
      </c>
      <c r="I1740" s="589">
        <v>0</v>
      </c>
    </row>
    <row r="1741" spans="1:9" ht="15.75" customHeight="1" x14ac:dyDescent="0.2">
      <c r="A1741" s="577"/>
      <c r="B1741" s="577"/>
      <c r="C1741" s="576"/>
      <c r="D1741" s="607">
        <v>47230</v>
      </c>
      <c r="E1741" s="576" t="s">
        <v>717</v>
      </c>
      <c r="F1741" s="576">
        <v>62500000</v>
      </c>
      <c r="G1741" s="588">
        <v>0</v>
      </c>
      <c r="H1741" s="576">
        <v>0</v>
      </c>
      <c r="I1741" s="589">
        <v>0</v>
      </c>
    </row>
    <row r="1742" spans="1:9" ht="15.75" customHeight="1" x14ac:dyDescent="0.2">
      <c r="A1742" s="577"/>
      <c r="B1742" s="577"/>
      <c r="C1742" s="576"/>
      <c r="D1742" s="607">
        <v>47231</v>
      </c>
      <c r="E1742" s="576" t="s">
        <v>716</v>
      </c>
      <c r="F1742" s="576">
        <v>62500000</v>
      </c>
      <c r="G1742" s="588">
        <v>0</v>
      </c>
      <c r="H1742" s="576">
        <v>0</v>
      </c>
      <c r="I1742" s="589">
        <v>0</v>
      </c>
    </row>
    <row r="1743" spans="1:9" ht="15.75" customHeight="1" x14ac:dyDescent="0.2">
      <c r="A1743" s="577"/>
      <c r="B1743" s="577"/>
      <c r="C1743" s="576"/>
      <c r="D1743" s="607">
        <v>47232</v>
      </c>
      <c r="E1743" s="576" t="s">
        <v>715</v>
      </c>
      <c r="F1743" s="576">
        <v>62500000</v>
      </c>
      <c r="G1743" s="588">
        <v>0</v>
      </c>
      <c r="H1743" s="576">
        <v>0</v>
      </c>
      <c r="I1743" s="589">
        <v>0</v>
      </c>
    </row>
    <row r="1744" spans="1:9" ht="15.75" customHeight="1" x14ac:dyDescent="0.2">
      <c r="A1744" s="577"/>
      <c r="B1744" s="577"/>
      <c r="C1744" s="576"/>
      <c r="D1744" s="607">
        <v>47233</v>
      </c>
      <c r="E1744" s="576" t="s">
        <v>721</v>
      </c>
      <c r="F1744" s="576">
        <v>62500000</v>
      </c>
      <c r="G1744" s="588">
        <v>0</v>
      </c>
      <c r="H1744" s="576">
        <v>0</v>
      </c>
      <c r="I1744" s="589">
        <v>0</v>
      </c>
    </row>
    <row r="1745" spans="1:9" ht="15.75" customHeight="1" x14ac:dyDescent="0.2">
      <c r="A1745" s="577"/>
      <c r="B1745" s="577"/>
      <c r="C1745" s="576"/>
      <c r="D1745" s="607">
        <v>47234</v>
      </c>
      <c r="E1745" s="576" t="s">
        <v>720</v>
      </c>
      <c r="F1745" s="576">
        <v>62500000</v>
      </c>
      <c r="G1745" s="588">
        <v>0</v>
      </c>
      <c r="H1745" s="576">
        <v>0</v>
      </c>
      <c r="I1745" s="589">
        <v>0</v>
      </c>
    </row>
    <row r="1746" spans="1:9" ht="15.75" customHeight="1" x14ac:dyDescent="0.2">
      <c r="A1746" s="577"/>
      <c r="B1746" s="577"/>
      <c r="C1746" s="576"/>
      <c r="D1746" s="607">
        <v>47235</v>
      </c>
      <c r="E1746" s="576" t="s">
        <v>719</v>
      </c>
      <c r="F1746" s="576">
        <v>62500000</v>
      </c>
      <c r="G1746" s="588">
        <v>0</v>
      </c>
      <c r="H1746" s="576">
        <v>0</v>
      </c>
      <c r="I1746" s="589">
        <v>0</v>
      </c>
    </row>
    <row r="1747" spans="1:9" ht="15.75" customHeight="1" x14ac:dyDescent="0.2">
      <c r="A1747" s="577"/>
      <c r="B1747" s="577"/>
      <c r="C1747" s="576"/>
      <c r="D1747" s="607">
        <v>47236</v>
      </c>
      <c r="E1747" s="576" t="s">
        <v>718</v>
      </c>
      <c r="F1747" s="576">
        <v>62500000</v>
      </c>
      <c r="G1747" s="588">
        <v>0</v>
      </c>
      <c r="H1747" s="576">
        <v>0</v>
      </c>
      <c r="I1747" s="589">
        <v>0</v>
      </c>
    </row>
    <row r="1748" spans="1:9" ht="15.75" customHeight="1" x14ac:dyDescent="0.2">
      <c r="A1748" s="577"/>
      <c r="B1748" s="577"/>
      <c r="C1748" s="576"/>
      <c r="D1748" s="607">
        <v>47237</v>
      </c>
      <c r="E1748" s="576" t="s">
        <v>717</v>
      </c>
      <c r="F1748" s="576">
        <v>62500000</v>
      </c>
      <c r="G1748" s="588">
        <v>0</v>
      </c>
      <c r="H1748" s="576">
        <v>0</v>
      </c>
      <c r="I1748" s="589">
        <v>0</v>
      </c>
    </row>
    <row r="1749" spans="1:9" ht="15.75" customHeight="1" x14ac:dyDescent="0.2">
      <c r="A1749" s="577"/>
      <c r="B1749" s="577"/>
      <c r="C1749" s="576"/>
      <c r="D1749" s="607">
        <v>47238</v>
      </c>
      <c r="E1749" s="576" t="s">
        <v>716</v>
      </c>
      <c r="F1749" s="576">
        <v>62500000</v>
      </c>
      <c r="G1749" s="588">
        <v>0</v>
      </c>
      <c r="H1749" s="576">
        <v>0</v>
      </c>
      <c r="I1749" s="589">
        <v>0</v>
      </c>
    </row>
    <row r="1750" spans="1:9" ht="15.75" customHeight="1" x14ac:dyDescent="0.2">
      <c r="A1750" s="577"/>
      <c r="B1750" s="577"/>
      <c r="C1750" s="576"/>
      <c r="D1750" s="607">
        <v>47239</v>
      </c>
      <c r="E1750" s="576" t="s">
        <v>715</v>
      </c>
      <c r="F1750" s="576">
        <v>62500000</v>
      </c>
      <c r="G1750" s="588">
        <v>0</v>
      </c>
      <c r="H1750" s="576">
        <v>0</v>
      </c>
      <c r="I1750" s="589">
        <v>0</v>
      </c>
    </row>
    <row r="1751" spans="1:9" ht="15.75" customHeight="1" x14ac:dyDescent="0.2">
      <c r="A1751" s="577"/>
      <c r="B1751" s="577"/>
      <c r="C1751" s="576"/>
      <c r="D1751" s="607">
        <v>47240</v>
      </c>
      <c r="E1751" s="576" t="s">
        <v>721</v>
      </c>
      <c r="F1751" s="576">
        <v>62500000</v>
      </c>
      <c r="G1751" s="588">
        <v>0</v>
      </c>
      <c r="H1751" s="576">
        <v>0</v>
      </c>
      <c r="I1751" s="589">
        <v>0</v>
      </c>
    </row>
    <row r="1752" spans="1:9" ht="15.75" customHeight="1" x14ac:dyDescent="0.2">
      <c r="A1752" s="577"/>
      <c r="B1752" s="577"/>
      <c r="C1752" s="576"/>
      <c r="D1752" s="607">
        <v>47241</v>
      </c>
      <c r="E1752" s="576" t="s">
        <v>720</v>
      </c>
      <c r="F1752" s="576">
        <v>62500000</v>
      </c>
      <c r="G1752" s="588">
        <v>0</v>
      </c>
      <c r="H1752" s="576">
        <v>0</v>
      </c>
      <c r="I1752" s="589">
        <v>0</v>
      </c>
    </row>
    <row r="1753" spans="1:9" ht="15.75" customHeight="1" x14ac:dyDescent="0.2">
      <c r="A1753" s="577"/>
      <c r="B1753" s="577"/>
      <c r="C1753" s="576"/>
      <c r="D1753" s="607">
        <v>47242</v>
      </c>
      <c r="E1753" s="576" t="s">
        <v>719</v>
      </c>
      <c r="F1753" s="576">
        <v>62500000</v>
      </c>
      <c r="G1753" s="588">
        <v>0</v>
      </c>
      <c r="H1753" s="576">
        <v>0</v>
      </c>
      <c r="I1753" s="589">
        <v>0</v>
      </c>
    </row>
    <row r="1754" spans="1:9" ht="15.75" customHeight="1" x14ac:dyDescent="0.2">
      <c r="A1754" s="577"/>
      <c r="B1754" s="577"/>
      <c r="C1754" s="576"/>
      <c r="D1754" s="607">
        <v>47243</v>
      </c>
      <c r="E1754" s="576" t="s">
        <v>718</v>
      </c>
      <c r="F1754" s="576">
        <v>62500000</v>
      </c>
      <c r="G1754" s="588">
        <v>0</v>
      </c>
      <c r="H1754" s="576">
        <v>0</v>
      </c>
      <c r="I1754" s="589">
        <v>0</v>
      </c>
    </row>
    <row r="1755" spans="1:9" ht="15.75" customHeight="1" x14ac:dyDescent="0.2">
      <c r="A1755" s="577"/>
      <c r="B1755" s="577"/>
      <c r="C1755" s="576"/>
      <c r="D1755" s="607">
        <v>47244</v>
      </c>
      <c r="E1755" s="576" t="s">
        <v>717</v>
      </c>
      <c r="F1755" s="576">
        <v>62500000</v>
      </c>
      <c r="G1755" s="588">
        <v>0</v>
      </c>
      <c r="H1755" s="576">
        <v>0</v>
      </c>
      <c r="I1755" s="589">
        <v>0</v>
      </c>
    </row>
    <row r="1756" spans="1:9" ht="15.75" customHeight="1" x14ac:dyDescent="0.2">
      <c r="A1756" s="577"/>
      <c r="B1756" s="577"/>
      <c r="C1756" s="576"/>
      <c r="D1756" s="607">
        <v>47245</v>
      </c>
      <c r="E1756" s="576" t="s">
        <v>716</v>
      </c>
      <c r="F1756" s="576">
        <v>62500000</v>
      </c>
      <c r="G1756" s="588">
        <v>0</v>
      </c>
      <c r="H1756" s="576">
        <v>0</v>
      </c>
      <c r="I1756" s="589">
        <v>0</v>
      </c>
    </row>
    <row r="1757" spans="1:9" ht="15.75" customHeight="1" x14ac:dyDescent="0.2">
      <c r="A1757" s="577"/>
      <c r="B1757" s="577"/>
      <c r="C1757" s="576"/>
      <c r="D1757" s="607">
        <v>47246</v>
      </c>
      <c r="E1757" s="576" t="s">
        <v>715</v>
      </c>
      <c r="F1757" s="576">
        <v>62500000</v>
      </c>
      <c r="G1757" s="588">
        <v>0</v>
      </c>
      <c r="H1757" s="576">
        <v>0</v>
      </c>
      <c r="I1757" s="589">
        <v>0</v>
      </c>
    </row>
    <row r="1758" spans="1:9" ht="15.75" customHeight="1" x14ac:dyDescent="0.2">
      <c r="A1758" s="577"/>
      <c r="B1758" s="577"/>
      <c r="C1758" s="576"/>
      <c r="D1758" s="607">
        <v>47247</v>
      </c>
      <c r="E1758" s="576" t="s">
        <v>721</v>
      </c>
      <c r="F1758" s="576">
        <v>62500000</v>
      </c>
      <c r="G1758" s="588">
        <v>0</v>
      </c>
      <c r="H1758" s="576">
        <v>0</v>
      </c>
      <c r="I1758" s="589">
        <v>0</v>
      </c>
    </row>
    <row r="1759" spans="1:9" ht="15.75" customHeight="1" x14ac:dyDescent="0.2">
      <c r="A1759" s="577"/>
      <c r="B1759" s="577"/>
      <c r="C1759" s="576"/>
      <c r="D1759" s="607">
        <v>47248</v>
      </c>
      <c r="E1759" s="576" t="s">
        <v>720</v>
      </c>
      <c r="F1759" s="576">
        <v>62500000</v>
      </c>
      <c r="G1759" s="588">
        <v>0</v>
      </c>
      <c r="H1759" s="576">
        <v>0</v>
      </c>
      <c r="I1759" s="589">
        <v>0</v>
      </c>
    </row>
    <row r="1760" spans="1:9" ht="15.75" customHeight="1" x14ac:dyDescent="0.2">
      <c r="A1760" s="577"/>
      <c r="B1760" s="577"/>
      <c r="C1760" s="576"/>
      <c r="D1760" s="607">
        <v>47249</v>
      </c>
      <c r="E1760" s="576" t="s">
        <v>719</v>
      </c>
      <c r="F1760" s="576">
        <v>62500000</v>
      </c>
      <c r="G1760" s="588">
        <v>0</v>
      </c>
      <c r="H1760" s="576">
        <v>0</v>
      </c>
      <c r="I1760" s="589">
        <v>0</v>
      </c>
    </row>
    <row r="1761" spans="1:9" ht="15.75" customHeight="1" x14ac:dyDescent="0.2">
      <c r="A1761" s="577"/>
      <c r="B1761" s="577"/>
      <c r="C1761" s="576"/>
      <c r="D1761" s="607">
        <v>47250</v>
      </c>
      <c r="E1761" s="576" t="s">
        <v>718</v>
      </c>
      <c r="F1761" s="576">
        <v>62500000</v>
      </c>
      <c r="G1761" s="588">
        <v>0</v>
      </c>
      <c r="H1761" s="576">
        <v>0</v>
      </c>
      <c r="I1761" s="589">
        <v>0</v>
      </c>
    </row>
    <row r="1762" spans="1:9" ht="15.75" customHeight="1" x14ac:dyDescent="0.2">
      <c r="A1762" s="577"/>
      <c r="B1762" s="577"/>
      <c r="C1762" s="576"/>
      <c r="D1762" s="607">
        <v>47251</v>
      </c>
      <c r="E1762" s="576" t="s">
        <v>717</v>
      </c>
      <c r="F1762" s="576">
        <v>62500000</v>
      </c>
      <c r="G1762" s="588">
        <v>0</v>
      </c>
      <c r="H1762" s="576">
        <v>0</v>
      </c>
      <c r="I1762" s="589">
        <v>0</v>
      </c>
    </row>
    <row r="1763" spans="1:9" ht="15.75" customHeight="1" x14ac:dyDescent="0.2">
      <c r="A1763" s="577"/>
      <c r="B1763" s="577"/>
      <c r="C1763" s="576"/>
      <c r="D1763" s="607">
        <v>47252</v>
      </c>
      <c r="E1763" s="576" t="s">
        <v>716</v>
      </c>
      <c r="F1763" s="576">
        <v>62500000</v>
      </c>
      <c r="G1763" s="588">
        <v>0</v>
      </c>
      <c r="H1763" s="576">
        <v>0</v>
      </c>
      <c r="I1763" s="589">
        <v>0</v>
      </c>
    </row>
    <row r="1764" spans="1:9" ht="15.75" customHeight="1" x14ac:dyDescent="0.2">
      <c r="A1764" s="577"/>
      <c r="B1764" s="577"/>
      <c r="C1764" s="576"/>
      <c r="D1764" s="607">
        <v>47253</v>
      </c>
      <c r="E1764" s="576" t="s">
        <v>715</v>
      </c>
      <c r="F1764" s="576">
        <v>62500000</v>
      </c>
      <c r="G1764" s="588">
        <v>0</v>
      </c>
      <c r="H1764" s="576">
        <v>0</v>
      </c>
      <c r="I1764" s="589">
        <v>0</v>
      </c>
    </row>
    <row r="1765" spans="1:9" ht="15.75" customHeight="1" x14ac:dyDescent="0.2">
      <c r="A1765" s="577"/>
      <c r="B1765" s="577"/>
      <c r="C1765" s="576"/>
      <c r="D1765" s="607">
        <v>47254</v>
      </c>
      <c r="E1765" s="576" t="s">
        <v>721</v>
      </c>
      <c r="F1765" s="576">
        <v>62500000</v>
      </c>
      <c r="G1765" s="588">
        <v>0</v>
      </c>
      <c r="H1765" s="576">
        <v>0</v>
      </c>
      <c r="I1765" s="589">
        <v>0</v>
      </c>
    </row>
    <row r="1766" spans="1:9" ht="15.75" customHeight="1" x14ac:dyDescent="0.2">
      <c r="A1766" s="577"/>
      <c r="B1766" s="577"/>
      <c r="C1766" s="576"/>
      <c r="D1766" s="607">
        <v>47255</v>
      </c>
      <c r="E1766" s="576" t="s">
        <v>720</v>
      </c>
      <c r="F1766" s="576">
        <v>62500000</v>
      </c>
      <c r="G1766" s="588">
        <v>0</v>
      </c>
      <c r="H1766" s="576">
        <v>0</v>
      </c>
      <c r="I1766" s="589">
        <v>0</v>
      </c>
    </row>
    <row r="1767" spans="1:9" ht="15.75" customHeight="1" x14ac:dyDescent="0.2">
      <c r="A1767" s="577"/>
      <c r="B1767" s="577"/>
      <c r="C1767" s="576"/>
      <c r="D1767" s="607">
        <v>47256</v>
      </c>
      <c r="E1767" s="576" t="s">
        <v>719</v>
      </c>
      <c r="F1767" s="576">
        <v>62500000</v>
      </c>
      <c r="G1767" s="588">
        <v>0</v>
      </c>
      <c r="H1767" s="576">
        <v>0</v>
      </c>
      <c r="I1767" s="589">
        <v>0</v>
      </c>
    </row>
    <row r="1768" spans="1:9" ht="15.75" customHeight="1" x14ac:dyDescent="0.2">
      <c r="A1768" s="577"/>
      <c r="B1768" s="577"/>
      <c r="C1768" s="576"/>
      <c r="D1768" s="607">
        <v>47257</v>
      </c>
      <c r="E1768" s="576" t="s">
        <v>718</v>
      </c>
      <c r="F1768" s="576">
        <v>62500000</v>
      </c>
      <c r="G1768" s="588">
        <v>0</v>
      </c>
      <c r="H1768" s="576">
        <v>0</v>
      </c>
      <c r="I1768" s="589">
        <v>0</v>
      </c>
    </row>
    <row r="1769" spans="1:9" ht="15.75" customHeight="1" x14ac:dyDescent="0.2">
      <c r="A1769" s="577"/>
      <c r="B1769" s="577"/>
      <c r="C1769" s="576"/>
      <c r="D1769" s="607">
        <v>47258</v>
      </c>
      <c r="E1769" s="576" t="s">
        <v>717</v>
      </c>
      <c r="F1769" s="576">
        <v>62500000</v>
      </c>
      <c r="G1769" s="588">
        <v>0</v>
      </c>
      <c r="H1769" s="576">
        <v>0</v>
      </c>
      <c r="I1769" s="589">
        <v>0</v>
      </c>
    </row>
    <row r="1770" spans="1:9" ht="15.75" customHeight="1" x14ac:dyDescent="0.2">
      <c r="A1770" s="577"/>
      <c r="B1770" s="577"/>
      <c r="C1770" s="576"/>
      <c r="D1770" s="607">
        <v>47259</v>
      </c>
      <c r="E1770" s="576" t="s">
        <v>716</v>
      </c>
      <c r="F1770" s="576">
        <v>62500000</v>
      </c>
      <c r="G1770" s="588">
        <v>0</v>
      </c>
      <c r="H1770" s="576">
        <v>0</v>
      </c>
      <c r="I1770" s="589">
        <v>0</v>
      </c>
    </row>
    <row r="1771" spans="1:9" ht="15.75" customHeight="1" x14ac:dyDescent="0.2">
      <c r="A1771" s="577"/>
      <c r="B1771" s="577"/>
      <c r="C1771" s="576"/>
      <c r="D1771" s="607">
        <v>47260</v>
      </c>
      <c r="E1771" s="576" t="s">
        <v>715</v>
      </c>
      <c r="F1771" s="576">
        <v>62500000</v>
      </c>
      <c r="G1771" s="588">
        <v>0</v>
      </c>
      <c r="H1771" s="576">
        <v>0</v>
      </c>
      <c r="I1771" s="589">
        <v>0</v>
      </c>
    </row>
    <row r="1772" spans="1:9" ht="15.75" customHeight="1" x14ac:dyDescent="0.2">
      <c r="A1772" s="577"/>
      <c r="B1772" s="577"/>
      <c r="C1772" s="576"/>
      <c r="D1772" s="607">
        <v>47261</v>
      </c>
      <c r="E1772" s="576" t="s">
        <v>721</v>
      </c>
      <c r="F1772" s="576">
        <v>62500000</v>
      </c>
      <c r="G1772" s="588">
        <v>0</v>
      </c>
      <c r="H1772" s="576">
        <v>0</v>
      </c>
      <c r="I1772" s="589">
        <v>0</v>
      </c>
    </row>
    <row r="1773" spans="1:9" ht="15.75" customHeight="1" x14ac:dyDescent="0.2">
      <c r="A1773" s="577"/>
      <c r="B1773" s="577"/>
      <c r="C1773" s="576"/>
      <c r="D1773" s="607">
        <v>47262</v>
      </c>
      <c r="E1773" s="576" t="s">
        <v>720</v>
      </c>
      <c r="F1773" s="576">
        <v>62500000</v>
      </c>
      <c r="G1773" s="588">
        <v>0</v>
      </c>
      <c r="H1773" s="576">
        <v>0</v>
      </c>
      <c r="I1773" s="589">
        <v>0</v>
      </c>
    </row>
    <row r="1774" spans="1:9" ht="15.75" customHeight="1" x14ac:dyDescent="0.2">
      <c r="A1774" s="577"/>
      <c r="B1774" s="577"/>
      <c r="C1774" s="576"/>
      <c r="D1774" s="607">
        <v>47263</v>
      </c>
      <c r="E1774" s="576" t="s">
        <v>719</v>
      </c>
      <c r="F1774" s="576">
        <v>62500000</v>
      </c>
      <c r="G1774" s="588">
        <v>0</v>
      </c>
      <c r="H1774" s="576">
        <v>0</v>
      </c>
      <c r="I1774" s="589">
        <v>0</v>
      </c>
    </row>
    <row r="1775" spans="1:9" ht="15.75" customHeight="1" x14ac:dyDescent="0.2">
      <c r="A1775" s="577"/>
      <c r="B1775" s="577"/>
      <c r="C1775" s="576"/>
      <c r="D1775" s="607">
        <v>47264</v>
      </c>
      <c r="E1775" s="576" t="s">
        <v>718</v>
      </c>
      <c r="F1775" s="576">
        <v>62500000</v>
      </c>
      <c r="G1775" s="588">
        <v>0</v>
      </c>
      <c r="H1775" s="576">
        <v>0</v>
      </c>
      <c r="I1775" s="589">
        <v>0</v>
      </c>
    </row>
    <row r="1776" spans="1:9" ht="15.75" customHeight="1" x14ac:dyDescent="0.2">
      <c r="A1776" s="577"/>
      <c r="B1776" s="577"/>
      <c r="C1776" s="576"/>
      <c r="D1776" s="607">
        <v>47265</v>
      </c>
      <c r="E1776" s="576" t="s">
        <v>717</v>
      </c>
      <c r="F1776" s="576">
        <v>62500000</v>
      </c>
      <c r="G1776" s="588">
        <v>0</v>
      </c>
      <c r="H1776" s="576">
        <v>0</v>
      </c>
      <c r="I1776" s="589">
        <v>0</v>
      </c>
    </row>
    <row r="1777" spans="1:9" ht="15.75" customHeight="1" x14ac:dyDescent="0.2">
      <c r="A1777" s="577"/>
      <c r="B1777" s="577"/>
      <c r="C1777" s="576"/>
      <c r="D1777" s="607">
        <v>47266</v>
      </c>
      <c r="E1777" s="576" t="s">
        <v>716</v>
      </c>
      <c r="F1777" s="576">
        <v>62500000</v>
      </c>
      <c r="G1777" s="588">
        <v>0</v>
      </c>
      <c r="H1777" s="576">
        <v>0</v>
      </c>
      <c r="I1777" s="589">
        <v>0</v>
      </c>
    </row>
    <row r="1778" spans="1:9" ht="15.75" customHeight="1" x14ac:dyDescent="0.2">
      <c r="A1778" s="577"/>
      <c r="B1778" s="577"/>
      <c r="C1778" s="576"/>
      <c r="D1778" s="607">
        <v>47267</v>
      </c>
      <c r="E1778" s="576" t="s">
        <v>715</v>
      </c>
      <c r="F1778" s="576">
        <v>62500000</v>
      </c>
      <c r="G1778" s="588">
        <v>0</v>
      </c>
      <c r="H1778" s="576">
        <v>0</v>
      </c>
      <c r="I1778" s="589">
        <v>0</v>
      </c>
    </row>
    <row r="1779" spans="1:9" ht="15.75" customHeight="1" x14ac:dyDescent="0.2">
      <c r="A1779" s="577"/>
      <c r="B1779" s="577"/>
      <c r="C1779" s="576"/>
      <c r="D1779" s="607">
        <v>47268</v>
      </c>
      <c r="E1779" s="576" t="s">
        <v>721</v>
      </c>
      <c r="F1779" s="576">
        <v>62500000</v>
      </c>
      <c r="G1779" s="588">
        <v>0</v>
      </c>
      <c r="H1779" s="576">
        <v>0</v>
      </c>
      <c r="I1779" s="589">
        <v>0</v>
      </c>
    </row>
    <row r="1780" spans="1:9" ht="15.75" customHeight="1" x14ac:dyDescent="0.2">
      <c r="A1780" s="577"/>
      <c r="B1780" s="577"/>
      <c r="C1780" s="576"/>
      <c r="D1780" s="607">
        <v>47269</v>
      </c>
      <c r="E1780" s="576" t="s">
        <v>720</v>
      </c>
      <c r="F1780" s="576">
        <v>62500000</v>
      </c>
      <c r="G1780" s="588">
        <v>0</v>
      </c>
      <c r="H1780" s="576">
        <v>0</v>
      </c>
      <c r="I1780" s="589">
        <v>0</v>
      </c>
    </row>
    <row r="1781" spans="1:9" ht="15.75" customHeight="1" x14ac:dyDescent="0.2">
      <c r="A1781" s="577"/>
      <c r="B1781" s="577"/>
      <c r="C1781" s="576"/>
      <c r="D1781" s="607">
        <v>47270</v>
      </c>
      <c r="E1781" s="576" t="s">
        <v>719</v>
      </c>
      <c r="F1781" s="576">
        <v>62500000</v>
      </c>
      <c r="G1781" s="588">
        <v>0</v>
      </c>
      <c r="H1781" s="576">
        <v>0</v>
      </c>
      <c r="I1781" s="589">
        <v>0</v>
      </c>
    </row>
    <row r="1782" spans="1:9" ht="15.75" customHeight="1" x14ac:dyDescent="0.2">
      <c r="A1782" s="577"/>
      <c r="B1782" s="577"/>
      <c r="C1782" s="576"/>
      <c r="D1782" s="607">
        <v>47271</v>
      </c>
      <c r="E1782" s="576" t="s">
        <v>718</v>
      </c>
      <c r="F1782" s="576">
        <v>62500000</v>
      </c>
      <c r="G1782" s="588">
        <v>0</v>
      </c>
      <c r="H1782" s="576">
        <v>0</v>
      </c>
      <c r="I1782" s="589">
        <v>0</v>
      </c>
    </row>
    <row r="1783" spans="1:9" ht="15.75" customHeight="1" x14ac:dyDescent="0.2">
      <c r="A1783" s="577"/>
      <c r="B1783" s="577"/>
      <c r="C1783" s="576"/>
      <c r="D1783" s="607">
        <v>47272</v>
      </c>
      <c r="E1783" s="576" t="s">
        <v>717</v>
      </c>
      <c r="F1783" s="576">
        <v>62500000</v>
      </c>
      <c r="G1783" s="588">
        <v>0</v>
      </c>
      <c r="H1783" s="576">
        <v>0</v>
      </c>
      <c r="I1783" s="589">
        <v>0</v>
      </c>
    </row>
    <row r="1784" spans="1:9" ht="15.75" customHeight="1" x14ac:dyDescent="0.2">
      <c r="A1784" s="577"/>
      <c r="B1784" s="577"/>
      <c r="C1784" s="576"/>
      <c r="D1784" s="607">
        <v>47273</v>
      </c>
      <c r="E1784" s="576" t="s">
        <v>716</v>
      </c>
      <c r="F1784" s="576">
        <v>62500000</v>
      </c>
      <c r="G1784" s="588">
        <v>0</v>
      </c>
      <c r="H1784" s="576">
        <v>0</v>
      </c>
      <c r="I1784" s="589">
        <v>0</v>
      </c>
    </row>
    <row r="1785" spans="1:9" ht="15.75" customHeight="1" x14ac:dyDescent="0.2">
      <c r="A1785" s="577"/>
      <c r="B1785" s="577"/>
      <c r="C1785" s="576"/>
      <c r="D1785" s="607">
        <v>47274</v>
      </c>
      <c r="E1785" s="576" t="s">
        <v>715</v>
      </c>
      <c r="F1785" s="576">
        <v>62500000</v>
      </c>
      <c r="G1785" s="588">
        <v>0</v>
      </c>
      <c r="H1785" s="576">
        <v>0</v>
      </c>
      <c r="I1785" s="589">
        <v>0</v>
      </c>
    </row>
    <row r="1786" spans="1:9" ht="15.75" customHeight="1" x14ac:dyDescent="0.2">
      <c r="A1786" s="577"/>
      <c r="B1786" s="577"/>
      <c r="C1786" s="576"/>
      <c r="D1786" s="607">
        <v>47275</v>
      </c>
      <c r="E1786" s="576" t="s">
        <v>721</v>
      </c>
      <c r="F1786" s="576">
        <v>62500000</v>
      </c>
      <c r="G1786" s="588">
        <v>0</v>
      </c>
      <c r="H1786" s="576">
        <v>0</v>
      </c>
      <c r="I1786" s="589">
        <v>0</v>
      </c>
    </row>
    <row r="1787" spans="1:9" ht="15.75" customHeight="1" x14ac:dyDescent="0.2">
      <c r="A1787" s="577"/>
      <c r="B1787" s="577"/>
      <c r="C1787" s="576"/>
      <c r="D1787" s="607">
        <v>47276</v>
      </c>
      <c r="E1787" s="576" t="s">
        <v>720</v>
      </c>
      <c r="F1787" s="576">
        <v>62500000</v>
      </c>
      <c r="G1787" s="588">
        <v>0</v>
      </c>
      <c r="H1787" s="576">
        <v>0</v>
      </c>
      <c r="I1787" s="589">
        <v>0</v>
      </c>
    </row>
    <row r="1788" spans="1:9" ht="15.75" customHeight="1" x14ac:dyDescent="0.2">
      <c r="A1788" s="577"/>
      <c r="B1788" s="577"/>
      <c r="C1788" s="576"/>
      <c r="D1788" s="607">
        <v>47277</v>
      </c>
      <c r="E1788" s="576" t="s">
        <v>719</v>
      </c>
      <c r="F1788" s="576">
        <v>62500000</v>
      </c>
      <c r="G1788" s="588">
        <v>0</v>
      </c>
      <c r="H1788" s="576">
        <v>0</v>
      </c>
      <c r="I1788" s="589">
        <v>0</v>
      </c>
    </row>
    <row r="1789" spans="1:9" ht="15.75" customHeight="1" x14ac:dyDescent="0.2">
      <c r="A1789" s="577"/>
      <c r="B1789" s="577"/>
      <c r="C1789" s="576"/>
      <c r="D1789" s="607">
        <v>47278</v>
      </c>
      <c r="E1789" s="576" t="s">
        <v>718</v>
      </c>
      <c r="F1789" s="576">
        <v>62500000</v>
      </c>
      <c r="G1789" s="588">
        <v>0</v>
      </c>
      <c r="H1789" s="576">
        <v>0</v>
      </c>
      <c r="I1789" s="589">
        <v>0</v>
      </c>
    </row>
    <row r="1790" spans="1:9" ht="15.75" customHeight="1" x14ac:dyDescent="0.2">
      <c r="A1790" s="577"/>
      <c r="B1790" s="577"/>
      <c r="C1790" s="576"/>
      <c r="D1790" s="607">
        <v>47279</v>
      </c>
      <c r="E1790" s="576" t="s">
        <v>717</v>
      </c>
      <c r="F1790" s="576">
        <v>62500000</v>
      </c>
      <c r="G1790" s="588">
        <v>0</v>
      </c>
      <c r="H1790" s="576">
        <v>0</v>
      </c>
      <c r="I1790" s="589">
        <v>0</v>
      </c>
    </row>
    <row r="1791" spans="1:9" ht="15.75" customHeight="1" x14ac:dyDescent="0.2">
      <c r="A1791" s="577"/>
      <c r="B1791" s="577"/>
      <c r="C1791" s="576"/>
      <c r="D1791" s="607">
        <v>47280</v>
      </c>
      <c r="E1791" s="576" t="s">
        <v>716</v>
      </c>
      <c r="F1791" s="576">
        <v>62500000</v>
      </c>
      <c r="G1791" s="588">
        <v>0</v>
      </c>
      <c r="H1791" s="576">
        <v>0</v>
      </c>
      <c r="I1791" s="589">
        <v>0</v>
      </c>
    </row>
    <row r="1792" spans="1:9" ht="15.75" customHeight="1" x14ac:dyDescent="0.2">
      <c r="A1792" s="577"/>
      <c r="B1792" s="577"/>
      <c r="C1792" s="576"/>
      <c r="D1792" s="607">
        <v>47281</v>
      </c>
      <c r="E1792" s="576" t="s">
        <v>715</v>
      </c>
      <c r="F1792" s="576">
        <v>62500000</v>
      </c>
      <c r="G1792" s="588">
        <v>0</v>
      </c>
      <c r="H1792" s="576">
        <v>0</v>
      </c>
      <c r="I1792" s="589">
        <v>0</v>
      </c>
    </row>
    <row r="1793" spans="1:9" ht="15.75" customHeight="1" x14ac:dyDescent="0.2">
      <c r="A1793" s="577"/>
      <c r="B1793" s="577"/>
      <c r="C1793" s="576"/>
      <c r="D1793" s="607">
        <v>47282</v>
      </c>
      <c r="E1793" s="576" t="s">
        <v>721</v>
      </c>
      <c r="F1793" s="576">
        <v>62500000</v>
      </c>
      <c r="G1793" s="588">
        <v>0</v>
      </c>
      <c r="H1793" s="576">
        <v>0</v>
      </c>
      <c r="I1793" s="589">
        <v>0</v>
      </c>
    </row>
    <row r="1794" spans="1:9" ht="15.75" customHeight="1" x14ac:dyDescent="0.2">
      <c r="A1794" s="577"/>
      <c r="B1794" s="577"/>
      <c r="C1794" s="576"/>
      <c r="D1794" s="607">
        <v>47283</v>
      </c>
      <c r="E1794" s="576" t="s">
        <v>720</v>
      </c>
      <c r="F1794" s="576">
        <v>62500000</v>
      </c>
      <c r="G1794" s="588">
        <v>0</v>
      </c>
      <c r="H1794" s="576">
        <v>0</v>
      </c>
      <c r="I1794" s="589">
        <v>0</v>
      </c>
    </row>
    <row r="1795" spans="1:9" ht="15.75" customHeight="1" x14ac:dyDescent="0.2">
      <c r="A1795" s="577"/>
      <c r="B1795" s="577"/>
      <c r="C1795" s="576"/>
      <c r="D1795" s="607">
        <v>47284</v>
      </c>
      <c r="E1795" s="576" t="s">
        <v>719</v>
      </c>
      <c r="F1795" s="576">
        <v>62500000</v>
      </c>
      <c r="G1795" s="588">
        <v>0</v>
      </c>
      <c r="H1795" s="576">
        <v>0</v>
      </c>
      <c r="I1795" s="589">
        <v>0</v>
      </c>
    </row>
    <row r="1796" spans="1:9" ht="15.75" customHeight="1" x14ac:dyDescent="0.2">
      <c r="A1796" s="577"/>
      <c r="B1796" s="577"/>
      <c r="C1796" s="576"/>
      <c r="D1796" s="607">
        <v>47285</v>
      </c>
      <c r="E1796" s="576" t="s">
        <v>718</v>
      </c>
      <c r="F1796" s="576">
        <v>62500000</v>
      </c>
      <c r="G1796" s="588">
        <v>0</v>
      </c>
      <c r="H1796" s="576">
        <v>0</v>
      </c>
      <c r="I1796" s="589">
        <v>0</v>
      </c>
    </row>
    <row r="1797" spans="1:9" ht="15.75" customHeight="1" x14ac:dyDescent="0.2">
      <c r="A1797" s="577"/>
      <c r="B1797" s="577"/>
      <c r="C1797" s="576"/>
      <c r="D1797" s="607">
        <v>47286</v>
      </c>
      <c r="E1797" s="576" t="s">
        <v>717</v>
      </c>
      <c r="F1797" s="576">
        <v>62500000</v>
      </c>
      <c r="G1797" s="588">
        <v>0</v>
      </c>
      <c r="H1797" s="576">
        <v>0</v>
      </c>
      <c r="I1797" s="589">
        <v>0</v>
      </c>
    </row>
    <row r="1798" spans="1:9" ht="15.75" customHeight="1" x14ac:dyDescent="0.2">
      <c r="A1798" s="577"/>
      <c r="B1798" s="577"/>
      <c r="C1798" s="576"/>
      <c r="D1798" s="607">
        <v>47287</v>
      </c>
      <c r="E1798" s="576" t="s">
        <v>716</v>
      </c>
      <c r="F1798" s="576">
        <v>62500000</v>
      </c>
      <c r="G1798" s="588">
        <v>0</v>
      </c>
      <c r="H1798" s="576">
        <v>0</v>
      </c>
      <c r="I1798" s="589">
        <v>0</v>
      </c>
    </row>
    <row r="1799" spans="1:9" ht="15.75" customHeight="1" x14ac:dyDescent="0.2">
      <c r="A1799" s="577"/>
      <c r="B1799" s="577"/>
      <c r="C1799" s="576"/>
      <c r="D1799" s="607">
        <v>47288</v>
      </c>
      <c r="E1799" s="576" t="s">
        <v>715</v>
      </c>
      <c r="F1799" s="576">
        <v>62500000</v>
      </c>
      <c r="G1799" s="588">
        <v>0</v>
      </c>
      <c r="H1799" s="576">
        <v>0</v>
      </c>
      <c r="I1799" s="589">
        <v>0</v>
      </c>
    </row>
    <row r="1800" spans="1:9" ht="15.75" customHeight="1" x14ac:dyDescent="0.2">
      <c r="A1800" s="577"/>
      <c r="B1800" s="577"/>
      <c r="C1800" s="576"/>
      <c r="D1800" s="607">
        <v>47289</v>
      </c>
      <c r="E1800" s="576" t="s">
        <v>721</v>
      </c>
      <c r="F1800" s="576">
        <v>62500000</v>
      </c>
      <c r="G1800" s="588">
        <v>0</v>
      </c>
      <c r="H1800" s="576">
        <v>0</v>
      </c>
      <c r="I1800" s="589">
        <v>0</v>
      </c>
    </row>
    <row r="1801" spans="1:9" ht="15.75" customHeight="1" x14ac:dyDescent="0.2">
      <c r="A1801" s="577"/>
      <c r="B1801" s="577"/>
      <c r="C1801" s="576"/>
      <c r="D1801" s="607">
        <v>47290</v>
      </c>
      <c r="E1801" s="576" t="s">
        <v>720</v>
      </c>
      <c r="F1801" s="576">
        <v>62500000</v>
      </c>
      <c r="G1801" s="588">
        <v>0</v>
      </c>
      <c r="H1801" s="576">
        <v>0</v>
      </c>
      <c r="I1801" s="589">
        <v>0</v>
      </c>
    </row>
    <row r="1802" spans="1:9" ht="15.75" customHeight="1" x14ac:dyDescent="0.2">
      <c r="A1802" s="577"/>
      <c r="B1802" s="577"/>
      <c r="C1802" s="576"/>
      <c r="D1802" s="607">
        <v>47291</v>
      </c>
      <c r="E1802" s="576" t="s">
        <v>719</v>
      </c>
      <c r="F1802" s="576">
        <v>62500000</v>
      </c>
      <c r="G1802" s="588">
        <v>0</v>
      </c>
      <c r="H1802" s="576">
        <v>0</v>
      </c>
      <c r="I1802" s="589">
        <v>0</v>
      </c>
    </row>
    <row r="1803" spans="1:9" ht="15.75" customHeight="1" x14ac:dyDescent="0.2">
      <c r="A1803" s="577"/>
      <c r="B1803" s="577"/>
      <c r="C1803" s="576"/>
      <c r="D1803" s="607">
        <v>47292</v>
      </c>
      <c r="E1803" s="576" t="s">
        <v>718</v>
      </c>
      <c r="F1803" s="576">
        <v>62500000</v>
      </c>
      <c r="G1803" s="588">
        <v>0</v>
      </c>
      <c r="H1803" s="576">
        <v>0</v>
      </c>
      <c r="I1803" s="589">
        <v>0</v>
      </c>
    </row>
    <row r="1804" spans="1:9" ht="15.75" customHeight="1" x14ac:dyDescent="0.2">
      <c r="A1804" s="577"/>
      <c r="B1804" s="577"/>
      <c r="C1804" s="576"/>
      <c r="D1804" s="607">
        <v>47293</v>
      </c>
      <c r="E1804" s="576" t="s">
        <v>717</v>
      </c>
      <c r="F1804" s="576">
        <v>62500000</v>
      </c>
      <c r="G1804" s="588">
        <v>0</v>
      </c>
      <c r="H1804" s="576">
        <v>0</v>
      </c>
      <c r="I1804" s="589">
        <v>0</v>
      </c>
    </row>
    <row r="1805" spans="1:9" ht="15.75" customHeight="1" x14ac:dyDescent="0.2">
      <c r="A1805" s="577"/>
      <c r="B1805" s="577"/>
      <c r="C1805" s="576"/>
      <c r="D1805" s="607">
        <v>47294</v>
      </c>
      <c r="E1805" s="576" t="s">
        <v>716</v>
      </c>
      <c r="F1805" s="576">
        <v>62500000</v>
      </c>
      <c r="G1805" s="588">
        <v>0</v>
      </c>
      <c r="H1805" s="576">
        <v>0</v>
      </c>
      <c r="I1805" s="589">
        <v>0</v>
      </c>
    </row>
    <row r="1806" spans="1:9" ht="15.75" customHeight="1" x14ac:dyDescent="0.2">
      <c r="A1806" s="577"/>
      <c r="B1806" s="577"/>
      <c r="C1806" s="576"/>
      <c r="D1806" s="607">
        <v>47295</v>
      </c>
      <c r="E1806" s="576" t="s">
        <v>715</v>
      </c>
      <c r="F1806" s="576">
        <v>62500000</v>
      </c>
      <c r="G1806" s="588">
        <v>0</v>
      </c>
      <c r="H1806" s="576">
        <v>0</v>
      </c>
      <c r="I1806" s="589">
        <v>0</v>
      </c>
    </row>
    <row r="1807" spans="1:9" ht="15.75" customHeight="1" x14ac:dyDescent="0.2">
      <c r="A1807" s="577"/>
      <c r="B1807" s="577"/>
      <c r="C1807" s="576"/>
      <c r="D1807" s="607">
        <v>47296</v>
      </c>
      <c r="E1807" s="576" t="s">
        <v>721</v>
      </c>
      <c r="F1807" s="576">
        <v>62500000</v>
      </c>
      <c r="G1807" s="588">
        <v>0</v>
      </c>
      <c r="H1807" s="576">
        <v>0</v>
      </c>
      <c r="I1807" s="589">
        <v>0</v>
      </c>
    </row>
    <row r="1808" spans="1:9" ht="15.75" customHeight="1" x14ac:dyDescent="0.2">
      <c r="A1808" s="577"/>
      <c r="B1808" s="577"/>
      <c r="C1808" s="576"/>
      <c r="D1808" s="607">
        <v>47297</v>
      </c>
      <c r="E1808" s="576" t="s">
        <v>720</v>
      </c>
      <c r="F1808" s="576">
        <v>62500000</v>
      </c>
      <c r="G1808" s="588">
        <v>0</v>
      </c>
      <c r="H1808" s="576">
        <v>0</v>
      </c>
      <c r="I1808" s="589">
        <v>0</v>
      </c>
    </row>
    <row r="1809" spans="1:9" ht="15.75" customHeight="1" x14ac:dyDescent="0.2">
      <c r="A1809" s="577"/>
      <c r="B1809" s="577"/>
      <c r="C1809" s="576"/>
      <c r="D1809" s="607">
        <v>47298</v>
      </c>
      <c r="E1809" s="576" t="s">
        <v>719</v>
      </c>
      <c r="F1809" s="576">
        <v>62500000</v>
      </c>
      <c r="G1809" s="588">
        <v>0</v>
      </c>
      <c r="H1809" s="576">
        <v>0</v>
      </c>
      <c r="I1809" s="589">
        <v>0</v>
      </c>
    </row>
    <row r="1810" spans="1:9" ht="15.75" customHeight="1" x14ac:dyDescent="0.2">
      <c r="A1810" s="577"/>
      <c r="B1810" s="577"/>
      <c r="C1810" s="576"/>
      <c r="D1810" s="607">
        <v>47299</v>
      </c>
      <c r="E1810" s="576" t="s">
        <v>718</v>
      </c>
      <c r="F1810" s="576">
        <v>62500000</v>
      </c>
      <c r="G1810" s="588">
        <v>0</v>
      </c>
      <c r="H1810" s="576">
        <v>0</v>
      </c>
      <c r="I1810" s="589">
        <v>0</v>
      </c>
    </row>
    <row r="1811" spans="1:9" ht="15.75" customHeight="1" x14ac:dyDescent="0.2">
      <c r="A1811" s="577"/>
      <c r="B1811" s="577"/>
      <c r="C1811" s="576"/>
      <c r="D1811" s="607">
        <v>47300</v>
      </c>
      <c r="E1811" s="576" t="s">
        <v>717</v>
      </c>
      <c r="F1811" s="576">
        <v>62500000</v>
      </c>
      <c r="G1811" s="588">
        <v>0</v>
      </c>
      <c r="H1811" s="576">
        <v>0</v>
      </c>
      <c r="I1811" s="589">
        <v>0</v>
      </c>
    </row>
    <row r="1812" spans="1:9" ht="15.75" customHeight="1" x14ac:dyDescent="0.2">
      <c r="A1812" s="577"/>
      <c r="B1812" s="577"/>
      <c r="C1812" s="576"/>
      <c r="D1812" s="607">
        <v>47301</v>
      </c>
      <c r="E1812" s="576" t="s">
        <v>716</v>
      </c>
      <c r="F1812" s="576">
        <v>62500000</v>
      </c>
      <c r="G1812" s="588">
        <v>0</v>
      </c>
      <c r="H1812" s="576">
        <v>0</v>
      </c>
      <c r="I1812" s="589">
        <v>0</v>
      </c>
    </row>
    <row r="1813" spans="1:9" ht="15.75" customHeight="1" x14ac:dyDescent="0.2">
      <c r="A1813" s="577"/>
      <c r="B1813" s="577"/>
      <c r="C1813" s="576"/>
      <c r="D1813" s="607">
        <v>47302</v>
      </c>
      <c r="E1813" s="576" t="s">
        <v>715</v>
      </c>
      <c r="F1813" s="576">
        <v>62500000</v>
      </c>
      <c r="G1813" s="588">
        <v>0</v>
      </c>
      <c r="H1813" s="576">
        <v>0</v>
      </c>
      <c r="I1813" s="589">
        <v>0</v>
      </c>
    </row>
    <row r="1814" spans="1:9" ht="15.75" customHeight="1" x14ac:dyDescent="0.2">
      <c r="A1814" s="577"/>
      <c r="B1814" s="577"/>
      <c r="C1814" s="576"/>
      <c r="D1814" s="607">
        <v>47303</v>
      </c>
      <c r="E1814" s="576" t="s">
        <v>721</v>
      </c>
      <c r="F1814" s="576">
        <v>62500000</v>
      </c>
      <c r="G1814" s="588">
        <v>0</v>
      </c>
      <c r="H1814" s="576">
        <v>0</v>
      </c>
      <c r="I1814" s="589">
        <v>0</v>
      </c>
    </row>
    <row r="1815" spans="1:9" ht="15.75" customHeight="1" x14ac:dyDescent="0.2">
      <c r="A1815" s="577"/>
      <c r="B1815" s="577"/>
      <c r="C1815" s="576"/>
      <c r="D1815" s="607">
        <v>47304</v>
      </c>
      <c r="E1815" s="576" t="s">
        <v>720</v>
      </c>
      <c r="F1815" s="576">
        <v>62500000</v>
      </c>
      <c r="G1815" s="588">
        <v>0</v>
      </c>
      <c r="H1815" s="576">
        <v>0</v>
      </c>
      <c r="I1815" s="589">
        <v>0</v>
      </c>
    </row>
    <row r="1816" spans="1:9" ht="15.75" customHeight="1" x14ac:dyDescent="0.2">
      <c r="A1816" s="577"/>
      <c r="B1816" s="577"/>
      <c r="C1816" s="576"/>
      <c r="D1816" s="607">
        <v>47305</v>
      </c>
      <c r="E1816" s="576" t="s">
        <v>719</v>
      </c>
      <c r="F1816" s="576">
        <v>62500000</v>
      </c>
      <c r="G1816" s="588">
        <v>0</v>
      </c>
      <c r="H1816" s="576">
        <v>0</v>
      </c>
      <c r="I1816" s="589">
        <v>0</v>
      </c>
    </row>
    <row r="1817" spans="1:9" ht="15.75" customHeight="1" x14ac:dyDescent="0.2">
      <c r="A1817" s="577"/>
      <c r="B1817" s="577"/>
      <c r="C1817" s="576"/>
      <c r="D1817" s="607">
        <v>47306</v>
      </c>
      <c r="E1817" s="576" t="s">
        <v>718</v>
      </c>
      <c r="F1817" s="576">
        <v>62500000</v>
      </c>
      <c r="G1817" s="588">
        <v>0</v>
      </c>
      <c r="H1817" s="576">
        <v>0</v>
      </c>
      <c r="I1817" s="589">
        <v>0</v>
      </c>
    </row>
    <row r="1818" spans="1:9" ht="15.75" customHeight="1" x14ac:dyDescent="0.2">
      <c r="A1818" s="577"/>
      <c r="B1818" s="577"/>
      <c r="C1818" s="576"/>
      <c r="D1818" s="607">
        <v>47307</v>
      </c>
      <c r="E1818" s="576" t="s">
        <v>717</v>
      </c>
      <c r="F1818" s="576">
        <v>62500000</v>
      </c>
      <c r="G1818" s="588">
        <v>0</v>
      </c>
      <c r="H1818" s="576">
        <v>0</v>
      </c>
      <c r="I1818" s="589">
        <v>0</v>
      </c>
    </row>
    <row r="1819" spans="1:9" ht="15.75" customHeight="1" x14ac:dyDescent="0.2">
      <c r="A1819" s="577"/>
      <c r="B1819" s="577"/>
      <c r="C1819" s="576"/>
      <c r="D1819" s="607">
        <v>47308</v>
      </c>
      <c r="E1819" s="576" t="s">
        <v>716</v>
      </c>
      <c r="F1819" s="576">
        <v>62500000</v>
      </c>
      <c r="G1819" s="588">
        <v>0</v>
      </c>
      <c r="H1819" s="576">
        <v>0</v>
      </c>
      <c r="I1819" s="589">
        <v>0</v>
      </c>
    </row>
    <row r="1820" spans="1:9" ht="15.75" customHeight="1" x14ac:dyDescent="0.2">
      <c r="A1820" s="577"/>
      <c r="B1820" s="577"/>
      <c r="C1820" s="576"/>
      <c r="D1820" s="607">
        <v>47309</v>
      </c>
      <c r="E1820" s="576" t="s">
        <v>715</v>
      </c>
      <c r="F1820" s="576">
        <v>62500000</v>
      </c>
      <c r="G1820" s="588">
        <v>0</v>
      </c>
      <c r="H1820" s="576">
        <v>0</v>
      </c>
      <c r="I1820" s="589">
        <v>0</v>
      </c>
    </row>
    <row r="1821" spans="1:9" ht="15.75" customHeight="1" x14ac:dyDescent="0.2">
      <c r="A1821" s="577"/>
      <c r="B1821" s="577"/>
      <c r="C1821" s="576"/>
      <c r="D1821" s="607">
        <v>47310</v>
      </c>
      <c r="E1821" s="576" t="s">
        <v>721</v>
      </c>
      <c r="F1821" s="576">
        <v>62500000</v>
      </c>
      <c r="G1821" s="588">
        <v>0</v>
      </c>
      <c r="H1821" s="576">
        <v>0</v>
      </c>
      <c r="I1821" s="589">
        <v>0</v>
      </c>
    </row>
    <row r="1822" spans="1:9" ht="15.75" customHeight="1" x14ac:dyDescent="0.2">
      <c r="A1822" s="577"/>
      <c r="B1822" s="577"/>
      <c r="C1822" s="576"/>
      <c r="D1822" s="607">
        <v>47311</v>
      </c>
      <c r="E1822" s="576" t="s">
        <v>720</v>
      </c>
      <c r="F1822" s="576">
        <v>62500000</v>
      </c>
      <c r="G1822" s="588">
        <v>0</v>
      </c>
      <c r="H1822" s="576">
        <v>0</v>
      </c>
      <c r="I1822" s="589">
        <v>0</v>
      </c>
    </row>
    <row r="1823" spans="1:9" ht="15.75" customHeight="1" x14ac:dyDescent="0.2">
      <c r="A1823" s="577"/>
      <c r="B1823" s="577"/>
      <c r="C1823" s="576"/>
      <c r="D1823" s="607">
        <v>47312</v>
      </c>
      <c r="E1823" s="576" t="s">
        <v>719</v>
      </c>
      <c r="F1823" s="576">
        <v>62500000</v>
      </c>
      <c r="G1823" s="588">
        <v>0</v>
      </c>
      <c r="H1823" s="576">
        <v>0</v>
      </c>
      <c r="I1823" s="589">
        <v>0</v>
      </c>
    </row>
    <row r="1824" spans="1:9" ht="15.75" customHeight="1" x14ac:dyDescent="0.2">
      <c r="A1824" s="577"/>
      <c r="B1824" s="577"/>
      <c r="C1824" s="576"/>
      <c r="D1824" s="607">
        <v>47313</v>
      </c>
      <c r="E1824" s="576" t="s">
        <v>718</v>
      </c>
      <c r="F1824" s="576">
        <v>62500000</v>
      </c>
      <c r="G1824" s="588">
        <v>0</v>
      </c>
      <c r="H1824" s="576">
        <v>0</v>
      </c>
      <c r="I1824" s="589">
        <v>0</v>
      </c>
    </row>
    <row r="1825" spans="1:9" ht="15.75" customHeight="1" x14ac:dyDescent="0.2">
      <c r="A1825" s="577"/>
      <c r="B1825" s="577"/>
      <c r="C1825" s="576"/>
      <c r="D1825" s="607">
        <v>47314</v>
      </c>
      <c r="E1825" s="576" t="s">
        <v>717</v>
      </c>
      <c r="F1825" s="576">
        <v>62500000</v>
      </c>
      <c r="G1825" s="588">
        <v>0</v>
      </c>
      <c r="H1825" s="576">
        <v>0</v>
      </c>
      <c r="I1825" s="589">
        <v>0</v>
      </c>
    </row>
    <row r="1826" spans="1:9" ht="15.75" customHeight="1" x14ac:dyDescent="0.2">
      <c r="A1826" s="577"/>
      <c r="B1826" s="577"/>
      <c r="C1826" s="576"/>
      <c r="D1826" s="607">
        <v>47315</v>
      </c>
      <c r="E1826" s="576" t="s">
        <v>716</v>
      </c>
      <c r="F1826" s="576">
        <v>62500000</v>
      </c>
      <c r="G1826" s="588">
        <v>0</v>
      </c>
      <c r="H1826" s="576">
        <v>0</v>
      </c>
      <c r="I1826" s="589">
        <v>0</v>
      </c>
    </row>
    <row r="1827" spans="1:9" ht="15.75" customHeight="1" x14ac:dyDescent="0.2">
      <c r="A1827" s="577"/>
      <c r="B1827" s="577"/>
      <c r="C1827" s="576"/>
      <c r="D1827" s="607">
        <v>47316</v>
      </c>
      <c r="E1827" s="576" t="s">
        <v>715</v>
      </c>
      <c r="F1827" s="576">
        <v>62500000</v>
      </c>
      <c r="G1827" s="588">
        <v>0</v>
      </c>
      <c r="H1827" s="576">
        <v>0</v>
      </c>
      <c r="I1827" s="589">
        <v>0</v>
      </c>
    </row>
    <row r="1828" spans="1:9" ht="15.75" customHeight="1" x14ac:dyDescent="0.2">
      <c r="A1828" s="577"/>
      <c r="B1828" s="577"/>
      <c r="C1828" s="576"/>
      <c r="D1828" s="607">
        <v>47317</v>
      </c>
      <c r="E1828" s="576" t="s">
        <v>721</v>
      </c>
      <c r="F1828" s="576">
        <v>62500000</v>
      </c>
      <c r="G1828" s="588">
        <v>0</v>
      </c>
      <c r="H1828" s="576">
        <v>0</v>
      </c>
      <c r="I1828" s="589">
        <v>0</v>
      </c>
    </row>
    <row r="1829" spans="1:9" ht="15.75" customHeight="1" x14ac:dyDescent="0.2">
      <c r="A1829" s="577"/>
      <c r="B1829" s="577"/>
      <c r="C1829" s="576"/>
      <c r="D1829" s="607">
        <v>47318</v>
      </c>
      <c r="E1829" s="576" t="s">
        <v>720</v>
      </c>
      <c r="F1829" s="576">
        <v>62500000</v>
      </c>
      <c r="G1829" s="588">
        <v>0</v>
      </c>
      <c r="H1829" s="576">
        <v>0</v>
      </c>
      <c r="I1829" s="589">
        <v>0</v>
      </c>
    </row>
    <row r="1830" spans="1:9" ht="15.75" customHeight="1" x14ac:dyDescent="0.2">
      <c r="A1830" s="577"/>
      <c r="B1830" s="577"/>
      <c r="C1830" s="576"/>
      <c r="D1830" s="607">
        <v>47319</v>
      </c>
      <c r="E1830" s="576" t="s">
        <v>719</v>
      </c>
      <c r="F1830" s="576">
        <v>62500000</v>
      </c>
      <c r="G1830" s="588">
        <v>0</v>
      </c>
      <c r="H1830" s="576">
        <v>0</v>
      </c>
      <c r="I1830" s="589">
        <v>0</v>
      </c>
    </row>
    <row r="1831" spans="1:9" ht="15.75" customHeight="1" x14ac:dyDescent="0.2">
      <c r="A1831" s="577"/>
      <c r="B1831" s="577"/>
      <c r="C1831" s="576"/>
      <c r="D1831" s="607">
        <v>47320</v>
      </c>
      <c r="E1831" s="576" t="s">
        <v>718</v>
      </c>
      <c r="F1831" s="576">
        <v>62500000</v>
      </c>
      <c r="G1831" s="588">
        <v>0</v>
      </c>
      <c r="H1831" s="576">
        <v>0</v>
      </c>
      <c r="I1831" s="589">
        <v>0</v>
      </c>
    </row>
    <row r="1832" spans="1:9" ht="15.75" customHeight="1" x14ac:dyDescent="0.2">
      <c r="A1832" s="577"/>
      <c r="B1832" s="577"/>
      <c r="C1832" s="576"/>
      <c r="D1832" s="607">
        <v>47321</v>
      </c>
      <c r="E1832" s="576" t="s">
        <v>717</v>
      </c>
      <c r="F1832" s="576">
        <v>62500000</v>
      </c>
      <c r="G1832" s="588">
        <v>0</v>
      </c>
      <c r="H1832" s="576">
        <v>0</v>
      </c>
      <c r="I1832" s="589">
        <v>0</v>
      </c>
    </row>
    <row r="1833" spans="1:9" ht="15.75" customHeight="1" x14ac:dyDescent="0.2">
      <c r="A1833" s="577"/>
      <c r="B1833" s="577"/>
      <c r="C1833" s="576"/>
      <c r="D1833" s="607">
        <v>47322</v>
      </c>
      <c r="E1833" s="576" t="s">
        <v>716</v>
      </c>
      <c r="F1833" s="576">
        <v>62500000</v>
      </c>
      <c r="G1833" s="588">
        <v>0</v>
      </c>
      <c r="H1833" s="576">
        <v>0</v>
      </c>
      <c r="I1833" s="589">
        <v>0</v>
      </c>
    </row>
    <row r="1834" spans="1:9" ht="15.75" customHeight="1" x14ac:dyDescent="0.2">
      <c r="A1834" s="577"/>
      <c r="B1834" s="577"/>
      <c r="C1834" s="576"/>
      <c r="D1834" s="607">
        <v>47323</v>
      </c>
      <c r="E1834" s="576" t="s">
        <v>715</v>
      </c>
      <c r="F1834" s="576">
        <v>62500000</v>
      </c>
      <c r="G1834" s="588">
        <v>0</v>
      </c>
      <c r="H1834" s="576">
        <v>0</v>
      </c>
      <c r="I1834" s="589">
        <v>0</v>
      </c>
    </row>
    <row r="1835" spans="1:9" ht="15.75" customHeight="1" x14ac:dyDescent="0.2">
      <c r="A1835" s="577"/>
      <c r="B1835" s="577"/>
      <c r="C1835" s="576"/>
      <c r="D1835" s="587"/>
      <c r="E1835" s="576"/>
      <c r="F1835" s="576"/>
      <c r="G1835" s="606"/>
      <c r="H1835" s="606"/>
      <c r="I1835" s="606"/>
    </row>
    <row r="1836" spans="1:9" ht="15.75" customHeight="1" x14ac:dyDescent="0.2">
      <c r="A1836" s="577"/>
      <c r="B1836" s="577"/>
      <c r="C1836" s="576"/>
      <c r="D1836" s="587"/>
      <c r="E1836" s="576"/>
      <c r="F1836" s="576"/>
      <c r="G1836" s="606"/>
      <c r="H1836" s="606"/>
      <c r="I1836" s="606"/>
    </row>
    <row r="1837" spans="1:9" ht="15.75" customHeight="1" x14ac:dyDescent="0.2">
      <c r="A1837" s="577"/>
      <c r="B1837" s="577"/>
      <c r="C1837" s="576"/>
      <c r="D1837" s="587"/>
      <c r="E1837" s="576"/>
      <c r="F1837" s="576"/>
      <c r="G1837" s="606"/>
      <c r="H1837" s="606"/>
      <c r="I1837" s="606"/>
    </row>
    <row r="1838" spans="1:9" ht="15.75" customHeight="1" x14ac:dyDescent="0.2">
      <c r="A1838" s="577"/>
      <c r="B1838" s="577"/>
      <c r="C1838" s="576"/>
      <c r="D1838" s="587"/>
      <c r="E1838" s="576"/>
      <c r="F1838" s="576"/>
      <c r="G1838" s="606"/>
      <c r="H1838" s="606"/>
      <c r="I1838" s="606"/>
    </row>
    <row r="1839" spans="1:9" ht="15.75" customHeight="1" x14ac:dyDescent="0.2">
      <c r="A1839" s="577"/>
      <c r="B1839" s="577"/>
      <c r="C1839" s="576"/>
      <c r="D1839" s="587"/>
      <c r="E1839" s="576"/>
      <c r="F1839" s="576"/>
      <c r="G1839" s="606"/>
      <c r="H1839" s="606"/>
      <c r="I1839" s="606"/>
    </row>
    <row r="1840" spans="1:9" ht="15.75" customHeight="1" x14ac:dyDescent="0.2">
      <c r="A1840" s="577"/>
      <c r="B1840" s="577"/>
      <c r="C1840" s="576"/>
      <c r="D1840" s="587"/>
      <c r="E1840" s="576"/>
      <c r="F1840" s="576"/>
      <c r="G1840" s="606"/>
      <c r="H1840" s="606"/>
      <c r="I1840" s="606"/>
    </row>
    <row r="1841" spans="1:9" ht="15.75" customHeight="1" x14ac:dyDescent="0.2">
      <c r="A1841" s="577"/>
      <c r="B1841" s="577"/>
      <c r="C1841" s="576"/>
      <c r="D1841" s="587"/>
      <c r="E1841" s="576"/>
      <c r="F1841" s="576"/>
      <c r="G1841" s="606"/>
      <c r="H1841" s="606"/>
      <c r="I1841" s="606"/>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9"/>
    </row>
    <row r="2" spans="2:18" x14ac:dyDescent="0.25">
      <c r="C2" s="518" t="s">
        <v>170</v>
      </c>
      <c r="D2" s="519">
        <v>45382</v>
      </c>
      <c r="E2" s="515"/>
      <c r="F2" s="516" t="s">
        <v>637</v>
      </c>
      <c r="G2" s="516"/>
      <c r="H2" s="516"/>
      <c r="I2" s="516"/>
      <c r="J2" s="516"/>
      <c r="K2" s="516"/>
      <c r="L2" s="516"/>
      <c r="M2" s="516"/>
      <c r="N2" s="516"/>
      <c r="O2" s="516"/>
      <c r="P2" s="516"/>
      <c r="Q2" s="516"/>
      <c r="R2" s="517"/>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5"/>
    </row>
    <row r="5" spans="2:18" x14ac:dyDescent="0.25">
      <c r="B5" s="81"/>
      <c r="R5" s="229"/>
    </row>
    <row r="6" spans="2:18" s="80" customFormat="1" ht="60" customHeight="1" x14ac:dyDescent="0.25">
      <c r="B6" s="78"/>
      <c r="C6" s="3" t="s">
        <v>51</v>
      </c>
      <c r="D6" s="1" t="s">
        <v>25</v>
      </c>
      <c r="E6" s="1" t="s">
        <v>61</v>
      </c>
      <c r="F6" s="1" t="s">
        <v>632</v>
      </c>
      <c r="G6" s="1" t="s">
        <v>334</v>
      </c>
      <c r="H6" s="1" t="s">
        <v>36</v>
      </c>
      <c r="I6" s="1" t="s">
        <v>53</v>
      </c>
      <c r="J6" s="1" t="s">
        <v>32</v>
      </c>
      <c r="K6" s="1" t="s">
        <v>2</v>
      </c>
      <c r="L6" s="1" t="s">
        <v>50</v>
      </c>
      <c r="M6" s="1" t="s">
        <v>33</v>
      </c>
      <c r="N6" s="1" t="s">
        <v>27</v>
      </c>
      <c r="O6" s="1" t="s">
        <v>187</v>
      </c>
      <c r="P6" s="1" t="s">
        <v>34</v>
      </c>
      <c r="Q6" s="1" t="s">
        <v>448</v>
      </c>
      <c r="R6" s="286"/>
    </row>
    <row r="7" spans="2:18" x14ac:dyDescent="0.25">
      <c r="B7" s="81"/>
      <c r="C7" s="5"/>
      <c r="D7" s="8"/>
      <c r="E7" s="8"/>
      <c r="F7" s="8"/>
      <c r="G7" s="8" t="s">
        <v>84</v>
      </c>
      <c r="H7" s="8"/>
      <c r="I7" s="8" t="s">
        <v>53</v>
      </c>
      <c r="J7" s="8" t="s">
        <v>273</v>
      </c>
      <c r="K7" s="8" t="s">
        <v>273</v>
      </c>
      <c r="L7" s="8" t="s">
        <v>273</v>
      </c>
      <c r="M7" s="8" t="s">
        <v>273</v>
      </c>
      <c r="N7" s="8" t="s">
        <v>273</v>
      </c>
      <c r="O7" s="8" t="s">
        <v>273</v>
      </c>
      <c r="P7" s="12" t="s">
        <v>274</v>
      </c>
      <c r="Q7" s="8"/>
      <c r="R7" s="229"/>
    </row>
    <row r="8" spans="2:18" x14ac:dyDescent="0.25">
      <c r="B8" s="81"/>
      <c r="C8" s="514" t="s">
        <v>28</v>
      </c>
      <c r="D8" s="425"/>
      <c r="E8" s="425"/>
      <c r="F8" s="425"/>
      <c r="G8" s="425"/>
      <c r="H8" s="425"/>
      <c r="I8" s="425"/>
      <c r="J8" s="425"/>
      <c r="K8" s="425"/>
      <c r="L8" s="425"/>
      <c r="M8" s="425"/>
      <c r="N8" s="425"/>
      <c r="O8" s="425"/>
      <c r="P8" s="425"/>
      <c r="Q8" s="425"/>
      <c r="R8" s="229"/>
    </row>
    <row r="9" spans="2:18" x14ac:dyDescent="0.25">
      <c r="B9" s="81"/>
      <c r="C9" s="4" t="s">
        <v>47</v>
      </c>
      <c r="D9" s="2" t="s">
        <v>444</v>
      </c>
      <c r="E9" s="2" t="s">
        <v>63</v>
      </c>
      <c r="F9" s="2" t="s">
        <v>8</v>
      </c>
      <c r="G9" s="6">
        <v>2019</v>
      </c>
      <c r="H9" s="2" t="s">
        <v>73</v>
      </c>
      <c r="I9" s="17" t="s">
        <v>700</v>
      </c>
      <c r="J9" s="17" t="s">
        <v>700</v>
      </c>
      <c r="K9" s="17" t="s">
        <v>700</v>
      </c>
      <c r="L9" s="17" t="s">
        <v>700</v>
      </c>
      <c r="M9" s="17" t="s">
        <v>700</v>
      </c>
      <c r="N9" s="17" t="s">
        <v>700</v>
      </c>
      <c r="O9" s="17" t="s">
        <v>700</v>
      </c>
      <c r="P9" s="10" t="s">
        <v>700</v>
      </c>
      <c r="Q9" s="105" t="e">
        <v>#VALUE!</v>
      </c>
      <c r="R9" s="229"/>
    </row>
    <row r="10" spans="2:18" x14ac:dyDescent="0.25">
      <c r="B10" s="81"/>
      <c r="C10" s="4" t="s">
        <v>0</v>
      </c>
      <c r="D10" s="2" t="s">
        <v>444</v>
      </c>
      <c r="E10" s="2" t="s">
        <v>63</v>
      </c>
      <c r="F10" s="2" t="s">
        <v>8</v>
      </c>
      <c r="G10" s="6">
        <v>2019</v>
      </c>
      <c r="H10" s="2" t="s">
        <v>68</v>
      </c>
      <c r="I10" s="17" t="s">
        <v>700</v>
      </c>
      <c r="J10" s="17" t="s">
        <v>700</v>
      </c>
      <c r="K10" s="17" t="s">
        <v>700</v>
      </c>
      <c r="L10" s="17" t="s">
        <v>700</v>
      </c>
      <c r="M10" s="17" t="s">
        <v>700</v>
      </c>
      <c r="N10" s="17" t="s">
        <v>700</v>
      </c>
      <c r="O10" s="17" t="s">
        <v>700</v>
      </c>
      <c r="P10" s="10" t="s">
        <v>700</v>
      </c>
      <c r="Q10" s="105" t="e">
        <v>#VALUE!</v>
      </c>
      <c r="R10" s="229"/>
    </row>
    <row r="11" spans="2:18" x14ac:dyDescent="0.25">
      <c r="B11" s="81"/>
      <c r="C11" s="4" t="s">
        <v>38</v>
      </c>
      <c r="D11" s="2" t="s">
        <v>78</v>
      </c>
      <c r="E11" s="2" t="s">
        <v>62</v>
      </c>
      <c r="F11" s="2" t="s">
        <v>8</v>
      </c>
      <c r="G11" s="6">
        <v>2019</v>
      </c>
      <c r="H11" s="2" t="s">
        <v>75</v>
      </c>
      <c r="I11" s="17" t="s">
        <v>700</v>
      </c>
      <c r="J11" s="17" t="s">
        <v>700</v>
      </c>
      <c r="K11" s="17" t="s">
        <v>700</v>
      </c>
      <c r="L11" s="17" t="s">
        <v>700</v>
      </c>
      <c r="M11" s="17" t="s">
        <v>700</v>
      </c>
      <c r="N11" s="17">
        <v>25.781269502600004</v>
      </c>
      <c r="O11" s="17">
        <v>25.781269502600004</v>
      </c>
      <c r="P11" s="10">
        <v>2.5781269502600006</v>
      </c>
      <c r="Q11" s="105" t="e">
        <v>#VALUE!</v>
      </c>
      <c r="R11" s="229"/>
    </row>
    <row r="12" spans="2:18" x14ac:dyDescent="0.25">
      <c r="B12" s="81"/>
      <c r="C12" s="4" t="s">
        <v>39</v>
      </c>
      <c r="D12" s="2" t="s">
        <v>79</v>
      </c>
      <c r="E12" s="2" t="s">
        <v>62</v>
      </c>
      <c r="F12" s="2" t="s">
        <v>8</v>
      </c>
      <c r="G12" s="6">
        <v>2020</v>
      </c>
      <c r="H12" s="2" t="s">
        <v>44</v>
      </c>
      <c r="I12" s="17" t="e">
        <v>#VALUE!</v>
      </c>
      <c r="J12" s="17" t="s">
        <v>700</v>
      </c>
      <c r="K12" s="17" t="s">
        <v>700</v>
      </c>
      <c r="L12" s="17" t="s">
        <v>700</v>
      </c>
      <c r="M12" s="17" t="s">
        <v>700</v>
      </c>
      <c r="N12" s="17" t="s">
        <v>700</v>
      </c>
      <c r="O12" s="17" t="s">
        <v>700</v>
      </c>
      <c r="P12" s="10" t="s">
        <v>700</v>
      </c>
      <c r="Q12" s="105" t="s">
        <v>700</v>
      </c>
      <c r="R12" s="229"/>
    </row>
    <row r="13" spans="2:18" x14ac:dyDescent="0.25">
      <c r="B13" s="81"/>
      <c r="C13" s="4" t="s">
        <v>37</v>
      </c>
      <c r="D13" s="2" t="s">
        <v>78</v>
      </c>
      <c r="E13" s="2" t="s">
        <v>64</v>
      </c>
      <c r="F13" s="2" t="s">
        <v>8</v>
      </c>
      <c r="G13" s="6">
        <v>2020</v>
      </c>
      <c r="H13" s="2" t="s">
        <v>67</v>
      </c>
      <c r="I13" s="17" t="s">
        <v>700</v>
      </c>
      <c r="J13" s="17" t="s">
        <v>700</v>
      </c>
      <c r="K13" s="17" t="s">
        <v>700</v>
      </c>
      <c r="L13" s="17" t="s">
        <v>700</v>
      </c>
      <c r="M13" s="17" t="s">
        <v>700</v>
      </c>
      <c r="N13" s="17" t="s">
        <v>700</v>
      </c>
      <c r="O13" s="17" t="s">
        <v>700</v>
      </c>
      <c r="P13" s="10" t="s">
        <v>700</v>
      </c>
      <c r="Q13" s="105" t="s">
        <v>700</v>
      </c>
      <c r="R13" s="229"/>
    </row>
    <row r="14" spans="2:18" x14ac:dyDescent="0.25">
      <c r="B14" s="81"/>
      <c r="C14" s="526" t="s">
        <v>87</v>
      </c>
      <c r="D14" s="527" t="s">
        <v>78</v>
      </c>
      <c r="E14" s="527" t="s">
        <v>64</v>
      </c>
      <c r="F14" s="527" t="s">
        <v>8</v>
      </c>
      <c r="G14" s="528">
        <v>2020</v>
      </c>
      <c r="H14" s="527" t="s">
        <v>45</v>
      </c>
      <c r="I14" s="529">
        <v>4.5389065393627304E-3</v>
      </c>
      <c r="J14" s="529" t="s">
        <v>700</v>
      </c>
      <c r="K14" s="529" t="s">
        <v>700</v>
      </c>
      <c r="L14" s="529" t="s">
        <v>700</v>
      </c>
      <c r="M14" s="529" t="s">
        <v>700</v>
      </c>
      <c r="N14" s="529">
        <v>-14.507424521834992</v>
      </c>
      <c r="O14" s="529">
        <v>-14.507424521834992</v>
      </c>
      <c r="P14" s="530">
        <v>-0.10254752168567371</v>
      </c>
      <c r="Q14" s="105" t="s">
        <v>700</v>
      </c>
      <c r="R14" s="229"/>
    </row>
    <row r="15" spans="2:18" x14ac:dyDescent="0.25">
      <c r="B15" s="81"/>
      <c r="C15" s="4" t="s">
        <v>9</v>
      </c>
      <c r="D15" s="2" t="s">
        <v>78</v>
      </c>
      <c r="E15" s="2" t="s">
        <v>63</v>
      </c>
      <c r="F15" s="2" t="s">
        <v>8</v>
      </c>
      <c r="G15" s="6">
        <v>2020</v>
      </c>
      <c r="H15" s="2" t="s">
        <v>72</v>
      </c>
      <c r="I15" s="17" t="s">
        <v>700</v>
      </c>
      <c r="J15" s="17" t="s">
        <v>700</v>
      </c>
      <c r="K15" s="17" t="s">
        <v>700</v>
      </c>
      <c r="L15" s="17" t="s">
        <v>700</v>
      </c>
      <c r="M15" s="17" t="s">
        <v>700</v>
      </c>
      <c r="N15" s="17" t="s">
        <v>700</v>
      </c>
      <c r="O15" s="17" t="s">
        <v>700</v>
      </c>
      <c r="P15" s="10" t="s">
        <v>700</v>
      </c>
      <c r="Q15" s="105" t="s">
        <v>700</v>
      </c>
      <c r="R15" s="229"/>
    </row>
    <row r="16" spans="2:18" x14ac:dyDescent="0.25">
      <c r="B16" s="81"/>
      <c r="C16" s="4" t="s">
        <v>18</v>
      </c>
      <c r="D16" s="2" t="s">
        <v>79</v>
      </c>
      <c r="E16" s="2" t="s">
        <v>62</v>
      </c>
      <c r="F16" s="2" t="s">
        <v>278</v>
      </c>
      <c r="G16" s="6">
        <v>2021</v>
      </c>
      <c r="H16" s="2" t="s">
        <v>49</v>
      </c>
      <c r="I16" s="17" t="s">
        <v>700</v>
      </c>
      <c r="J16" s="17" t="s">
        <v>700</v>
      </c>
      <c r="K16" s="17" t="s">
        <v>700</v>
      </c>
      <c r="L16" s="17" t="s">
        <v>700</v>
      </c>
      <c r="M16" s="17" t="s">
        <v>700</v>
      </c>
      <c r="N16" s="17" t="s">
        <v>700</v>
      </c>
      <c r="O16" s="17" t="s">
        <v>700</v>
      </c>
      <c r="P16" s="10" t="s">
        <v>700</v>
      </c>
      <c r="Q16" s="105" t="s">
        <v>700</v>
      </c>
      <c r="R16" s="229"/>
    </row>
    <row r="17" spans="2:18" x14ac:dyDescent="0.25">
      <c r="B17" s="81"/>
      <c r="C17" s="4" t="s">
        <v>40</v>
      </c>
      <c r="D17" s="2" t="s">
        <v>78</v>
      </c>
      <c r="E17" s="2" t="s">
        <v>66</v>
      </c>
      <c r="F17" s="2" t="s">
        <v>8</v>
      </c>
      <c r="G17" s="6">
        <v>2021</v>
      </c>
      <c r="H17" s="2" t="s">
        <v>69</v>
      </c>
      <c r="I17" s="17" t="s">
        <v>700</v>
      </c>
      <c r="J17" s="17" t="s">
        <v>700</v>
      </c>
      <c r="K17" s="17" t="s">
        <v>700</v>
      </c>
      <c r="L17" s="17" t="s">
        <v>700</v>
      </c>
      <c r="M17" s="17" t="s">
        <v>700</v>
      </c>
      <c r="N17" s="17">
        <v>18.864500099999994</v>
      </c>
      <c r="O17" s="17">
        <v>18.864500099999994</v>
      </c>
      <c r="P17" s="10">
        <v>0.47161269869088251</v>
      </c>
      <c r="Q17" s="105" t="s">
        <v>700</v>
      </c>
      <c r="R17" s="229"/>
    </row>
    <row r="18" spans="2:18" x14ac:dyDescent="0.25">
      <c r="B18" s="81"/>
      <c r="C18" s="4" t="s">
        <v>41</v>
      </c>
      <c r="D18" s="2" t="s">
        <v>78</v>
      </c>
      <c r="E18" s="2" t="s">
        <v>62</v>
      </c>
      <c r="F18" s="2" t="s">
        <v>8</v>
      </c>
      <c r="G18" s="6">
        <v>2021</v>
      </c>
      <c r="H18" s="2" t="s">
        <v>74</v>
      </c>
      <c r="I18" s="17" t="s">
        <v>700</v>
      </c>
      <c r="J18" s="17" t="s">
        <v>700</v>
      </c>
      <c r="K18" s="17" t="s">
        <v>700</v>
      </c>
      <c r="L18" s="17" t="s">
        <v>700</v>
      </c>
      <c r="M18" s="17" t="s">
        <v>700</v>
      </c>
      <c r="N18" s="17" t="s">
        <v>700</v>
      </c>
      <c r="O18" s="17" t="s">
        <v>700</v>
      </c>
      <c r="P18" s="10" t="s">
        <v>700</v>
      </c>
      <c r="Q18" s="105" t="s">
        <v>700</v>
      </c>
      <c r="R18" s="229"/>
    </row>
    <row r="19" spans="2:18" x14ac:dyDescent="0.25">
      <c r="B19" s="81"/>
      <c r="C19" s="4" t="s">
        <v>42</v>
      </c>
      <c r="D19" s="2" t="s">
        <v>79</v>
      </c>
      <c r="E19" s="2" t="s">
        <v>66</v>
      </c>
      <c r="F19" s="2" t="s">
        <v>8</v>
      </c>
      <c r="G19" s="6">
        <v>2021</v>
      </c>
      <c r="H19" s="2" t="s">
        <v>76</v>
      </c>
      <c r="I19" s="17" t="s">
        <v>700</v>
      </c>
      <c r="J19" s="17" t="s">
        <v>700</v>
      </c>
      <c r="K19" s="17" t="s">
        <v>700</v>
      </c>
      <c r="L19" s="17" t="s">
        <v>700</v>
      </c>
      <c r="M19" s="17" t="s">
        <v>700</v>
      </c>
      <c r="N19" s="17" t="s">
        <v>700</v>
      </c>
      <c r="O19" s="17" t="s">
        <v>700</v>
      </c>
      <c r="P19" s="10" t="s">
        <v>700</v>
      </c>
      <c r="Q19" s="105" t="s">
        <v>700</v>
      </c>
      <c r="R19" s="229"/>
    </row>
    <row r="20" spans="2:18" x14ac:dyDescent="0.25">
      <c r="B20" s="81"/>
      <c r="C20" s="4" t="s">
        <v>70</v>
      </c>
      <c r="D20" s="2" t="s">
        <v>79</v>
      </c>
      <c r="E20" s="2" t="s">
        <v>63</v>
      </c>
      <c r="F20" s="2" t="s">
        <v>633</v>
      </c>
      <c r="G20" s="6">
        <v>2022</v>
      </c>
      <c r="H20" s="2" t="s">
        <v>77</v>
      </c>
      <c r="I20" s="17" t="s">
        <v>700</v>
      </c>
      <c r="J20" s="17" t="s">
        <v>700</v>
      </c>
      <c r="K20" s="17" t="s">
        <v>700</v>
      </c>
      <c r="L20" s="17" t="s">
        <v>700</v>
      </c>
      <c r="M20" s="17" t="s">
        <v>700</v>
      </c>
      <c r="N20" s="17" t="s">
        <v>700</v>
      </c>
      <c r="O20" s="17" t="s">
        <v>700</v>
      </c>
      <c r="P20" s="10" t="s">
        <v>700</v>
      </c>
      <c r="Q20" s="105" t="s">
        <v>700</v>
      </c>
      <c r="R20" s="229"/>
    </row>
    <row r="21" spans="2:18" x14ac:dyDescent="0.25">
      <c r="B21" s="81"/>
      <c r="C21" s="4" t="s">
        <v>19</v>
      </c>
      <c r="D21" s="2" t="s">
        <v>78</v>
      </c>
      <c r="E21" s="2" t="s">
        <v>65</v>
      </c>
      <c r="F21" s="2" t="s">
        <v>11</v>
      </c>
      <c r="G21" s="6">
        <v>2022</v>
      </c>
      <c r="H21" s="2" t="s">
        <v>77</v>
      </c>
      <c r="I21" s="17" t="s">
        <v>700</v>
      </c>
      <c r="J21" s="17" t="s">
        <v>700</v>
      </c>
      <c r="K21" s="17" t="s">
        <v>700</v>
      </c>
      <c r="L21" s="17" t="s">
        <v>700</v>
      </c>
      <c r="M21" s="17" t="s">
        <v>700</v>
      </c>
      <c r="N21" s="17" t="s">
        <v>700</v>
      </c>
      <c r="O21" s="17" t="s">
        <v>700</v>
      </c>
      <c r="P21" s="10" t="s">
        <v>700</v>
      </c>
      <c r="Q21" s="105" t="e">
        <v>#VALUE!</v>
      </c>
      <c r="R21" s="229"/>
    </row>
    <row r="22" spans="2:18" x14ac:dyDescent="0.25">
      <c r="B22" s="81"/>
      <c r="C22" s="526" t="s">
        <v>88</v>
      </c>
      <c r="D22" s="527" t="s">
        <v>78</v>
      </c>
      <c r="E22" s="527" t="s">
        <v>64</v>
      </c>
      <c r="F22" s="527" t="s">
        <v>11</v>
      </c>
      <c r="G22" s="528">
        <v>2022</v>
      </c>
      <c r="H22" s="527" t="s">
        <v>45</v>
      </c>
      <c r="I22" s="529" t="s">
        <v>700</v>
      </c>
      <c r="J22" s="529" t="s">
        <v>700</v>
      </c>
      <c r="K22" s="529" t="s">
        <v>700</v>
      </c>
      <c r="L22" s="529" t="s">
        <v>700</v>
      </c>
      <c r="M22" s="529" t="s">
        <v>700</v>
      </c>
      <c r="N22" s="529">
        <v>3.4794037999999996</v>
      </c>
      <c r="O22" s="529">
        <v>3.4794037999999965</v>
      </c>
      <c r="P22" s="530">
        <v>0.14183556891719745</v>
      </c>
      <c r="Q22" s="105" t="e">
        <v>#VALUE!</v>
      </c>
      <c r="R22" s="229"/>
    </row>
    <row r="23" spans="2:18" x14ac:dyDescent="0.25">
      <c r="B23" s="81"/>
      <c r="C23" s="4" t="s">
        <v>35</v>
      </c>
      <c r="D23" s="2" t="s">
        <v>79</v>
      </c>
      <c r="E23" s="2" t="s">
        <v>63</v>
      </c>
      <c r="F23" s="2" t="s">
        <v>634</v>
      </c>
      <c r="G23" s="6">
        <v>2022</v>
      </c>
      <c r="H23" s="2" t="s">
        <v>77</v>
      </c>
      <c r="I23" s="17" t="s">
        <v>700</v>
      </c>
      <c r="J23" s="17" t="s">
        <v>700</v>
      </c>
      <c r="K23" s="17" t="s">
        <v>700</v>
      </c>
      <c r="L23" s="17" t="s">
        <v>700</v>
      </c>
      <c r="M23" s="17" t="s">
        <v>700</v>
      </c>
      <c r="N23" s="17" t="s">
        <v>700</v>
      </c>
      <c r="O23" s="17" t="s">
        <v>700</v>
      </c>
      <c r="P23" s="266" t="s">
        <v>700</v>
      </c>
      <c r="Q23" s="105" t="s">
        <v>700</v>
      </c>
      <c r="R23" s="229"/>
    </row>
    <row r="24" spans="2:18" x14ac:dyDescent="0.25">
      <c r="B24" s="81"/>
      <c r="C24" s="4" t="s">
        <v>246</v>
      </c>
      <c r="D24" s="2" t="s">
        <v>78</v>
      </c>
      <c r="E24" s="2" t="s">
        <v>64</v>
      </c>
      <c r="F24" s="2" t="s">
        <v>8</v>
      </c>
      <c r="G24" s="6">
        <v>2022</v>
      </c>
      <c r="H24" s="2" t="s">
        <v>44</v>
      </c>
      <c r="I24" s="17" t="e">
        <v>#VALUE!</v>
      </c>
      <c r="J24" s="17" t="s">
        <v>700</v>
      </c>
      <c r="K24" s="17" t="s">
        <v>700</v>
      </c>
      <c r="L24" s="17" t="s">
        <v>700</v>
      </c>
      <c r="M24" s="17" t="s">
        <v>700</v>
      </c>
      <c r="N24" s="17" t="s">
        <v>700</v>
      </c>
      <c r="O24" s="17" t="s">
        <v>700</v>
      </c>
      <c r="P24" s="10" t="s">
        <v>700</v>
      </c>
      <c r="Q24" s="105" t="s">
        <v>700</v>
      </c>
      <c r="R24" s="229"/>
    </row>
    <row r="25" spans="2:18" x14ac:dyDescent="0.25">
      <c r="B25" s="81"/>
      <c r="C25" s="4" t="s">
        <v>275</v>
      </c>
      <c r="D25" s="2" t="s">
        <v>78</v>
      </c>
      <c r="E25" s="2" t="s">
        <v>65</v>
      </c>
      <c r="F25" s="2" t="s">
        <v>635</v>
      </c>
      <c r="G25" s="6">
        <v>2022</v>
      </c>
      <c r="H25" s="2" t="s">
        <v>68</v>
      </c>
      <c r="I25" s="17" t="s">
        <v>700</v>
      </c>
      <c r="J25" s="17" t="s">
        <v>700</v>
      </c>
      <c r="K25" s="17" t="s">
        <v>700</v>
      </c>
      <c r="L25" s="17" t="s">
        <v>700</v>
      </c>
      <c r="M25" s="17" t="s">
        <v>700</v>
      </c>
      <c r="N25" s="17" t="s">
        <v>700</v>
      </c>
      <c r="O25" s="17" t="s">
        <v>700</v>
      </c>
      <c r="P25" s="10" t="s">
        <v>700</v>
      </c>
      <c r="Q25" s="105" t="s">
        <v>700</v>
      </c>
      <c r="R25" s="229"/>
    </row>
    <row r="26" spans="2:18" x14ac:dyDescent="0.25">
      <c r="B26" s="81"/>
      <c r="C26" s="4" t="s">
        <v>344</v>
      </c>
      <c r="D26" s="2" t="s">
        <v>78</v>
      </c>
      <c r="E26" s="2" t="s">
        <v>64</v>
      </c>
      <c r="F26" s="2" t="s">
        <v>8</v>
      </c>
      <c r="G26" s="6">
        <v>2023</v>
      </c>
      <c r="H26" s="2" t="s">
        <v>67</v>
      </c>
      <c r="I26" s="17" t="s">
        <v>700</v>
      </c>
      <c r="J26" s="17" t="s">
        <v>700</v>
      </c>
      <c r="K26" s="17" t="s">
        <v>700</v>
      </c>
      <c r="L26" s="17" t="s">
        <v>700</v>
      </c>
      <c r="M26" s="17" t="s">
        <v>700</v>
      </c>
      <c r="N26" s="17" t="s">
        <v>700</v>
      </c>
      <c r="O26" s="17" t="s">
        <v>700</v>
      </c>
      <c r="P26" s="10" t="s">
        <v>700</v>
      </c>
      <c r="Q26" s="105" t="s">
        <v>700</v>
      </c>
      <c r="R26" s="229"/>
    </row>
    <row r="27" spans="2:18" x14ac:dyDescent="0.25">
      <c r="B27" s="81"/>
      <c r="C27" s="4" t="s">
        <v>409</v>
      </c>
      <c r="D27" s="2" t="s">
        <v>78</v>
      </c>
      <c r="E27" s="2" t="s">
        <v>64</v>
      </c>
      <c r="F27" s="2" t="s">
        <v>8</v>
      </c>
      <c r="G27" s="6">
        <v>2023</v>
      </c>
      <c r="H27" s="2" t="s">
        <v>412</v>
      </c>
      <c r="I27" s="17" t="s">
        <v>700</v>
      </c>
      <c r="J27" s="17" t="s">
        <v>700</v>
      </c>
      <c r="K27" s="17" t="s">
        <v>700</v>
      </c>
      <c r="L27" s="17" t="s">
        <v>700</v>
      </c>
      <c r="M27" s="17" t="s">
        <v>700</v>
      </c>
      <c r="N27" s="17" t="s">
        <v>700</v>
      </c>
      <c r="O27" s="17" t="s">
        <v>700</v>
      </c>
      <c r="P27" s="10" t="e">
        <v>#VALUE!</v>
      </c>
      <c r="Q27" s="105" t="e">
        <v>#VALUE!</v>
      </c>
      <c r="R27" s="229"/>
    </row>
    <row r="28" spans="2:18" x14ac:dyDescent="0.25">
      <c r="B28" s="81"/>
      <c r="C28" s="4" t="s">
        <v>420</v>
      </c>
      <c r="D28" s="2" t="s">
        <v>78</v>
      </c>
      <c r="E28" s="2" t="s">
        <v>62</v>
      </c>
      <c r="F28" s="2" t="s">
        <v>8</v>
      </c>
      <c r="G28" s="6">
        <v>2023</v>
      </c>
      <c r="H28" s="2" t="s">
        <v>68</v>
      </c>
      <c r="I28" s="17" t="s">
        <v>700</v>
      </c>
      <c r="J28" s="17" t="s">
        <v>700</v>
      </c>
      <c r="K28" s="17" t="s">
        <v>700</v>
      </c>
      <c r="L28" s="17" t="s">
        <v>700</v>
      </c>
      <c r="M28" s="17" t="s">
        <v>700</v>
      </c>
      <c r="N28" s="17" t="s">
        <v>700</v>
      </c>
      <c r="O28" s="17" t="s">
        <v>700</v>
      </c>
      <c r="P28" s="10" t="e">
        <v>#VALUE!</v>
      </c>
      <c r="Q28" s="105" t="e">
        <v>#VALUE!</v>
      </c>
      <c r="R28" s="229"/>
    </row>
    <row r="29" spans="2:18" x14ac:dyDescent="0.25">
      <c r="B29" s="81"/>
      <c r="C29" s="4" t="s">
        <v>462</v>
      </c>
      <c r="D29" s="2" t="s">
        <v>78</v>
      </c>
      <c r="E29" s="2" t="s">
        <v>463</v>
      </c>
      <c r="F29" s="2" t="s">
        <v>636</v>
      </c>
      <c r="G29" s="6">
        <v>2024</v>
      </c>
      <c r="H29" s="2" t="s">
        <v>465</v>
      </c>
      <c r="I29" s="17" t="s">
        <v>700</v>
      </c>
      <c r="J29" s="17" t="s">
        <v>700</v>
      </c>
      <c r="K29" s="17" t="s">
        <v>700</v>
      </c>
      <c r="L29" s="17" t="s">
        <v>700</v>
      </c>
      <c r="M29" s="17" t="s">
        <v>700</v>
      </c>
      <c r="N29" s="17" t="s">
        <v>700</v>
      </c>
      <c r="O29" s="17" t="s">
        <v>700</v>
      </c>
      <c r="P29" s="10" t="e">
        <v>#VALUE!</v>
      </c>
      <c r="Q29" s="105" t="e">
        <v>#VALUE!</v>
      </c>
      <c r="R29" s="229"/>
    </row>
    <row r="30" spans="2:18" x14ac:dyDescent="0.25">
      <c r="B30" s="81"/>
      <c r="C30" s="4" t="s">
        <v>602</v>
      </c>
      <c r="D30" s="2" t="s">
        <v>78</v>
      </c>
      <c r="E30" s="2" t="s">
        <v>64</v>
      </c>
      <c r="F30" s="2" t="s">
        <v>603</v>
      </c>
      <c r="G30" s="6">
        <v>2024</v>
      </c>
      <c r="H30" s="2" t="s">
        <v>44</v>
      </c>
      <c r="I30" s="17" t="e">
        <v>#VALUE!</v>
      </c>
      <c r="J30" s="17" t="s">
        <v>700</v>
      </c>
      <c r="K30" s="17" t="s">
        <v>700</v>
      </c>
      <c r="L30" s="17" t="s">
        <v>700</v>
      </c>
      <c r="M30" s="17" t="s">
        <v>700</v>
      </c>
      <c r="N30" s="17" t="s">
        <v>700</v>
      </c>
      <c r="O30" s="17" t="s">
        <v>700</v>
      </c>
      <c r="P30" s="10" t="e">
        <v>#VALUE!</v>
      </c>
      <c r="Q30" s="105" t="s">
        <v>700</v>
      </c>
      <c r="R30" s="229"/>
    </row>
    <row r="31" spans="2:18" x14ac:dyDescent="0.25">
      <c r="B31" s="81"/>
      <c r="C31" s="5"/>
      <c r="D31" s="7"/>
      <c r="E31" s="7"/>
      <c r="F31" s="7"/>
      <c r="G31" s="14"/>
      <c r="H31" s="7"/>
      <c r="I31" s="206" t="s">
        <v>700</v>
      </c>
      <c r="J31" s="24" t="s">
        <v>700</v>
      </c>
      <c r="K31" s="7" t="s">
        <v>700</v>
      </c>
      <c r="L31" s="24" t="s">
        <v>700</v>
      </c>
      <c r="M31" s="24" t="s">
        <v>700</v>
      </c>
      <c r="N31" s="24" t="s">
        <v>700</v>
      </c>
      <c r="O31" s="24" t="s">
        <v>700</v>
      </c>
      <c r="P31" s="15" t="s">
        <v>700</v>
      </c>
      <c r="Q31" s="219" t="s">
        <v>700</v>
      </c>
      <c r="R31" s="229"/>
    </row>
    <row r="32" spans="2:18" s="85" customFormat="1" x14ac:dyDescent="0.25">
      <c r="B32" s="83"/>
      <c r="C32" s="98"/>
      <c r="D32" s="98"/>
      <c r="E32" s="98"/>
      <c r="F32" s="98"/>
      <c r="G32" s="98"/>
      <c r="H32" s="98"/>
      <c r="I32" s="99" t="s">
        <v>700</v>
      </c>
      <c r="J32" s="100">
        <v>-10</v>
      </c>
      <c r="K32" s="100">
        <v>-10</v>
      </c>
      <c r="L32" s="100" t="s">
        <v>700</v>
      </c>
      <c r="M32" s="100" t="s">
        <v>700</v>
      </c>
      <c r="N32" s="98">
        <v>23.617748880765021</v>
      </c>
      <c r="O32" s="100">
        <v>33.617748880765021</v>
      </c>
      <c r="P32" s="101">
        <v>1.5436161843741747E-2</v>
      </c>
      <c r="Q32" s="103" t="s">
        <v>700</v>
      </c>
      <c r="R32" s="287"/>
    </row>
    <row r="33" spans="2:18" x14ac:dyDescent="0.25">
      <c r="B33" s="81"/>
      <c r="C33" s="5"/>
      <c r="D33" s="8"/>
      <c r="E33" s="8"/>
      <c r="F33" s="8"/>
      <c r="G33" s="8"/>
      <c r="H33" s="8"/>
      <c r="I33" s="22" t="s">
        <v>700</v>
      </c>
      <c r="J33" s="19" t="s">
        <v>700</v>
      </c>
      <c r="K33" s="19" t="s">
        <v>700</v>
      </c>
      <c r="L33" s="19" t="s">
        <v>700</v>
      </c>
      <c r="M33" s="19" t="s">
        <v>700</v>
      </c>
      <c r="N33" s="19" t="s">
        <v>700</v>
      </c>
      <c r="O33" s="19" t="s">
        <v>700</v>
      </c>
      <c r="P33" s="12" t="s">
        <v>700</v>
      </c>
      <c r="Q33" s="104" t="s">
        <v>700</v>
      </c>
      <c r="R33" s="229"/>
    </row>
    <row r="34" spans="2:18" x14ac:dyDescent="0.25">
      <c r="B34" s="81"/>
      <c r="C34" s="514" t="s">
        <v>29</v>
      </c>
      <c r="D34" s="425"/>
      <c r="E34" s="425"/>
      <c r="F34" s="425"/>
      <c r="G34" s="426"/>
      <c r="H34" s="425"/>
      <c r="I34" s="427" t="s">
        <v>700</v>
      </c>
      <c r="J34" s="428" t="s">
        <v>700</v>
      </c>
      <c r="K34" s="428" t="s">
        <v>700</v>
      </c>
      <c r="L34" s="428" t="s">
        <v>700</v>
      </c>
      <c r="M34" s="428" t="s">
        <v>700</v>
      </c>
      <c r="N34" s="428" t="s">
        <v>700</v>
      </c>
      <c r="O34" s="428" t="s">
        <v>700</v>
      </c>
      <c r="P34" s="429" t="s">
        <v>700</v>
      </c>
      <c r="Q34" s="425" t="s">
        <v>700</v>
      </c>
      <c r="R34" s="229"/>
    </row>
    <row r="35" spans="2:18" x14ac:dyDescent="0.25">
      <c r="B35" s="81"/>
      <c r="C35" s="4" t="s">
        <v>48</v>
      </c>
      <c r="D35" s="2" t="s">
        <v>444</v>
      </c>
      <c r="E35" s="2" t="s">
        <v>305</v>
      </c>
      <c r="F35" s="2" t="s">
        <v>8</v>
      </c>
      <c r="G35" s="6">
        <v>2019</v>
      </c>
      <c r="H35" s="2" t="s">
        <v>126</v>
      </c>
      <c r="I35" s="17" t="e">
        <v>#VALUE!</v>
      </c>
      <c r="J35" s="17" t="s">
        <v>700</v>
      </c>
      <c r="K35" s="17" t="s">
        <v>700</v>
      </c>
      <c r="L35" s="17" t="s">
        <v>700</v>
      </c>
      <c r="M35" s="17" t="s">
        <v>700</v>
      </c>
      <c r="N35" s="17" t="s">
        <v>700</v>
      </c>
      <c r="O35" s="17" t="s">
        <v>700</v>
      </c>
      <c r="P35" s="10" t="s">
        <v>700</v>
      </c>
      <c r="Q35" s="102" t="e">
        <v>#VALUE!</v>
      </c>
      <c r="R35" s="229"/>
    </row>
    <row r="36" spans="2:18" x14ac:dyDescent="0.25">
      <c r="B36" s="81"/>
      <c r="C36" s="4" t="s">
        <v>248</v>
      </c>
      <c r="D36" s="2" t="s">
        <v>444</v>
      </c>
      <c r="E36" s="2" t="s">
        <v>63</v>
      </c>
      <c r="F36" s="2" t="s">
        <v>8</v>
      </c>
      <c r="G36" s="6">
        <v>2021</v>
      </c>
      <c r="H36" s="2" t="s">
        <v>128</v>
      </c>
      <c r="I36" s="17" t="e">
        <v>#VALUE!</v>
      </c>
      <c r="J36" s="17" t="s">
        <v>700</v>
      </c>
      <c r="K36" s="17" t="s">
        <v>700</v>
      </c>
      <c r="L36" s="17" t="s">
        <v>700</v>
      </c>
      <c r="M36" s="17" t="s">
        <v>700</v>
      </c>
      <c r="N36" s="17" t="s">
        <v>700</v>
      </c>
      <c r="O36" s="17" t="s">
        <v>700</v>
      </c>
      <c r="P36" s="10" t="s">
        <v>700</v>
      </c>
      <c r="Q36" s="102" t="e">
        <v>#VALUE!</v>
      </c>
      <c r="R36" s="229"/>
    </row>
    <row r="37" spans="2:18" x14ac:dyDescent="0.25">
      <c r="B37" s="81"/>
      <c r="C37" s="4" t="s">
        <v>240</v>
      </c>
      <c r="D37" s="2" t="s">
        <v>79</v>
      </c>
      <c r="E37" s="2" t="s">
        <v>62</v>
      </c>
      <c r="F37" s="2" t="s">
        <v>8</v>
      </c>
      <c r="G37" s="6">
        <v>2021</v>
      </c>
      <c r="H37" s="2" t="s">
        <v>128</v>
      </c>
      <c r="I37" s="17" t="e">
        <v>#VALUE!</v>
      </c>
      <c r="J37" s="17" t="s">
        <v>700</v>
      </c>
      <c r="K37" s="17" t="s">
        <v>700</v>
      </c>
      <c r="L37" s="17" t="s">
        <v>700</v>
      </c>
      <c r="M37" s="17" t="s">
        <v>700</v>
      </c>
      <c r="N37" s="17" t="s">
        <v>700</v>
      </c>
      <c r="O37" s="17" t="s">
        <v>700</v>
      </c>
      <c r="P37" s="10" t="s">
        <v>700</v>
      </c>
      <c r="Q37" s="102" t="s">
        <v>700</v>
      </c>
      <c r="R37" s="229"/>
    </row>
    <row r="38" spans="2:18" s="85" customFormat="1" x14ac:dyDescent="0.25">
      <c r="B38" s="83"/>
      <c r="C38" s="98"/>
      <c r="D38" s="98"/>
      <c r="E38" s="98"/>
      <c r="F38" s="98"/>
      <c r="G38" s="98"/>
      <c r="H38" s="98"/>
      <c r="I38" s="106" t="s">
        <v>700</v>
      </c>
      <c r="J38" s="100" t="s">
        <v>700</v>
      </c>
      <c r="K38" s="100" t="s">
        <v>700</v>
      </c>
      <c r="L38" s="100" t="s">
        <v>700</v>
      </c>
      <c r="M38" s="100" t="s">
        <v>700</v>
      </c>
      <c r="N38" s="100" t="s">
        <v>700</v>
      </c>
      <c r="O38" s="100" t="s">
        <v>700</v>
      </c>
      <c r="P38" s="101" t="s">
        <v>700</v>
      </c>
      <c r="Q38" s="103" t="s">
        <v>700</v>
      </c>
      <c r="R38" s="287"/>
    </row>
    <row r="39" spans="2:18" x14ac:dyDescent="0.25">
      <c r="B39" s="81"/>
      <c r="C39" s="5"/>
      <c r="D39" s="8"/>
      <c r="E39" s="8"/>
      <c r="F39" s="8"/>
      <c r="G39" s="8"/>
      <c r="H39" s="8"/>
      <c r="I39" s="107" t="s">
        <v>700</v>
      </c>
      <c r="J39" s="19" t="s">
        <v>700</v>
      </c>
      <c r="K39" s="19" t="s">
        <v>700</v>
      </c>
      <c r="L39" s="19" t="s">
        <v>700</v>
      </c>
      <c r="M39" s="19" t="s">
        <v>700</v>
      </c>
      <c r="N39" s="19" t="s">
        <v>700</v>
      </c>
      <c r="O39" s="19" t="s">
        <v>700</v>
      </c>
      <c r="P39" s="12" t="s">
        <v>700</v>
      </c>
      <c r="Q39" s="8" t="s">
        <v>700</v>
      </c>
      <c r="R39" s="229"/>
    </row>
    <row r="40" spans="2:18" x14ac:dyDescent="0.25">
      <c r="B40" s="81"/>
      <c r="C40" s="514" t="s">
        <v>30</v>
      </c>
      <c r="D40" s="425"/>
      <c r="E40" s="425"/>
      <c r="F40" s="425"/>
      <c r="G40" s="426"/>
      <c r="H40" s="425"/>
      <c r="I40" s="427" t="s">
        <v>700</v>
      </c>
      <c r="J40" s="428" t="s">
        <v>700</v>
      </c>
      <c r="K40" s="428" t="s">
        <v>700</v>
      </c>
      <c r="L40" s="428" t="s">
        <v>700</v>
      </c>
      <c r="M40" s="428" t="s">
        <v>700</v>
      </c>
      <c r="N40" s="428" t="s">
        <v>700</v>
      </c>
      <c r="O40" s="428" t="s">
        <v>700</v>
      </c>
      <c r="P40" s="429" t="s">
        <v>700</v>
      </c>
      <c r="Q40" s="425" t="s">
        <v>700</v>
      </c>
      <c r="R40" s="229"/>
    </row>
    <row r="41" spans="2:18" x14ac:dyDescent="0.25">
      <c r="B41" s="81"/>
      <c r="C41" s="4" t="s">
        <v>118</v>
      </c>
      <c r="D41" s="2" t="s">
        <v>78</v>
      </c>
      <c r="E41" s="2" t="s">
        <v>62</v>
      </c>
      <c r="F41" s="2" t="s">
        <v>610</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700</v>
      </c>
      <c r="R41" s="229"/>
    </row>
    <row r="42" spans="2:18" x14ac:dyDescent="0.25">
      <c r="B42" s="81"/>
      <c r="C42" s="4" t="s">
        <v>343</v>
      </c>
      <c r="D42" s="2" t="s">
        <v>78</v>
      </c>
      <c r="E42" s="2" t="s">
        <v>62</v>
      </c>
      <c r="F42" s="2" t="s">
        <v>610</v>
      </c>
      <c r="G42" s="6">
        <v>2023</v>
      </c>
      <c r="H42" s="2" t="s">
        <v>54</v>
      </c>
      <c r="I42" s="17" t="e">
        <v>#VALUE!</v>
      </c>
      <c r="J42" s="17" t="s">
        <v>700</v>
      </c>
      <c r="K42" s="17" t="s">
        <v>700</v>
      </c>
      <c r="L42" s="17" t="s">
        <v>700</v>
      </c>
      <c r="M42" s="17" t="s">
        <v>700</v>
      </c>
      <c r="N42" s="17">
        <v>-0.23951299174600216</v>
      </c>
      <c r="O42" s="17">
        <v>-0.23951299174600216</v>
      </c>
      <c r="P42" s="10">
        <v>-8.8515670862652884E-2</v>
      </c>
      <c r="Q42" s="94" t="s">
        <v>700</v>
      </c>
      <c r="R42" s="229"/>
    </row>
    <row r="43" spans="2:18" x14ac:dyDescent="0.25">
      <c r="B43" s="81"/>
      <c r="C43" s="4" t="s">
        <v>1</v>
      </c>
      <c r="D43" s="2" t="s">
        <v>78</v>
      </c>
      <c r="E43" s="2" t="s">
        <v>63</v>
      </c>
      <c r="F43" s="2" t="s">
        <v>610</v>
      </c>
      <c r="G43" s="6">
        <v>2020</v>
      </c>
      <c r="H43" s="2" t="s">
        <v>54</v>
      </c>
      <c r="I43" s="17" t="e">
        <v>#VALUE!</v>
      </c>
      <c r="J43" s="17">
        <v>-0.29599699999999984</v>
      </c>
      <c r="K43" s="17">
        <v>-5.5696999999995001E-2</v>
      </c>
      <c r="L43" s="17">
        <v>-0.2403000000000054</v>
      </c>
      <c r="M43" s="17" t="s">
        <v>700</v>
      </c>
      <c r="N43" s="17" t="s">
        <v>700</v>
      </c>
      <c r="O43" s="17">
        <v>5.5696999999995001E-2</v>
      </c>
      <c r="P43" s="10">
        <v>6.6346067224032357E-4</v>
      </c>
      <c r="Q43" s="2" t="s">
        <v>700</v>
      </c>
      <c r="R43" s="229"/>
    </row>
    <row r="44" spans="2:18" x14ac:dyDescent="0.25">
      <c r="B44" s="81"/>
      <c r="C44" s="4" t="s">
        <v>12</v>
      </c>
      <c r="D44" s="2" t="s">
        <v>79</v>
      </c>
      <c r="E44" s="2" t="s">
        <v>63</v>
      </c>
      <c r="F44" s="2" t="s">
        <v>610</v>
      </c>
      <c r="G44" s="6">
        <v>2020</v>
      </c>
      <c r="H44" s="2" t="s">
        <v>54</v>
      </c>
      <c r="I44" s="17" t="e">
        <v>#VALUE!</v>
      </c>
      <c r="J44" s="17" t="s">
        <v>700</v>
      </c>
      <c r="K44" s="17" t="s">
        <v>700</v>
      </c>
      <c r="L44" s="17" t="s">
        <v>700</v>
      </c>
      <c r="M44" s="17" t="s">
        <v>700</v>
      </c>
      <c r="N44" s="17" t="s">
        <v>700</v>
      </c>
      <c r="O44" s="17" t="s">
        <v>700</v>
      </c>
      <c r="P44" s="10" t="s">
        <v>700</v>
      </c>
      <c r="Q44" s="94" t="s">
        <v>700</v>
      </c>
      <c r="R44" s="229"/>
    </row>
    <row r="45" spans="2:18" x14ac:dyDescent="0.25">
      <c r="B45" s="81"/>
      <c r="C45" s="4" t="s">
        <v>164</v>
      </c>
      <c r="D45" s="2" t="s">
        <v>78</v>
      </c>
      <c r="E45" s="2" t="s">
        <v>64</v>
      </c>
      <c r="F45" s="2" t="s">
        <v>610</v>
      </c>
      <c r="G45" s="6">
        <v>2021</v>
      </c>
      <c r="H45" s="2" t="s">
        <v>54</v>
      </c>
      <c r="I45" s="17" t="s">
        <v>700</v>
      </c>
      <c r="J45" s="17" t="s">
        <v>700</v>
      </c>
      <c r="K45" s="17" t="s">
        <v>700</v>
      </c>
      <c r="L45" s="17" t="s">
        <v>700</v>
      </c>
      <c r="M45" s="17" t="s">
        <v>700</v>
      </c>
      <c r="N45" s="17">
        <v>1.435213000000001</v>
      </c>
      <c r="O45" s="17">
        <v>1.435213000000001</v>
      </c>
      <c r="P45" s="10">
        <v>0.10240448943151648</v>
      </c>
      <c r="Q45" s="2" t="e">
        <v>#VALUE!</v>
      </c>
      <c r="R45" s="229"/>
    </row>
    <row r="46" spans="2:18" s="85" customFormat="1" x14ac:dyDescent="0.25">
      <c r="B46" s="83"/>
      <c r="C46" s="9"/>
      <c r="D46" s="9"/>
      <c r="E46" s="9"/>
      <c r="F46" s="9"/>
      <c r="G46" s="9"/>
      <c r="H46" s="9"/>
      <c r="I46" s="108" t="s">
        <v>700</v>
      </c>
      <c r="J46" s="18">
        <v>0.41832799123142195</v>
      </c>
      <c r="K46" s="18">
        <v>-1.7730873566779906</v>
      </c>
      <c r="L46" s="18">
        <v>-0.59853074972440545</v>
      </c>
      <c r="M46" s="18">
        <v>-0.46369472675699797</v>
      </c>
      <c r="N46" s="9">
        <v>-2.1637988453395991</v>
      </c>
      <c r="O46" s="18">
        <v>-0.85440621541860651</v>
      </c>
      <c r="P46" s="11">
        <v>-5.765234771786476E-3</v>
      </c>
      <c r="Q46" s="9" t="s">
        <v>700</v>
      </c>
      <c r="R46" s="287"/>
    </row>
    <row r="47" spans="2:18" s="85" customFormat="1" x14ac:dyDescent="0.25">
      <c r="B47" s="83"/>
      <c r="C47" s="181"/>
      <c r="D47" s="181"/>
      <c r="E47" s="181"/>
      <c r="F47" s="181"/>
      <c r="G47" s="181"/>
      <c r="H47" s="181"/>
      <c r="I47" s="107" t="s">
        <v>700</v>
      </c>
      <c r="J47" s="182" t="s">
        <v>700</v>
      </c>
      <c r="K47" s="182" t="s">
        <v>700</v>
      </c>
      <c r="L47" s="182" t="s">
        <v>700</v>
      </c>
      <c r="M47" s="182" t="s">
        <v>700</v>
      </c>
      <c r="N47" s="182" t="s">
        <v>700</v>
      </c>
      <c r="O47" s="182" t="s">
        <v>700</v>
      </c>
      <c r="P47" s="183" t="s">
        <v>700</v>
      </c>
      <c r="Q47" s="181" t="s">
        <v>700</v>
      </c>
      <c r="R47" s="287"/>
    </row>
    <row r="48" spans="2:18" s="85" customFormat="1" x14ac:dyDescent="0.25">
      <c r="B48" s="83"/>
      <c r="C48" s="184" t="s">
        <v>56</v>
      </c>
      <c r="D48" s="177"/>
      <c r="E48" s="177"/>
      <c r="F48" s="177"/>
      <c r="G48" s="177"/>
      <c r="H48" s="177"/>
      <c r="I48" s="178" t="s">
        <v>700</v>
      </c>
      <c r="J48" s="179">
        <v>-9.581672008768237</v>
      </c>
      <c r="K48" s="179">
        <v>-11.773087356677934</v>
      </c>
      <c r="L48" s="179">
        <v>-0.59853074972440723</v>
      </c>
      <c r="M48" s="179">
        <v>-0.46369472675701218</v>
      </c>
      <c r="N48" s="179">
        <v>21.453950035425464</v>
      </c>
      <c r="O48" s="179">
        <v>32.763342665346045</v>
      </c>
      <c r="P48" s="180">
        <v>1.4011096561918901E-2</v>
      </c>
      <c r="Q48" s="177" t="s">
        <v>700</v>
      </c>
      <c r="R48" s="287"/>
    </row>
    <row r="49" spans="2:18" s="217" customFormat="1" ht="15.75" thickBot="1" x14ac:dyDescent="0.3">
      <c r="B49" s="210"/>
      <c r="C49" s="211"/>
      <c r="D49" s="212"/>
      <c r="E49" s="212"/>
      <c r="F49" s="212"/>
      <c r="G49" s="212"/>
      <c r="H49" s="212"/>
      <c r="I49" s="213" t="s">
        <v>700</v>
      </c>
      <c r="J49" s="214" t="s">
        <v>700</v>
      </c>
      <c r="K49" s="214">
        <v>1</v>
      </c>
      <c r="L49" s="214" t="s">
        <v>700</v>
      </c>
      <c r="M49" s="214">
        <v>1</v>
      </c>
      <c r="N49" s="214">
        <v>1</v>
      </c>
      <c r="O49" s="214" t="s">
        <v>700</v>
      </c>
      <c r="P49" s="215" t="s">
        <v>700</v>
      </c>
      <c r="Q49" s="212" t="s">
        <v>700</v>
      </c>
      <c r="R49" s="288"/>
    </row>
    <row r="50" spans="2:18" x14ac:dyDescent="0.25">
      <c r="I50" s="91"/>
    </row>
    <row r="51" spans="2:18" x14ac:dyDescent="0.25">
      <c r="C51" s="27"/>
    </row>
    <row r="52" spans="2:18" x14ac:dyDescent="0.25">
      <c r="F52" s="7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7" t="s">
        <v>189</v>
      </c>
      <c r="D2" s="158"/>
      <c r="E2" s="158"/>
      <c r="F2" s="158"/>
      <c r="G2" s="162"/>
      <c r="H2" s="162"/>
      <c r="I2" s="162"/>
      <c r="J2" s="162"/>
      <c r="K2" s="27"/>
      <c r="L2" s="95"/>
      <c r="M2" s="27"/>
    </row>
    <row r="5" spans="2:20" x14ac:dyDescent="0.2">
      <c r="C5" s="38" t="s">
        <v>5</v>
      </c>
      <c r="D5" s="40" t="s">
        <v>153</v>
      </c>
      <c r="E5" s="39" t="s">
        <v>6</v>
      </c>
      <c r="F5" s="39" t="s">
        <v>172</v>
      </c>
      <c r="G5" s="39" t="s">
        <v>93</v>
      </c>
      <c r="H5" s="39" t="s">
        <v>162</v>
      </c>
      <c r="J5" s="142" t="s">
        <v>93</v>
      </c>
      <c r="K5" s="143" t="s">
        <v>152</v>
      </c>
      <c r="L5" s="143" t="s">
        <v>43</v>
      </c>
      <c r="M5" s="143" t="s">
        <v>52</v>
      </c>
      <c r="N5" s="143" t="s">
        <v>56</v>
      </c>
      <c r="P5" s="142" t="s">
        <v>162</v>
      </c>
      <c r="Q5" s="143" t="s">
        <v>152</v>
      </c>
      <c r="R5" s="143" t="s">
        <v>43</v>
      </c>
      <c r="S5" s="143" t="s">
        <v>52</v>
      </c>
      <c r="T5" s="143" t="s">
        <v>56</v>
      </c>
    </row>
    <row r="6" spans="2:20" x14ac:dyDescent="0.2">
      <c r="B6" s="272" t="s">
        <v>152</v>
      </c>
      <c r="C6" s="225"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5"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7">
        <f t="shared" ref="K7:K21" si="1">-SUMIFS($G$5:$G$125,$D$5:$D$125,$K$5,$F$5:$F$125,J7)</f>
        <v>30</v>
      </c>
      <c r="L7" s="137">
        <f t="shared" ref="L7:L21" si="2">-SUMIFS($G$5:$G$125,$D$5:$D$125,$L$5,$F$5:$F$125,J7)</f>
        <v>0</v>
      </c>
      <c r="M7" s="137">
        <f t="shared" ref="M7:M21" si="3">-SUMIFS($G$5:$G$125,$D$5:$D$125,"Fund",$F$5:$F$125,J7)</f>
        <v>0</v>
      </c>
      <c r="N7" s="137">
        <f t="shared" ref="N7:N26" ca="1" si="4">-SUMIF($F$5:$H$125,$J7,$G$5:$G$125)</f>
        <v>30</v>
      </c>
      <c r="P7" s="29" t="s">
        <v>171</v>
      </c>
      <c r="Q7" s="137">
        <f t="shared" ref="Q7:Q21" si="5">SUMIFS($H$5:$H$125,$D$5:$D$125,$Q$5,$F$5:$F$125,J7)</f>
        <v>0</v>
      </c>
      <c r="R7" s="137">
        <f t="shared" ref="R7:R21" si="6">SUMIFS($H$5:$H$125,$D$5:$D$125,$R$5,$F$5:$F$125,J7)</f>
        <v>0</v>
      </c>
      <c r="S7" s="137">
        <f t="shared" ref="S7:S21" si="7">SUMIFS($H$5:$H$125,$D$5:$D$125,$S$5,$F$5:$F$125,J7)</f>
        <v>0</v>
      </c>
      <c r="T7" s="137">
        <f t="shared" ref="T7:T26" ca="1" si="8">SUMIF($F$5:$H$125,$J7,$H$5:$H$125)</f>
        <v>0</v>
      </c>
    </row>
    <row r="8" spans="2:20" x14ac:dyDescent="0.2">
      <c r="C8" s="225" t="str">
        <f>'CF (Equity, Debt)'!C6</f>
        <v>Jollychic Holding Limited</v>
      </c>
      <c r="D8" s="33" t="s">
        <v>152</v>
      </c>
      <c r="E8" s="30">
        <f>'CF (Equity, Debt)'!D6</f>
        <v>43724</v>
      </c>
      <c r="F8" s="30" t="str">
        <f t="shared" si="0"/>
        <v>Q3 2019</v>
      </c>
      <c r="G8" s="36">
        <f>'CF (Equity, Debt)'!E6</f>
        <v>-15</v>
      </c>
      <c r="H8" s="36">
        <f>'CF (Equity, Debt)'!F6</f>
        <v>0</v>
      </c>
      <c r="J8" s="29" t="s">
        <v>173</v>
      </c>
      <c r="K8" s="137">
        <f t="shared" si="1"/>
        <v>12.99999809</v>
      </c>
      <c r="L8" s="137">
        <f t="shared" si="2"/>
        <v>8</v>
      </c>
      <c r="M8" s="137">
        <f t="shared" si="3"/>
        <v>0</v>
      </c>
      <c r="N8" s="137">
        <f t="shared" ca="1" si="4"/>
        <v>20.999998089999998</v>
      </c>
      <c r="P8" s="29" t="s">
        <v>173</v>
      </c>
      <c r="Q8" s="137">
        <f t="shared" si="5"/>
        <v>0</v>
      </c>
      <c r="R8" s="137">
        <f t="shared" si="6"/>
        <v>0</v>
      </c>
      <c r="S8" s="137">
        <f t="shared" si="7"/>
        <v>0</v>
      </c>
      <c r="T8" s="137">
        <f t="shared" ca="1" si="8"/>
        <v>0</v>
      </c>
    </row>
    <row r="9" spans="2:20" x14ac:dyDescent="0.2">
      <c r="C9" s="226" t="str">
        <f>'CF (Equity, Debt)'!C7</f>
        <v>Mena Mobile Inc</v>
      </c>
      <c r="D9" s="34" t="s">
        <v>152</v>
      </c>
      <c r="E9" s="31">
        <f>'CF (Equity, Debt)'!D7</f>
        <v>43563</v>
      </c>
      <c r="F9" s="31" t="str">
        <f t="shared" si="0"/>
        <v>Q2 2019</v>
      </c>
      <c r="G9" s="37">
        <f>'CF (Equity, Debt)'!E7</f>
        <v>-8</v>
      </c>
      <c r="H9" s="37">
        <f>'CF (Equity, Debt)'!F7</f>
        <v>0</v>
      </c>
      <c r="J9" s="29" t="s">
        <v>174</v>
      </c>
      <c r="K9" s="137">
        <f t="shared" si="1"/>
        <v>35</v>
      </c>
      <c r="L9" s="137">
        <f t="shared" si="2"/>
        <v>0</v>
      </c>
      <c r="M9" s="137">
        <f t="shared" si="3"/>
        <v>3</v>
      </c>
      <c r="N9" s="137">
        <f t="shared" ca="1" si="4"/>
        <v>38</v>
      </c>
      <c r="P9" s="29" t="s">
        <v>174</v>
      </c>
      <c r="Q9" s="137">
        <f t="shared" si="5"/>
        <v>0</v>
      </c>
      <c r="R9" s="137">
        <f t="shared" si="6"/>
        <v>0</v>
      </c>
      <c r="S9" s="137">
        <f t="shared" si="7"/>
        <v>0</v>
      </c>
      <c r="T9" s="137">
        <f t="shared" ca="1" si="8"/>
        <v>0</v>
      </c>
    </row>
    <row r="10" spans="2:20" x14ac:dyDescent="0.2">
      <c r="C10" s="225" t="str">
        <f>'CF (Equity, Debt)'!C8</f>
        <v>Flyr Inc</v>
      </c>
      <c r="D10" s="33" t="s">
        <v>152</v>
      </c>
      <c r="E10" s="30">
        <f>'CF (Equity, Debt)'!D8</f>
        <v>43570</v>
      </c>
      <c r="F10" s="30" t="str">
        <f t="shared" si="0"/>
        <v>Q2 2019</v>
      </c>
      <c r="G10" s="36">
        <f>'CF (Equity, Debt)'!E8</f>
        <v>-4.9999980900000001</v>
      </c>
      <c r="H10" s="36">
        <f>'CF (Equity, Debt)'!F8</f>
        <v>0</v>
      </c>
      <c r="J10" s="29" t="s">
        <v>175</v>
      </c>
      <c r="K10" s="137">
        <f t="shared" si="1"/>
        <v>0</v>
      </c>
      <c r="L10" s="137">
        <f t="shared" si="2"/>
        <v>0</v>
      </c>
      <c r="M10" s="137">
        <f t="shared" si="3"/>
        <v>0</v>
      </c>
      <c r="N10" s="137">
        <f t="shared" ca="1" si="4"/>
        <v>0</v>
      </c>
      <c r="P10" s="29" t="s">
        <v>175</v>
      </c>
      <c r="Q10" s="137">
        <f t="shared" si="5"/>
        <v>0</v>
      </c>
      <c r="R10" s="137">
        <f t="shared" si="6"/>
        <v>0</v>
      </c>
      <c r="S10" s="137">
        <f t="shared" si="7"/>
        <v>0</v>
      </c>
      <c r="T10" s="137">
        <f t="shared" ca="1" si="8"/>
        <v>0</v>
      </c>
    </row>
    <row r="11" spans="2:20" x14ac:dyDescent="0.2">
      <c r="C11" s="225" t="str">
        <f>'CF (Equity, Debt)'!C9</f>
        <v>Flyr Inc</v>
      </c>
      <c r="D11" s="33" t="s">
        <v>152</v>
      </c>
      <c r="E11" s="30">
        <f>'CF (Equity, Debt)'!D9</f>
        <v>43915</v>
      </c>
      <c r="F11" s="30" t="str">
        <f t="shared" si="0"/>
        <v>Q1 2020</v>
      </c>
      <c r="G11" s="36">
        <f>'CF (Equity, Debt)'!E9</f>
        <v>-5.0000019099999999</v>
      </c>
      <c r="H11" s="36">
        <f>'CF (Equity, Debt)'!F9</f>
        <v>0</v>
      </c>
      <c r="J11" s="29" t="s">
        <v>176</v>
      </c>
      <c r="K11" s="137">
        <f t="shared" si="1"/>
        <v>75.609443209619357</v>
      </c>
      <c r="L11" s="137">
        <f t="shared" si="2"/>
        <v>0</v>
      </c>
      <c r="M11" s="137">
        <f t="shared" si="3"/>
        <v>9.5097500000000004</v>
      </c>
      <c r="N11" s="137">
        <f t="shared" ca="1" si="4"/>
        <v>85.119193209619354</v>
      </c>
      <c r="P11" s="29" t="s">
        <v>176</v>
      </c>
      <c r="Q11" s="137">
        <f t="shared" si="5"/>
        <v>0</v>
      </c>
      <c r="R11" s="137">
        <f t="shared" si="6"/>
        <v>0</v>
      </c>
      <c r="S11" s="137">
        <f t="shared" si="7"/>
        <v>0</v>
      </c>
      <c r="T11" s="137">
        <f t="shared" ca="1" si="8"/>
        <v>0</v>
      </c>
    </row>
    <row r="12" spans="2:20" x14ac:dyDescent="0.2">
      <c r="C12" s="226" t="str">
        <f>'CF (Equity, Debt)'!C10</f>
        <v xml:space="preserve">Esyasoft Holding </v>
      </c>
      <c r="D12" s="34" t="s">
        <v>152</v>
      </c>
      <c r="E12" s="31">
        <f>'CF (Equity, Debt)'!D10</f>
        <v>43870</v>
      </c>
      <c r="F12" s="31" t="str">
        <f t="shared" si="0"/>
        <v>Q1 2020</v>
      </c>
      <c r="G12" s="37">
        <f>'CF (Equity, Debt)'!E10</f>
        <v>-2.5</v>
      </c>
      <c r="H12" s="37">
        <f>'CF (Equity, Debt)'!F10</f>
        <v>0</v>
      </c>
      <c r="J12" s="29" t="s">
        <v>177</v>
      </c>
      <c r="K12" s="137">
        <f t="shared" si="1"/>
        <v>142.12003795060357</v>
      </c>
      <c r="L12" s="137">
        <f t="shared" si="2"/>
        <v>0</v>
      </c>
      <c r="M12" s="137">
        <f t="shared" si="3"/>
        <v>45.784999999999997</v>
      </c>
      <c r="N12" s="137">
        <f t="shared" ca="1" si="4"/>
        <v>187.90503795060357</v>
      </c>
      <c r="P12" s="29" t="s">
        <v>177</v>
      </c>
      <c r="Q12" s="137">
        <f t="shared" si="5"/>
        <v>0</v>
      </c>
      <c r="R12" s="137">
        <f t="shared" si="6"/>
        <v>0</v>
      </c>
      <c r="S12" s="137">
        <f t="shared" si="7"/>
        <v>0</v>
      </c>
      <c r="T12" s="137">
        <f t="shared" ca="1" si="8"/>
        <v>0</v>
      </c>
    </row>
    <row r="13" spans="2:20" x14ac:dyDescent="0.2">
      <c r="C13" s="225" t="str">
        <f>'CF (Equity, Debt)'!C11</f>
        <v>Beyond Limits</v>
      </c>
      <c r="D13" s="33" t="s">
        <v>152</v>
      </c>
      <c r="E13" s="30">
        <f>'CF (Equity, Debt)'!D11</f>
        <v>43879</v>
      </c>
      <c r="F13" s="30" t="str">
        <f t="shared" si="0"/>
        <v>Q1 2020</v>
      </c>
      <c r="G13" s="36">
        <f>'CF (Equity, Debt)'!E11</f>
        <v>-20</v>
      </c>
      <c r="H13" s="36">
        <f>'CF (Equity, Debt)'!F11</f>
        <v>0</v>
      </c>
      <c r="J13" s="29" t="s">
        <v>178</v>
      </c>
      <c r="K13" s="137">
        <f t="shared" si="1"/>
        <v>10</v>
      </c>
      <c r="L13" s="137">
        <f t="shared" si="2"/>
        <v>0</v>
      </c>
      <c r="M13" s="137">
        <f t="shared" si="3"/>
        <v>23.623435349941179</v>
      </c>
      <c r="N13" s="137">
        <f t="shared" ca="1" si="4"/>
        <v>33.623435349941175</v>
      </c>
      <c r="P13" s="29" t="s">
        <v>178</v>
      </c>
      <c r="Q13" s="137">
        <f t="shared" si="5"/>
        <v>0</v>
      </c>
      <c r="R13" s="137">
        <f t="shared" si="6"/>
        <v>0</v>
      </c>
      <c r="S13" s="137">
        <f t="shared" si="7"/>
        <v>0</v>
      </c>
      <c r="T13" s="137">
        <f t="shared" ca="1" si="8"/>
        <v>0</v>
      </c>
    </row>
    <row r="14" spans="2:20" x14ac:dyDescent="0.2">
      <c r="C14" s="225" t="str">
        <f>'CF (Equity, Debt)'!C12</f>
        <v>Beyond Limits</v>
      </c>
      <c r="D14" s="33" t="s">
        <v>152</v>
      </c>
      <c r="E14" s="30">
        <f>'CF (Equity, Debt)'!D12</f>
        <v>43921</v>
      </c>
      <c r="F14" s="30" t="str">
        <f t="shared" si="0"/>
        <v>Q1 2020</v>
      </c>
      <c r="G14" s="36">
        <f>'CF (Equity, Debt)'!E12</f>
        <v>-30</v>
      </c>
      <c r="H14" s="36">
        <f>'CF (Equity, Debt)'!F12</f>
        <v>0</v>
      </c>
      <c r="J14" s="29" t="s">
        <v>179</v>
      </c>
      <c r="K14" s="137">
        <f t="shared" si="1"/>
        <v>60</v>
      </c>
      <c r="L14" s="137">
        <f t="shared" si="2"/>
        <v>0</v>
      </c>
      <c r="M14" s="137">
        <f t="shared" si="3"/>
        <v>9.4822930000000021</v>
      </c>
      <c r="N14" s="137">
        <f t="shared" ca="1" si="4"/>
        <v>69.482292999999999</v>
      </c>
      <c r="P14" s="29" t="s">
        <v>179</v>
      </c>
      <c r="Q14" s="137">
        <f t="shared" si="5"/>
        <v>0</v>
      </c>
      <c r="R14" s="137">
        <f t="shared" si="6"/>
        <v>0</v>
      </c>
      <c r="S14" s="137">
        <f t="shared" si="7"/>
        <v>0.58290199999999992</v>
      </c>
      <c r="T14" s="137">
        <f t="shared" ca="1" si="8"/>
        <v>0.58290199999999992</v>
      </c>
    </row>
    <row r="15" spans="2:20" x14ac:dyDescent="0.2">
      <c r="C15" s="225" t="str">
        <f>'CF (Equity, Debt)'!C13</f>
        <v>Beyond Limits</v>
      </c>
      <c r="D15" s="33" t="s">
        <v>152</v>
      </c>
      <c r="E15" s="30">
        <f>'CF (Equity, Debt)'!D13</f>
        <v>43989</v>
      </c>
      <c r="F15" s="30" t="str">
        <f t="shared" si="0"/>
        <v>Q2 2020</v>
      </c>
      <c r="G15" s="36">
        <f>'CF (Equity, Debt)'!E13</f>
        <v>-30</v>
      </c>
      <c r="H15" s="36">
        <f>'CF (Equity, Debt)'!F13</f>
        <v>0</v>
      </c>
      <c r="J15" s="29" t="s">
        <v>180</v>
      </c>
      <c r="K15" s="137">
        <f t="shared" si="1"/>
        <v>0</v>
      </c>
      <c r="L15" s="137">
        <f t="shared" si="2"/>
        <v>0</v>
      </c>
      <c r="M15" s="137">
        <f t="shared" si="3"/>
        <v>1.0845116099999996</v>
      </c>
      <c r="N15" s="137">
        <f t="shared" ca="1" si="4"/>
        <v>1.0845116099999996</v>
      </c>
      <c r="P15" s="29" t="s">
        <v>180</v>
      </c>
      <c r="Q15" s="137">
        <f t="shared" si="5"/>
        <v>0</v>
      </c>
      <c r="R15" s="137">
        <f t="shared" si="6"/>
        <v>0</v>
      </c>
      <c r="S15" s="137">
        <f t="shared" si="7"/>
        <v>7.6348349999999995E-2</v>
      </c>
      <c r="T15" s="137">
        <f t="shared" ca="1" si="8"/>
        <v>7.6348349999999995E-2</v>
      </c>
    </row>
    <row r="16" spans="2:20" x14ac:dyDescent="0.2">
      <c r="C16" s="225" t="str">
        <f>'CF (Equity, Debt)'!C14</f>
        <v>Beyond Limits</v>
      </c>
      <c r="D16" s="33" t="s">
        <v>152</v>
      </c>
      <c r="E16" s="30">
        <f>'CF (Equity, Debt)'!D14</f>
        <v>44103</v>
      </c>
      <c r="F16" s="30" t="str">
        <f t="shared" si="0"/>
        <v>Q3 2020</v>
      </c>
      <c r="G16" s="36">
        <f>'CF (Equity, Debt)'!E14</f>
        <v>-10</v>
      </c>
      <c r="H16" s="36">
        <f>'CF (Equity, Debt)'!F14</f>
        <v>0</v>
      </c>
      <c r="J16" s="29" t="s">
        <v>181</v>
      </c>
      <c r="K16" s="137">
        <f t="shared" si="1"/>
        <v>31.240780424143558</v>
      </c>
      <c r="L16" s="137">
        <f t="shared" si="2"/>
        <v>2.3539819999999998</v>
      </c>
      <c r="M16" s="137">
        <f t="shared" si="3"/>
        <v>6.1810318199999994</v>
      </c>
      <c r="N16" s="137">
        <f t="shared" ca="1" si="4"/>
        <v>39.775794244143562</v>
      </c>
      <c r="P16" s="29" t="s">
        <v>181</v>
      </c>
      <c r="Q16" s="137">
        <f t="shared" si="5"/>
        <v>0</v>
      </c>
      <c r="R16" s="137">
        <f t="shared" si="6"/>
        <v>0</v>
      </c>
      <c r="S16" s="137">
        <f t="shared" si="7"/>
        <v>0</v>
      </c>
      <c r="T16" s="137">
        <f t="shared" ca="1" si="8"/>
        <v>0</v>
      </c>
    </row>
    <row r="17" spans="3:20" x14ac:dyDescent="0.2">
      <c r="C17" s="226" t="str">
        <f>'CF (Equity, Debt)'!C15</f>
        <v>ONT plc</v>
      </c>
      <c r="D17" s="34" t="s">
        <v>152</v>
      </c>
      <c r="E17" s="31">
        <f>'CF (Equity, Debt)'!D15</f>
        <v>43968</v>
      </c>
      <c r="F17" s="31" t="str">
        <f t="shared" si="0"/>
        <v>Q2 2020</v>
      </c>
      <c r="G17" s="37">
        <f>'CF (Equity, Debt)'!E15</f>
        <v>-50</v>
      </c>
      <c r="H17" s="37">
        <f>'CF (Equity, Debt)'!F15</f>
        <v>0</v>
      </c>
      <c r="J17" s="29" t="s">
        <v>182</v>
      </c>
      <c r="K17" s="137">
        <f t="shared" si="1"/>
        <v>0</v>
      </c>
      <c r="L17" s="137">
        <f t="shared" si="2"/>
        <v>0.41176499999999999</v>
      </c>
      <c r="M17" s="137">
        <f t="shared" si="3"/>
        <v>0.98965473139999993</v>
      </c>
      <c r="N17" s="137">
        <f t="shared" ca="1" si="4"/>
        <v>1.4014197313999999</v>
      </c>
      <c r="P17" s="29" t="s">
        <v>182</v>
      </c>
      <c r="Q17" s="137">
        <f t="shared" si="5"/>
        <v>0</v>
      </c>
      <c r="R17" s="137">
        <f t="shared" si="6"/>
        <v>0</v>
      </c>
      <c r="S17" s="137">
        <f t="shared" si="7"/>
        <v>0.44505899999999998</v>
      </c>
      <c r="T17" s="137">
        <f t="shared" ca="1" si="8"/>
        <v>0.44505899999999998</v>
      </c>
    </row>
    <row r="18" spans="3:20" x14ac:dyDescent="0.2">
      <c r="C18" s="226" t="str">
        <f>'CF (Equity, Debt)'!C16</f>
        <v>ONT plc</v>
      </c>
      <c r="D18" s="34" t="s">
        <v>152</v>
      </c>
      <c r="E18" s="31">
        <f>'CF (Equity, Debt)'!D16</f>
        <v>44006</v>
      </c>
      <c r="F18" s="31" t="str">
        <f t="shared" si="0"/>
        <v>Q2 2020</v>
      </c>
      <c r="G18" s="37">
        <f>'CF (Equity, Debt)'!E16</f>
        <v>-27.268350856443721</v>
      </c>
      <c r="H18" s="37">
        <f>'CF (Equity, Debt)'!F16</f>
        <v>0</v>
      </c>
      <c r="J18" s="29" t="s">
        <v>183</v>
      </c>
      <c r="K18" s="137">
        <f t="shared" si="1"/>
        <v>48.023703558477429</v>
      </c>
      <c r="L18" s="137">
        <f t="shared" si="2"/>
        <v>0</v>
      </c>
      <c r="M18" s="137">
        <f t="shared" si="3"/>
        <v>11.90173089</v>
      </c>
      <c r="N18" s="137">
        <f t="shared" ca="1" si="4"/>
        <v>59.925434448477432</v>
      </c>
      <c r="P18" s="29" t="s">
        <v>183</v>
      </c>
      <c r="Q18" s="137">
        <f t="shared" si="5"/>
        <v>0</v>
      </c>
      <c r="R18" s="137">
        <f t="shared" si="6"/>
        <v>0</v>
      </c>
      <c r="S18" s="137">
        <f t="shared" si="7"/>
        <v>0.13969399999999998</v>
      </c>
      <c r="T18" s="137">
        <f t="shared" ca="1" si="8"/>
        <v>0.13969399999999998</v>
      </c>
    </row>
    <row r="19" spans="3:20" x14ac:dyDescent="0.2">
      <c r="C19" s="226" t="str">
        <f>'CF (Equity, Debt)'!C17</f>
        <v>ONT plc</v>
      </c>
      <c r="D19" s="34" t="s">
        <v>152</v>
      </c>
      <c r="E19" s="31">
        <f>'CF (Equity, Debt)'!D17</f>
        <v>43837</v>
      </c>
      <c r="F19" s="31" t="str">
        <f t="shared" si="0"/>
        <v>Q1 2020</v>
      </c>
      <c r="G19" s="37">
        <f>'CF (Equity, Debt)'!E17</f>
        <v>-18.109441299619355</v>
      </c>
      <c r="H19" s="37">
        <f>'CF (Equity, Debt)'!F17</f>
        <v>0</v>
      </c>
      <c r="J19" s="29" t="s">
        <v>184</v>
      </c>
      <c r="K19" s="137">
        <f t="shared" si="1"/>
        <v>693.50095620000002</v>
      </c>
      <c r="L19" s="137">
        <f t="shared" si="2"/>
        <v>0</v>
      </c>
      <c r="M19" s="137">
        <f t="shared" si="3"/>
        <v>3.6664358494</v>
      </c>
      <c r="N19" s="137">
        <f t="shared" ca="1" si="4"/>
        <v>697.16739204940006</v>
      </c>
      <c r="P19" s="29" t="s">
        <v>184</v>
      </c>
      <c r="Q19" s="137">
        <f t="shared" si="5"/>
        <v>0</v>
      </c>
      <c r="R19" s="137">
        <f t="shared" si="6"/>
        <v>0</v>
      </c>
      <c r="S19" s="137">
        <f t="shared" si="7"/>
        <v>0</v>
      </c>
      <c r="T19" s="137">
        <f t="shared" ca="1" si="8"/>
        <v>0</v>
      </c>
    </row>
    <row r="20" spans="3:20" x14ac:dyDescent="0.2">
      <c r="C20" s="226" t="str">
        <f>'CF (Equity, Debt)'!C18</f>
        <v>ONT plc</v>
      </c>
      <c r="D20" s="34" t="s">
        <v>152</v>
      </c>
      <c r="E20" s="31">
        <f>'CF (Equity, Debt)'!D18</f>
        <v>43990</v>
      </c>
      <c r="F20" s="31" t="str">
        <f t="shared" si="0"/>
        <v>Q2 2020</v>
      </c>
      <c r="G20" s="37">
        <f>'CF (Equity, Debt)'!E18</f>
        <v>-34.851687094159864</v>
      </c>
      <c r="H20" s="37">
        <f>'CF (Equity, Debt)'!F18</f>
        <v>0</v>
      </c>
      <c r="J20" s="29" t="s">
        <v>185</v>
      </c>
      <c r="K20" s="137">
        <f t="shared" si="1"/>
        <v>112.5</v>
      </c>
      <c r="L20" s="137">
        <f t="shared" si="2"/>
        <v>0</v>
      </c>
      <c r="M20" s="137">
        <f t="shared" si="3"/>
        <v>19.740976</v>
      </c>
      <c r="N20" s="137">
        <f t="shared" ca="1" si="4"/>
        <v>132.24097599999999</v>
      </c>
      <c r="P20" s="29" t="s">
        <v>185</v>
      </c>
      <c r="Q20" s="137">
        <f t="shared" si="5"/>
        <v>5</v>
      </c>
      <c r="R20" s="137">
        <f t="shared" si="6"/>
        <v>0</v>
      </c>
      <c r="S20" s="137">
        <f t="shared" si="7"/>
        <v>0.22778599999999999</v>
      </c>
      <c r="T20" s="137">
        <f t="shared" ca="1" si="8"/>
        <v>5.227786</v>
      </c>
    </row>
    <row r="21" spans="3:20" x14ac:dyDescent="0.2">
      <c r="C21" s="226" t="str">
        <f>'CF (Equity, Debt)'!C19</f>
        <v>ONT plc</v>
      </c>
      <c r="D21" s="34" t="s">
        <v>152</v>
      </c>
      <c r="E21" s="31">
        <f>'CF (Equity, Debt)'!D19</f>
        <v>44315</v>
      </c>
      <c r="F21" s="31" t="str">
        <f t="shared" si="0"/>
        <v>Q2 2021</v>
      </c>
      <c r="G21" s="37">
        <f>'CF (Equity, Debt)'!E19</f>
        <v>-11.240780424143557</v>
      </c>
      <c r="H21" s="37">
        <f>'CF (Equity, Debt)'!F19</f>
        <v>0</v>
      </c>
      <c r="J21" s="29" t="s">
        <v>186</v>
      </c>
      <c r="K21" s="137">
        <f t="shared" si="1"/>
        <v>600</v>
      </c>
      <c r="L21" s="137">
        <f t="shared" si="2"/>
        <v>0</v>
      </c>
      <c r="M21" s="137">
        <f t="shared" si="3"/>
        <v>3.2202683433999999</v>
      </c>
      <c r="N21" s="137">
        <f t="shared" ca="1" si="4"/>
        <v>603.22026834339999</v>
      </c>
      <c r="P21" s="29" t="s">
        <v>186</v>
      </c>
      <c r="Q21" s="137">
        <f t="shared" si="5"/>
        <v>0</v>
      </c>
      <c r="R21" s="137">
        <f t="shared" si="6"/>
        <v>0</v>
      </c>
      <c r="S21" s="137">
        <f t="shared" si="7"/>
        <v>0</v>
      </c>
      <c r="T21" s="137">
        <f t="shared" ca="1" si="8"/>
        <v>0</v>
      </c>
    </row>
    <row r="22" spans="3:20" x14ac:dyDescent="0.2">
      <c r="C22" s="225" t="str">
        <f>'CF (Equity, Debt)'!C20</f>
        <v>Heygears</v>
      </c>
      <c r="D22" s="33" t="s">
        <v>152</v>
      </c>
      <c r="E22" s="30">
        <f>'CF (Equity, Debt)'!D20</f>
        <v>44166</v>
      </c>
      <c r="F22" s="30" t="str">
        <f t="shared" si="0"/>
        <v>Q4 2020</v>
      </c>
      <c r="G22" s="36">
        <f>'CF (Equity, Debt)'!E20</f>
        <v>-60</v>
      </c>
      <c r="H22" s="36">
        <f>'CF (Equity, Debt)'!F20</f>
        <v>0</v>
      </c>
      <c r="J22" s="29" t="s">
        <v>249</v>
      </c>
      <c r="K22" s="137">
        <f t="shared" ref="K22" si="9">-SUMIFS($G$5:$G$125,$D$5:$D$125,$K$5,$F$5:$F$125,J22)</f>
        <v>219.75</v>
      </c>
      <c r="L22" s="137">
        <f t="shared" ref="L22" si="10">-SUMIFS($G$5:$G$125,$D$5:$D$125,$L$5,$F$5:$F$125,J22)</f>
        <v>0</v>
      </c>
      <c r="M22" s="137">
        <f t="shared" ref="M22" si="11">-SUMIFS($G$5:$G$125,$D$5:$D$125,"Fund",$F$5:$F$125,J22)</f>
        <v>3.3882749999999997</v>
      </c>
      <c r="N22" s="137">
        <f t="shared" ca="1" si="4"/>
        <v>223.13827499999999</v>
      </c>
      <c r="P22" s="29" t="s">
        <v>249</v>
      </c>
      <c r="Q22" s="137">
        <f t="shared" ref="Q22" si="12">SUMIFS($H$5:$H$125,$D$5:$D$125,$Q$5,$F$5:$F$125,J22)</f>
        <v>0</v>
      </c>
      <c r="R22" s="137">
        <f t="shared" ref="R22" si="13">SUMIFS($H$5:$H$125,$D$5:$D$125,$R$5,$F$5:$F$125,J22)</f>
        <v>0.47078465000000003</v>
      </c>
      <c r="S22" s="137">
        <f t="shared" ref="S22" si="14">SUMIFS($H$5:$H$125,$D$5:$D$125,$S$5,$F$5:$F$125,J22)</f>
        <v>0</v>
      </c>
      <c r="T22" s="137">
        <f t="shared" ca="1" si="8"/>
        <v>0.47078465000000003</v>
      </c>
    </row>
    <row r="23" spans="3:20" x14ac:dyDescent="0.2">
      <c r="C23" s="226" t="str">
        <f>'CF (Equity, Debt)'!C21</f>
        <v>Jysan Technologies</v>
      </c>
      <c r="D23" s="34" t="s">
        <v>152</v>
      </c>
      <c r="E23" s="31">
        <f>'CF (Equity, Debt)'!D21</f>
        <v>44363</v>
      </c>
      <c r="F23" s="31" t="str">
        <f t="shared" si="0"/>
        <v>Q2 2021</v>
      </c>
      <c r="G23" s="37">
        <f>'CF (Equity, Debt)'!E21</f>
        <v>-20</v>
      </c>
      <c r="H23" s="37">
        <f>'CF (Equity, Debt)'!F21</f>
        <v>0</v>
      </c>
      <c r="J23" s="29" t="s">
        <v>319</v>
      </c>
      <c r="K23" s="137">
        <f t="shared" ref="K23" si="15">-SUMIFS($G$5:$G$125,$D$5:$D$125,$K$5,$F$5:$F$125,J23)</f>
        <v>12.03125</v>
      </c>
      <c r="L23" s="137">
        <f t="shared" ref="L23" si="16">-SUMIFS($G$5:$G$125,$D$5:$D$125,$L$5,$F$5:$F$125,J23)</f>
        <v>0</v>
      </c>
      <c r="M23" s="137">
        <f t="shared" ref="M23" si="17">-SUMIFS($G$5:$G$125,$D$5:$D$125,"Fund",$F$5:$F$125,J23)</f>
        <v>-7.9223880896699992</v>
      </c>
      <c r="N23" s="137">
        <f t="shared" ca="1" si="4"/>
        <v>4.1088619103300008</v>
      </c>
      <c r="P23" s="29" t="s">
        <v>319</v>
      </c>
      <c r="Q23" s="137">
        <f t="shared" ref="Q23" si="18">SUMIFS($H$5:$H$125,$D$5:$D$125,$Q$5,$F$5:$F$125,J23)</f>
        <v>0</v>
      </c>
      <c r="R23" s="137">
        <f t="shared" ref="R23" si="19">SUMIFS($H$5:$H$125,$D$5:$D$125,$R$5,$F$5:$F$125,J23)</f>
        <v>0</v>
      </c>
      <c r="S23" s="137">
        <f t="shared" ref="S23" si="20">SUMIFS($H$5:$H$125,$D$5:$D$125,$S$5,$F$5:$F$125,J23)</f>
        <v>2.9557743514081998</v>
      </c>
      <c r="T23" s="137">
        <f t="shared" ca="1" si="8"/>
        <v>2.9557743514081998</v>
      </c>
    </row>
    <row r="24" spans="3:20" x14ac:dyDescent="0.2">
      <c r="C24" s="225" t="str">
        <f>'CF (Equity, Debt)'!C22</f>
        <v>Cerebras Systems Inc</v>
      </c>
      <c r="D24" s="33" t="s">
        <v>152</v>
      </c>
      <c r="E24" s="30">
        <f>'CF (Equity, Debt)'!D22</f>
        <v>44488</v>
      </c>
      <c r="F24" s="30" t="str">
        <f t="shared" si="0"/>
        <v>Q4 2021</v>
      </c>
      <c r="G24" s="36">
        <f>'CF (Equity, Debt)'!E22</f>
        <v>-39.999983359999995</v>
      </c>
      <c r="H24" s="36">
        <f>'CF (Equity, Debt)'!F22</f>
        <v>0</v>
      </c>
      <c r="J24" s="29" t="s">
        <v>357</v>
      </c>
      <c r="K24" s="137">
        <f t="shared" ref="K24" si="21">-SUMIFS($G$5:$G$125,$D$5:$D$125,$K$5,$F$5:$F$125,J24)</f>
        <v>15.005873939999999</v>
      </c>
      <c r="L24" s="137">
        <f t="shared" ref="L24" si="22">-SUMIFS($G$5:$G$125,$D$5:$D$125,$L$5,$F$5:$F$125,J24)</f>
        <v>0</v>
      </c>
      <c r="M24" s="137">
        <f t="shared" ref="M24" si="23">-SUMIFS($G$5:$G$125,$D$5:$D$125,"Fund",$F$5:$F$125,J24)</f>
        <v>-1.9125570000000001</v>
      </c>
      <c r="N24" s="137">
        <f t="shared" ca="1" si="4"/>
        <v>13.093316939999999</v>
      </c>
      <c r="P24" s="29" t="s">
        <v>357</v>
      </c>
      <c r="Q24" s="137">
        <f t="shared" ref="Q24" si="24">SUMIFS($H$5:$H$125,$D$5:$D$125,$Q$5,$F$5:$F$125,J24)</f>
        <v>0</v>
      </c>
      <c r="R24" s="137">
        <f t="shared" ref="R24" si="25">SUMIFS($H$5:$H$125,$D$5:$D$125,$R$5,$F$5:$F$125,J24)</f>
        <v>0</v>
      </c>
      <c r="S24" s="137">
        <f t="shared" ref="S24" si="26">SUMIFS($H$5:$H$125,$D$5:$D$125,$S$5,$F$5:$F$125,J24)</f>
        <v>0</v>
      </c>
      <c r="T24" s="137">
        <f t="shared" ca="1" si="8"/>
        <v>0</v>
      </c>
    </row>
    <row r="25" spans="3:20" x14ac:dyDescent="0.2">
      <c r="C25" s="226" t="str">
        <f>'CF (Equity, Debt)'!C23</f>
        <v>Endless Studios LLC</v>
      </c>
      <c r="D25" s="34" t="s">
        <v>152</v>
      </c>
      <c r="E25" s="31">
        <f>'CF (Equity, Debt)'!D23</f>
        <v>44494</v>
      </c>
      <c r="F25" s="31" t="str">
        <f t="shared" si="0"/>
        <v>Q4 2021</v>
      </c>
      <c r="G25" s="37">
        <f>'CF (Equity, Debt)'!E23</f>
        <v>-3</v>
      </c>
      <c r="H25" s="37">
        <f>'CF (Equity, Debt)'!F23</f>
        <v>0</v>
      </c>
      <c r="J25" s="29" t="s">
        <v>419</v>
      </c>
      <c r="K25" s="137">
        <f t="shared" ref="K25" si="27">-SUMIFS($G$5:$G$125,$D$5:$D$125,$K$5,$F$5:$F$125,J25)</f>
        <v>13.750999999999999</v>
      </c>
      <c r="L25" s="137">
        <f t="shared" ref="L25" si="28">-SUMIFS($G$5:$G$125,$D$5:$D$125,$L$5,$F$5:$F$125,J25)</f>
        <v>0</v>
      </c>
      <c r="M25" s="137">
        <f t="shared" ref="M25" si="29">-SUMIFS($G$5:$G$125,$D$5:$D$125,"Fund",$F$5:$F$125,J25)</f>
        <v>1.7991220000000001</v>
      </c>
      <c r="N25" s="137">
        <f t="shared" ca="1" si="4"/>
        <v>15.550122</v>
      </c>
      <c r="P25" s="29" t="s">
        <v>357</v>
      </c>
      <c r="Q25" s="137">
        <f t="shared" ref="Q25" si="30">SUMIFS($H$5:$H$125,$D$5:$D$125,$Q$5,$F$5:$F$125,J25)</f>
        <v>32.320776099999996</v>
      </c>
      <c r="R25" s="137">
        <f t="shared" ref="R25" si="31">SUMIFS($H$5:$H$125,$D$5:$D$125,$R$5,$F$5:$F$125,J25)</f>
        <v>0</v>
      </c>
      <c r="S25" s="137">
        <f t="shared" ref="S25" si="32">SUMIFS($H$5:$H$125,$D$5:$D$125,$S$5,$F$5:$F$125,J25)</f>
        <v>0</v>
      </c>
      <c r="T25" s="137">
        <f t="shared" ca="1" si="8"/>
        <v>32.320776099999996</v>
      </c>
    </row>
    <row r="26" spans="3:20" x14ac:dyDescent="0.2">
      <c r="C26" s="225" t="str">
        <f>'CF (Equity, Debt)'!C24</f>
        <v>Instadeep Limited</v>
      </c>
      <c r="D26" s="33" t="s">
        <v>152</v>
      </c>
      <c r="E26" s="30">
        <f>'CF (Equity, Debt)'!D24</f>
        <v>44550</v>
      </c>
      <c r="F26" s="30" t="str">
        <f t="shared" si="0"/>
        <v>Q4 2021</v>
      </c>
      <c r="G26" s="36">
        <f>'CF (Equity, Debt)'!E24</f>
        <v>-5.0237201984774336</v>
      </c>
      <c r="H26" s="36">
        <f>'CF (Equity, Debt)'!F24</f>
        <v>0</v>
      </c>
      <c r="J26" s="29" t="s">
        <v>446</v>
      </c>
      <c r="K26" s="137">
        <f t="shared" ref="K26" si="33">-SUMIFS($G$5:$G$125,$D$5:$D$125,$K$5,$F$5:$F$125,J26)</f>
        <v>0</v>
      </c>
      <c r="L26" s="137">
        <f t="shared" ref="L26" si="34">-SUMIFS($G$5:$G$125,$D$5:$D$125,$L$5,$F$5:$F$125,J26)</f>
        <v>0</v>
      </c>
      <c r="M26" s="137">
        <f t="shared" ref="M26" si="35">-SUMIFS($G$5:$G$125,$D$5:$D$125,"Fund",$F$5:$F$125,J26)</f>
        <v>2.415861</v>
      </c>
      <c r="N26" s="137">
        <f t="shared" ca="1" si="4"/>
        <v>2.415861</v>
      </c>
      <c r="P26" s="29" t="s">
        <v>446</v>
      </c>
      <c r="Q26" s="137">
        <f t="shared" ref="Q26" si="36">SUMIFS($H$5:$H$125,$D$5:$D$125,$Q$5,$F$5:$F$125,J26)</f>
        <v>1205.9214164299999</v>
      </c>
      <c r="R26" s="137">
        <f t="shared" ref="R26" si="37">SUMIFS($H$5:$H$125,$D$5:$D$125,$R$5,$F$5:$F$125,J26)</f>
        <v>0</v>
      </c>
      <c r="S26" s="137">
        <f t="shared" ref="S26" si="38">SUMIFS($H$5:$H$125,$D$5:$D$125,$S$5,$F$5:$F$125,J26)</f>
        <v>0</v>
      </c>
      <c r="T26" s="137">
        <f t="shared" ca="1" si="8"/>
        <v>1205.9214164299999</v>
      </c>
    </row>
    <row r="27" spans="3:20" x14ac:dyDescent="0.2">
      <c r="C27" s="226" t="str">
        <f>'CF (Equity, Debt)'!C25</f>
        <v>X-fusion</v>
      </c>
      <c r="D27" s="34" t="s">
        <v>152</v>
      </c>
      <c r="E27" s="31">
        <f>'CF (Equity, Debt)'!D25</f>
        <v>44574</v>
      </c>
      <c r="F27" s="31" t="str">
        <f t="shared" si="0"/>
        <v>Q1 2022</v>
      </c>
      <c r="G27" s="37">
        <f>'CF (Equity, Debt)'!E25</f>
        <v>-493.50095619999996</v>
      </c>
      <c r="H27" s="37">
        <f>'CF (Equity, Debt)'!F25</f>
        <v>0</v>
      </c>
      <c r="J27" s="144" t="s">
        <v>56</v>
      </c>
      <c r="K27" s="145">
        <f>SUM(K7:K26)</f>
        <v>2111.5330433728441</v>
      </c>
      <c r="L27" s="145">
        <f t="shared" ref="L27:N27" si="39">SUM(L7:L26)</f>
        <v>10.765747000000001</v>
      </c>
      <c r="M27" s="145">
        <f t="shared" si="39"/>
        <v>135.95340050447118</v>
      </c>
      <c r="N27" s="145">
        <f t="shared" ca="1" si="39"/>
        <v>2258.2521908773151</v>
      </c>
      <c r="P27" s="144" t="s">
        <v>56</v>
      </c>
      <c r="Q27" s="145">
        <f>SUM(Q7:Q26)</f>
        <v>1243.24219253</v>
      </c>
      <c r="R27" s="145">
        <f t="shared" ref="R27:T27" si="40">SUM(R7:R26)</f>
        <v>0.47078465000000003</v>
      </c>
      <c r="S27" s="145">
        <f t="shared" si="40"/>
        <v>4.4275637014082001</v>
      </c>
      <c r="T27" s="145">
        <f t="shared" ca="1" si="40"/>
        <v>1248.140540881408</v>
      </c>
    </row>
    <row r="28" spans="3:20" x14ac:dyDescent="0.2">
      <c r="C28" s="225" t="str">
        <f>'CF (Equity, Debt)'!C26</f>
        <v>DriveNets</v>
      </c>
      <c r="D28" s="33" t="s">
        <v>152</v>
      </c>
      <c r="E28" s="30">
        <f>'CF (Equity, Debt)'!D26</f>
        <v>44643</v>
      </c>
      <c r="F28" s="30" t="str">
        <f t="shared" si="0"/>
        <v>Q1 2022</v>
      </c>
      <c r="G28" s="36">
        <f>'CF (Equity, Debt)'!E26</f>
        <v>-200</v>
      </c>
      <c r="H28" s="36">
        <f>'CF (Equity, Debt)'!F26</f>
        <v>0</v>
      </c>
      <c r="J28" s="32"/>
      <c r="K28" s="32" t="b">
        <f ca="1">K27='9. All deals (a)'!K33</f>
        <v>0</v>
      </c>
      <c r="L28" s="32" t="b">
        <f>L27='9. All deals (a)'!K39</f>
        <v>1</v>
      </c>
      <c r="M28" s="29" t="b">
        <f ca="1">M27='9. All deals (a)'!K47</f>
        <v>0</v>
      </c>
      <c r="N28" s="29" t="b">
        <f ca="1">ROUND(N27,2)=ROUND('9. All deals (a)'!K49,2)</f>
        <v>0</v>
      </c>
      <c r="Q28" s="32" t="b">
        <f ca="1">Q27='9. All deals (a)'!M33</f>
        <v>1</v>
      </c>
      <c r="R28" s="32" t="b">
        <f>R27='9. All deals (a)'!M39</f>
        <v>1</v>
      </c>
      <c r="S28" s="32" t="b">
        <f>S27='9. All deals (a)'!M47</f>
        <v>0</v>
      </c>
      <c r="T28" s="29" t="b">
        <f ca="1">T27='9. All deals (a)'!M49</f>
        <v>0</v>
      </c>
    </row>
    <row r="29" spans="3:20" x14ac:dyDescent="0.2">
      <c r="C29" s="225" t="str">
        <f>'CF (Equity, Debt)'!C27</f>
        <v>DriveNets</v>
      </c>
      <c r="D29" s="33" t="s">
        <v>152</v>
      </c>
      <c r="E29" s="30">
        <f>'CF (Equity, Debt)'!D27</f>
        <v>44680</v>
      </c>
      <c r="F29" s="30" t="str">
        <f t="shared" si="0"/>
        <v>Q2 2022</v>
      </c>
      <c r="G29" s="36">
        <f>'CF (Equity, Debt)'!E27</f>
        <v>-100</v>
      </c>
      <c r="H29" s="36">
        <f>'CF (Equity, Debt)'!F27</f>
        <v>0</v>
      </c>
    </row>
    <row r="30" spans="3:20" x14ac:dyDescent="0.2">
      <c r="C30" s="226" t="str">
        <f>'CF (Equity, Debt)'!C28</f>
        <v xml:space="preserve">Esyasoft Holding </v>
      </c>
      <c r="D30" s="34" t="s">
        <v>152</v>
      </c>
      <c r="E30" s="31">
        <f>'CF (Equity, Debt)'!D28</f>
        <v>44691</v>
      </c>
      <c r="F30" s="31" t="str">
        <f t="shared" si="0"/>
        <v>Q2 2022</v>
      </c>
      <c r="G30" s="37">
        <f>'CF (Equity, Debt)'!E28</f>
        <v>0</v>
      </c>
      <c r="H30" s="37">
        <f>'CF (Equity, Debt)'!F28</f>
        <v>5</v>
      </c>
      <c r="K30" s="312"/>
    </row>
    <row r="31" spans="3:20" x14ac:dyDescent="0.2">
      <c r="C31" s="226"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5" t="str">
        <f>'CF (Equity, Debt)'!C30</f>
        <v>Honor Device Co Ltd</v>
      </c>
      <c r="D32" s="33" t="s">
        <v>152</v>
      </c>
      <c r="E32" s="30">
        <f>'CF (Equity, Debt)'!D30</f>
        <v>44769</v>
      </c>
      <c r="F32" s="30" t="str">
        <f t="shared" si="0"/>
        <v>Q3 2022</v>
      </c>
      <c r="G32" s="36">
        <f>'CF (Equity, Debt)'!E30</f>
        <v>-600</v>
      </c>
      <c r="H32" s="36">
        <f>'CF (Equity, Debt)'!F30</f>
        <v>0</v>
      </c>
    </row>
    <row r="33" spans="3:8" x14ac:dyDescent="0.2">
      <c r="C33" s="225"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6"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5"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5"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5"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5"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5" t="str">
        <f>'CF (Equity, Debt)'!C37</f>
        <v>WLD Tokens</v>
      </c>
      <c r="D39" s="33" t="s">
        <v>152</v>
      </c>
      <c r="E39" s="30">
        <f>'CF (Equity, Debt)'!D37</f>
        <v>45114</v>
      </c>
      <c r="F39" s="30" t="str">
        <f t="shared" si="45"/>
        <v>Q3 2023</v>
      </c>
      <c r="G39" s="36">
        <f>'CF (Equity, Debt)'!E37</f>
        <v>-1E-3</v>
      </c>
      <c r="H39" s="36">
        <f>'CF (Equity, Debt)'!F37</f>
        <v>0</v>
      </c>
    </row>
    <row r="40" spans="3:8" x14ac:dyDescent="0.2">
      <c r="C40" s="225"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5"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5"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5" t="str">
        <f>'CF (Equity, Debt)'!C41</f>
        <v>Endless Studios LLC</v>
      </c>
      <c r="D43" s="33" t="s">
        <v>152</v>
      </c>
      <c r="E43" s="30">
        <f>'CF (Equity, Debt)'!D41</f>
        <v>45167</v>
      </c>
      <c r="F43" s="30" t="str">
        <f t="shared" si="46"/>
        <v>Q3 2023</v>
      </c>
      <c r="G43" s="36">
        <f>'CF (Equity, Debt)'!E41</f>
        <v>-5</v>
      </c>
      <c r="H43" s="36">
        <f>'CF (Equity, Debt)'!F41</f>
        <v>0</v>
      </c>
    </row>
    <row r="44" spans="3:8" x14ac:dyDescent="0.2">
      <c r="C44" s="225" t="str">
        <f>'CF (Equity, Debt)'!C42</f>
        <v>E-line Ventures LLC</v>
      </c>
      <c r="D44" s="33" t="s">
        <v>152</v>
      </c>
      <c r="E44" s="30">
        <f>'CF (Equity, Debt)'!D42</f>
        <v>45167</v>
      </c>
      <c r="F44" s="30" t="str">
        <f t="shared" si="46"/>
        <v>Q3 2023</v>
      </c>
      <c r="G44" s="36">
        <f>'CF (Equity, Debt)'!E42</f>
        <v>-6</v>
      </c>
      <c r="H44" s="36">
        <f>'CF (Equity, Debt)'!F42</f>
        <v>0</v>
      </c>
    </row>
    <row r="45" spans="3:8" x14ac:dyDescent="0.2">
      <c r="C45" s="225"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5" t="str">
        <f>'CF (Equity, Debt)'!C44</f>
        <v>Honor Device Co Ltd</v>
      </c>
      <c r="D46" s="33" t="s">
        <v>152</v>
      </c>
      <c r="E46" s="30">
        <f>'CF (Equity, Debt)'!D44</f>
        <v>45224</v>
      </c>
      <c r="F46" s="30" t="str">
        <f t="shared" si="47"/>
        <v>Q4 2023</v>
      </c>
      <c r="G46" s="36">
        <f>'CF (Equity, Debt)'!E44</f>
        <v>0</v>
      </c>
      <c r="H46" s="36">
        <f>'CF (Equity, Debt)'!F44</f>
        <v>800</v>
      </c>
    </row>
    <row r="47" spans="3:8" x14ac:dyDescent="0.2">
      <c r="C47" s="225" t="str">
        <f>'CF (Equity, Debt)'!C45</f>
        <v>X-fusion</v>
      </c>
      <c r="D47" s="33" t="s">
        <v>152</v>
      </c>
      <c r="E47" s="30">
        <f>'CF (Equity, Debt)'!D45</f>
        <v>45224</v>
      </c>
      <c r="F47" s="30" t="str">
        <f t="shared" si="47"/>
        <v>Q4 2023</v>
      </c>
      <c r="G47" s="36">
        <f>'CF (Equity, Debt)'!E45</f>
        <v>0</v>
      </c>
      <c r="H47" s="36">
        <f>'CF (Equity, Debt)'!F45</f>
        <v>403</v>
      </c>
    </row>
    <row r="48" spans="3:8" x14ac:dyDescent="0.2">
      <c r="C48" s="225"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5"/>
      <c r="D49" s="33"/>
      <c r="E49" s="30"/>
      <c r="F49" s="30"/>
      <c r="G49" s="36"/>
      <c r="H49" s="36"/>
    </row>
    <row r="50" spans="2:8" x14ac:dyDescent="0.2">
      <c r="B50" s="271" t="s">
        <v>43</v>
      </c>
      <c r="C50" s="267"/>
      <c r="D50" s="268"/>
      <c r="E50" s="269"/>
      <c r="F50" s="269"/>
      <c r="G50" s="270"/>
      <c r="H50" s="270"/>
    </row>
    <row r="51" spans="2:8" x14ac:dyDescent="0.2">
      <c r="C51" s="227" t="str">
        <f>'CF (Equity, Debt)'!C55</f>
        <v xml:space="preserve">Glass Earth Holdings LLC </v>
      </c>
      <c r="D51" s="135" t="s">
        <v>43</v>
      </c>
      <c r="E51" s="208">
        <f>'CF (Equity, Debt)'!D55</f>
        <v>43635</v>
      </c>
      <c r="F51" s="136" t="str">
        <f t="shared" ref="F51:F67" si="48">"Q"&amp;ROUNDUP(MONTH(E51)/3,0)&amp;" "&amp;YEAR(E51)</f>
        <v>Q2 2019</v>
      </c>
      <c r="G51" s="137">
        <f>'CF (Equity, Debt)'!E55</f>
        <v>-8</v>
      </c>
      <c r="H51" s="137">
        <f>'CF (Equity, Debt)'!F55</f>
        <v>0</v>
      </c>
    </row>
    <row r="52" spans="2:8" x14ac:dyDescent="0.2">
      <c r="C52" s="227" t="str">
        <f>'CF (Equity, Debt)'!C56</f>
        <v>Mena Mobile Inc (Debt)</v>
      </c>
      <c r="D52" s="135" t="s">
        <v>43</v>
      </c>
      <c r="E52" s="208">
        <f>'CF (Equity, Debt)'!D56</f>
        <v>44293</v>
      </c>
      <c r="F52" s="136" t="str">
        <f t="shared" si="48"/>
        <v>Q2 2021</v>
      </c>
      <c r="G52" s="137">
        <f>'CF (Equity, Debt)'!E56</f>
        <v>-2.3539819999999998</v>
      </c>
      <c r="H52" s="137">
        <f>'CF (Equity, Debt)'!F56</f>
        <v>0</v>
      </c>
    </row>
    <row r="53" spans="2:8" x14ac:dyDescent="0.2">
      <c r="C53" s="227" t="str">
        <f>'CF (Equity, Debt)'!C57</f>
        <v>Esyasoft Holding (Debt)</v>
      </c>
      <c r="D53" s="135" t="s">
        <v>43</v>
      </c>
      <c r="E53" s="208">
        <f>'CF (Equity, Debt)'!D57</f>
        <v>44384</v>
      </c>
      <c r="F53" s="136" t="str">
        <f t="shared" si="48"/>
        <v>Q3 2021</v>
      </c>
      <c r="G53" s="137">
        <f>'CF (Equity, Debt)'!E57</f>
        <v>-0.41176499999999999</v>
      </c>
      <c r="H53" s="137">
        <f>'CF (Equity, Debt)'!F57</f>
        <v>0</v>
      </c>
    </row>
    <row r="54" spans="2:8" x14ac:dyDescent="0.2">
      <c r="C54" s="227" t="str">
        <f>'CF (Equity, Debt)'!C58</f>
        <v>Esyasoft Holding (Debt)</v>
      </c>
      <c r="D54" s="135" t="s">
        <v>43</v>
      </c>
      <c r="E54" s="208">
        <f>'CF (Equity, Debt)'!D58</f>
        <v>44902</v>
      </c>
      <c r="F54" s="136" t="str">
        <f t="shared" ref="F54" si="49">"Q"&amp;ROUNDUP(MONTH(E54)/3,0)&amp;" "&amp;YEAR(E54)</f>
        <v>Q4 2022</v>
      </c>
      <c r="G54" s="137">
        <f>'CF (Equity, Debt)'!E58</f>
        <v>0</v>
      </c>
      <c r="H54" s="137">
        <f>'CF (Equity, Debt)'!F58</f>
        <v>0.47078465000000003</v>
      </c>
    </row>
    <row r="55" spans="2:8" x14ac:dyDescent="0.2">
      <c r="B55" s="271" t="s">
        <v>272</v>
      </c>
      <c r="C55" s="267"/>
      <c r="D55" s="268"/>
      <c r="E55" s="269"/>
      <c r="F55" s="269"/>
      <c r="G55" s="270"/>
      <c r="H55" s="270"/>
    </row>
    <row r="56" spans="2:8" x14ac:dyDescent="0.2">
      <c r="C56" s="227" t="str">
        <f>'CF (Funds)'!C4</f>
        <v>Sinovation Disrupt Fund, L.P.</v>
      </c>
      <c r="D56" s="135" t="s">
        <v>52</v>
      </c>
      <c r="E56" s="208">
        <f>'CF (Funds)'!D4</f>
        <v>44153</v>
      </c>
      <c r="F56" s="135" t="str">
        <f t="shared" si="48"/>
        <v>Q4 2020</v>
      </c>
      <c r="G56" s="137">
        <f>'CF (Funds)'!E4</f>
        <v>-10.5</v>
      </c>
      <c r="H56" s="137">
        <f>'CF (Funds)'!F4</f>
        <v>0</v>
      </c>
    </row>
    <row r="57" spans="2:8" x14ac:dyDescent="0.2">
      <c r="C57" s="227" t="str">
        <f>'CF (Funds)'!C5</f>
        <v>Sinovation Disrupt Fund, L.P.</v>
      </c>
      <c r="D57" s="135" t="s">
        <v>52</v>
      </c>
      <c r="E57" s="208">
        <f>'CF (Funds)'!D5</f>
        <v>44238</v>
      </c>
      <c r="F57" s="136" t="str">
        <f t="shared" si="48"/>
        <v>Q1 2021</v>
      </c>
      <c r="G57" s="137">
        <f>'CF (Funds)'!E5</f>
        <v>4.2140269999999997</v>
      </c>
      <c r="H57" s="137">
        <f>'CF (Funds)'!F5</f>
        <v>0</v>
      </c>
    </row>
    <row r="58" spans="2:8" x14ac:dyDescent="0.2">
      <c r="C58" s="227" t="str">
        <f>'CF (Funds)'!C6</f>
        <v>Sinovation Disrupt Fund, L.P.</v>
      </c>
      <c r="D58" s="135" t="s">
        <v>52</v>
      </c>
      <c r="E58" s="208">
        <f>'CF (Funds)'!D6</f>
        <v>44238</v>
      </c>
      <c r="F58" s="136" t="str">
        <f t="shared" si="48"/>
        <v>Q1 2021</v>
      </c>
      <c r="G58" s="137">
        <f>'CF (Funds)'!E6</f>
        <v>0</v>
      </c>
      <c r="H58" s="137">
        <f>'CF (Funds)'!F6</f>
        <v>5.0448349999999996E-2</v>
      </c>
    </row>
    <row r="59" spans="2:8" x14ac:dyDescent="0.2">
      <c r="C59" s="227" t="str">
        <f>'CF (Funds)'!C7</f>
        <v>Sinovation Disrupt Fund, L.P.</v>
      </c>
      <c r="D59" s="135" t="s">
        <v>52</v>
      </c>
      <c r="E59" s="208">
        <f>'CF (Funds)'!D7</f>
        <v>44285</v>
      </c>
      <c r="F59" s="136" t="str">
        <f t="shared" si="48"/>
        <v>Q1 2021</v>
      </c>
      <c r="G59" s="137">
        <f>'CF (Funds)'!E7</f>
        <v>-6.4337459999999993</v>
      </c>
      <c r="H59" s="137">
        <f>'CF (Funds)'!F7</f>
        <v>0</v>
      </c>
    </row>
    <row r="60" spans="2:8" x14ac:dyDescent="0.2">
      <c r="C60" s="227" t="str">
        <f>'CF (Funds)'!C8</f>
        <v>Sinovation Disrupt Fund, L.P.</v>
      </c>
      <c r="D60" s="135" t="s">
        <v>52</v>
      </c>
      <c r="E60" s="208">
        <f>'CF (Funds)'!D8</f>
        <v>44269</v>
      </c>
      <c r="F60" s="136" t="str">
        <f t="shared" si="48"/>
        <v>Q1 2021</v>
      </c>
      <c r="G60" s="137">
        <f>'CF (Funds)'!E8</f>
        <v>1.1352073899999999</v>
      </c>
      <c r="H60" s="137">
        <f>'CF (Funds)'!F8</f>
        <v>0</v>
      </c>
    </row>
    <row r="61" spans="2:8" x14ac:dyDescent="0.2">
      <c r="C61" s="227" t="str">
        <f>'CF (Funds)'!C9</f>
        <v>Sinovation Disrupt Fund, L.P.</v>
      </c>
      <c r="D61" s="135" t="s">
        <v>52</v>
      </c>
      <c r="E61" s="208">
        <f>'CF (Funds)'!D9</f>
        <v>44269</v>
      </c>
      <c r="F61" s="136" t="str">
        <f t="shared" si="48"/>
        <v>Q1 2021</v>
      </c>
      <c r="G61" s="137">
        <f>'CF (Funds)'!E9</f>
        <v>0</v>
      </c>
      <c r="H61" s="137">
        <f>'CF (Funds)'!F9</f>
        <v>2.5899999999999999E-2</v>
      </c>
    </row>
    <row r="62" spans="2:8" x14ac:dyDescent="0.2">
      <c r="C62" s="227" t="str">
        <f>'CF (Funds)'!C10</f>
        <v>Sinovation Disrupt Fund, L.P.</v>
      </c>
      <c r="D62" s="135" t="s">
        <v>52</v>
      </c>
      <c r="E62" s="208">
        <f>'CF (Funds)'!D10</f>
        <v>44483</v>
      </c>
      <c r="F62" s="136" t="str">
        <f t="shared" si="48"/>
        <v>Q4 2021</v>
      </c>
      <c r="G62" s="137">
        <f>'CF (Funds)'!E10</f>
        <v>-7.5671379999999999</v>
      </c>
      <c r="H62" s="137">
        <f>'CF (Funds)'!F10</f>
        <v>0</v>
      </c>
    </row>
    <row r="63" spans="2:8" x14ac:dyDescent="0.2">
      <c r="C63" s="227" t="str">
        <f>'CF (Funds)'!C11</f>
        <v>Sinovation Disrupt Fund, L.P.</v>
      </c>
      <c r="D63" s="135" t="s">
        <v>52</v>
      </c>
      <c r="E63" s="208">
        <f>'CF (Funds)'!D11</f>
        <v>44554</v>
      </c>
      <c r="F63" s="136" t="str">
        <f t="shared" si="48"/>
        <v>Q4 2021</v>
      </c>
      <c r="G63" s="137">
        <f>'CF (Funds)'!E11</f>
        <v>-7.3850159999999994</v>
      </c>
      <c r="H63" s="137">
        <f>'CF (Funds)'!F11</f>
        <v>0</v>
      </c>
    </row>
    <row r="64" spans="2:8" x14ac:dyDescent="0.2">
      <c r="C64" s="227" t="str">
        <f>'CF (Funds)'!C12</f>
        <v>Sinovation Disrupt Fund, L.P.</v>
      </c>
      <c r="D64" s="135" t="s">
        <v>52</v>
      </c>
      <c r="E64" s="208">
        <f>'CF (Funds)'!D12</f>
        <v>44554</v>
      </c>
      <c r="F64" s="136" t="str">
        <f t="shared" si="48"/>
        <v>Q4 2021</v>
      </c>
      <c r="G64" s="137">
        <f>'CF (Funds)'!E12</f>
        <v>4.0733456099999996</v>
      </c>
      <c r="H64" s="137">
        <f>'CF (Funds)'!F12</f>
        <v>0</v>
      </c>
    </row>
    <row r="65" spans="3:8" x14ac:dyDescent="0.2">
      <c r="C65" s="227" t="str">
        <f>'CF (Funds)'!C13</f>
        <v>Sinovation Disrupt Fund, L.P.</v>
      </c>
      <c r="D65" s="135" t="s">
        <v>52</v>
      </c>
      <c r="E65" s="208">
        <f>'CF (Funds)'!D13</f>
        <v>44554</v>
      </c>
      <c r="F65" s="136" t="str">
        <f t="shared" si="48"/>
        <v>Q4 2021</v>
      </c>
      <c r="G65" s="137">
        <f>'CF (Funds)'!E13</f>
        <v>0</v>
      </c>
      <c r="H65" s="137">
        <f>'CF (Funds)'!F13</f>
        <v>0.13969399999999998</v>
      </c>
    </row>
    <row r="66" spans="3:8" x14ac:dyDescent="0.2">
      <c r="C66" s="227" t="str">
        <f>'CF (Funds)'!C14</f>
        <v>Sinovation Disrupt Fund, L.P.</v>
      </c>
      <c r="D66" s="135" t="s">
        <v>52</v>
      </c>
      <c r="E66" s="208">
        <f>'CF (Funds)'!D14</f>
        <v>44703</v>
      </c>
      <c r="F66" s="136" t="str">
        <f t="shared" si="48"/>
        <v>Q2 2022</v>
      </c>
      <c r="G66" s="137">
        <f>'CF (Funds)'!E14</f>
        <v>5.6730739999999997</v>
      </c>
      <c r="H66" s="137">
        <f>'CF (Funds)'!F14</f>
        <v>0</v>
      </c>
    </row>
    <row r="67" spans="3:8" x14ac:dyDescent="0.2">
      <c r="C67" s="227" t="str">
        <f>'CF (Funds)'!C15</f>
        <v>Sinovation Disrupt Fund, L.P.</v>
      </c>
      <c r="D67" s="135" t="s">
        <v>52</v>
      </c>
      <c r="E67" s="208">
        <f>'CF (Funds)'!D15</f>
        <v>44703</v>
      </c>
      <c r="F67" s="136" t="str">
        <f t="shared" si="48"/>
        <v>Q2 2022</v>
      </c>
      <c r="G67" s="137">
        <f>'CF (Funds)'!E15</f>
        <v>0</v>
      </c>
      <c r="H67" s="137">
        <f>'CF (Funds)'!F15</f>
        <v>0.22778599999999999</v>
      </c>
    </row>
    <row r="68" spans="3:8" x14ac:dyDescent="0.2">
      <c r="C68" s="227" t="str">
        <f>'CF (Funds)'!C16</f>
        <v>Sinovation Disrupt Fund, L.P.</v>
      </c>
      <c r="D68" s="135" t="s">
        <v>52</v>
      </c>
      <c r="E68" s="208">
        <f>'CF (Funds)'!D16</f>
        <v>44776</v>
      </c>
      <c r="F68" s="136" t="str">
        <f t="shared" ref="F68" si="50">"Q"&amp;ROUNDUP(MONTH(E68)/3,0)&amp;" "&amp;YEAR(E68)</f>
        <v>Q3 2022</v>
      </c>
      <c r="G68" s="137">
        <f>'CF (Funds)'!E16</f>
        <v>-3.235493</v>
      </c>
      <c r="H68" s="137">
        <f>'CF (Funds)'!F16</f>
        <v>0</v>
      </c>
    </row>
    <row r="69" spans="3:8" x14ac:dyDescent="0.2">
      <c r="C69" s="227" t="str">
        <f>'CF (Funds)'!C17</f>
        <v>Sinovation Disrupt Fund, L.P.</v>
      </c>
      <c r="D69" s="135" t="s">
        <v>52</v>
      </c>
      <c r="E69" s="208">
        <f>'CF (Funds)'!D17</f>
        <v>44960</v>
      </c>
      <c r="F69" s="136" t="str">
        <f t="shared" ref="F69" si="51">"Q"&amp;ROUNDUP(MONTH(E69)/3,0)&amp;" "&amp;YEAR(E69)</f>
        <v>Q1 2023</v>
      </c>
      <c r="G69" s="137">
        <f>'CF (Funds)'!E17</f>
        <v>-2.6315279999999999</v>
      </c>
      <c r="H69" s="137">
        <f>'CF (Funds)'!F17</f>
        <v>0</v>
      </c>
    </row>
    <row r="70" spans="3:8" x14ac:dyDescent="0.2">
      <c r="C70" s="227" t="str">
        <f>'CF (Funds)'!C18</f>
        <v>Sinovation Disrupt Fund, L.P.</v>
      </c>
      <c r="D70" s="135" t="s">
        <v>52</v>
      </c>
      <c r="E70" s="208">
        <f>'CF (Funds)'!D18</f>
        <v>45085</v>
      </c>
      <c r="F70" s="136" t="str">
        <f t="shared" ref="F70" si="52">"Q"&amp;ROUNDUP(MONTH(E70)/3,0)&amp;" "&amp;YEAR(E70)</f>
        <v>Q2 2023</v>
      </c>
      <c r="G70" s="137">
        <f>'CF (Funds)'!E18</f>
        <v>1.9125570000000001</v>
      </c>
      <c r="H70" s="137">
        <f>'CF (Funds)'!F18</f>
        <v>0</v>
      </c>
    </row>
    <row r="71" spans="3:8" x14ac:dyDescent="0.2">
      <c r="C71" s="227" t="str">
        <f>'CF (Funds)'!C19</f>
        <v>Sinovation Disrupt Fund, L.P.</v>
      </c>
      <c r="D71" s="135" t="s">
        <v>52</v>
      </c>
      <c r="E71" s="208">
        <f>'CF (Funds)'!D19</f>
        <v>45166</v>
      </c>
      <c r="F71" s="136" t="str">
        <f t="shared" ref="F71" si="53">"Q"&amp;ROUNDUP(MONTH(E71)/3,0)&amp;" "&amp;YEAR(E71)</f>
        <v>Q3 2023</v>
      </c>
      <c r="G71" s="137">
        <f>'CF (Funds)'!E19</f>
        <v>-1.7991220000000001</v>
      </c>
      <c r="H71" s="137">
        <f>'CF (Funds)'!F19</f>
        <v>0</v>
      </c>
    </row>
    <row r="72" spans="3:8" x14ac:dyDescent="0.2">
      <c r="C72" s="227" t="str">
        <f>'CF (Funds)'!C20</f>
        <v>Sinovation Disrupt Fund, L.P.</v>
      </c>
      <c r="D72" s="135" t="s">
        <v>52</v>
      </c>
      <c r="E72" s="208">
        <f>'CF (Funds)'!D20</f>
        <v>45218</v>
      </c>
      <c r="F72" s="136" t="str">
        <f t="shared" ref="F72" si="54">"Q"&amp;ROUNDUP(MONTH(E72)/3,0)&amp;" "&amp;YEAR(E72)</f>
        <v>Q4 2023</v>
      </c>
      <c r="G72" s="137">
        <f>'CF (Funds)'!E20</f>
        <v>-2.415861</v>
      </c>
      <c r="H72" s="137">
        <f>'CF (Funds)'!F20</f>
        <v>0</v>
      </c>
    </row>
    <row r="73" spans="3:8" x14ac:dyDescent="0.2">
      <c r="C73" s="227" t="str">
        <f>'CF (Funds)'!C21</f>
        <v>Sinovation Disrupt Fund, L.P.</v>
      </c>
      <c r="D73" s="135" t="s">
        <v>52</v>
      </c>
      <c r="E73" s="208">
        <f>'CF (Funds)'!D21</f>
        <v>45323</v>
      </c>
      <c r="F73" s="136" t="str">
        <f t="shared" ref="F73" si="55">"Q"&amp;ROUNDUP(MONTH(E73)/3,0)&amp;" "&amp;YEAR(E73)</f>
        <v>Q1 2024</v>
      </c>
      <c r="G73" s="137">
        <f>'CF (Funds)'!E21</f>
        <v>0</v>
      </c>
      <c r="H73" s="137">
        <f>'CF (Funds)'!F21</f>
        <v>24.959693000000001</v>
      </c>
    </row>
    <row r="74" spans="3:8" x14ac:dyDescent="0.2">
      <c r="C74" s="138" t="str">
        <f>'CF (Funds)'!C22</f>
        <v>North Summit Capital Fund</v>
      </c>
      <c r="D74" s="139" t="s">
        <v>52</v>
      </c>
      <c r="E74" s="207">
        <f>'CF (Funds)'!D22</f>
        <v>43665</v>
      </c>
      <c r="F74" s="140" t="str">
        <f t="shared" ref="F74:F92" si="56">"Q"&amp;ROUNDUP(MONTH(E74)/3,0)&amp;" "&amp;YEAR(E74)</f>
        <v>Q3 2019</v>
      </c>
      <c r="G74" s="141">
        <f>'CF (Funds)'!E22</f>
        <v>-3</v>
      </c>
      <c r="H74" s="141">
        <f>'CF (Funds)'!F22</f>
        <v>0</v>
      </c>
    </row>
    <row r="75" spans="3:8" x14ac:dyDescent="0.2">
      <c r="C75" s="138" t="str">
        <f>'CF (Funds)'!C23</f>
        <v>North Summit Capital Fund</v>
      </c>
      <c r="D75" s="139" t="s">
        <v>52</v>
      </c>
      <c r="E75" s="207">
        <f>'CF (Funds)'!D23</f>
        <v>43983</v>
      </c>
      <c r="F75" s="140" t="str">
        <f t="shared" si="56"/>
        <v>Q2 2020</v>
      </c>
      <c r="G75" s="141">
        <f>'CF (Funds)'!E23</f>
        <v>-4.4849999999999994</v>
      </c>
      <c r="H75" s="141">
        <f>'CF (Funds)'!F23</f>
        <v>0</v>
      </c>
    </row>
    <row r="76" spans="3:8" x14ac:dyDescent="0.2">
      <c r="C76" s="138" t="str">
        <f>'CF (Funds)'!C24</f>
        <v>North Summit Capital Fund</v>
      </c>
      <c r="D76" s="139" t="s">
        <v>52</v>
      </c>
      <c r="E76" s="207">
        <f>'CF (Funds)'!D24</f>
        <v>43879</v>
      </c>
      <c r="F76" s="140" t="str">
        <f t="shared" si="56"/>
        <v>Q1 2020</v>
      </c>
      <c r="G76" s="141">
        <f>'CF (Funds)'!E24</f>
        <v>-9.5097500000000004</v>
      </c>
      <c r="H76" s="141">
        <f>'CF (Funds)'!F24</f>
        <v>0</v>
      </c>
    </row>
    <row r="77" spans="3:8" x14ac:dyDescent="0.2">
      <c r="C77" s="138" t="str">
        <f>'CF (Funds)'!C25</f>
        <v>North Summit Capital Fund</v>
      </c>
      <c r="D77" s="139" t="s">
        <v>52</v>
      </c>
      <c r="E77" s="207">
        <f>'CF (Funds)'!D25</f>
        <v>43934</v>
      </c>
      <c r="F77" s="140" t="str">
        <f t="shared" si="56"/>
        <v>Q2 2020</v>
      </c>
      <c r="G77" s="141">
        <f>'CF (Funds)'!E25</f>
        <v>-41.3</v>
      </c>
      <c r="H77" s="141">
        <f>'CF (Funds)'!F25</f>
        <v>0</v>
      </c>
    </row>
    <row r="78" spans="3:8" x14ac:dyDescent="0.2">
      <c r="C78" s="138" t="str">
        <f>'CF (Funds)'!C26</f>
        <v>North Summit Capital Fund</v>
      </c>
      <c r="D78" s="139" t="s">
        <v>52</v>
      </c>
      <c r="E78" s="207">
        <f>'CF (Funds)'!D26</f>
        <v>44151</v>
      </c>
      <c r="F78" s="140" t="str">
        <f t="shared" si="56"/>
        <v>Q4 2020</v>
      </c>
      <c r="G78" s="141">
        <f>'CF (Funds)'!E26</f>
        <v>9.9499999999999993</v>
      </c>
      <c r="H78" s="141">
        <f>'CF (Funds)'!F26</f>
        <v>0</v>
      </c>
    </row>
    <row r="79" spans="3:8" x14ac:dyDescent="0.2">
      <c r="C79" s="138" t="str">
        <f>'CF (Funds)'!C27</f>
        <v>North Summit Capital Fund</v>
      </c>
      <c r="D79" s="139" t="s">
        <v>52</v>
      </c>
      <c r="E79" s="207">
        <f>'CF (Funds)'!D27</f>
        <v>44151</v>
      </c>
      <c r="F79" s="140" t="str">
        <f t="shared" si="56"/>
        <v>Q4 2020</v>
      </c>
      <c r="G79" s="141">
        <f>'CF (Funds)'!E27</f>
        <v>-10.455</v>
      </c>
      <c r="H79" s="141">
        <f>'CF (Funds)'!F27</f>
        <v>0</v>
      </c>
    </row>
    <row r="80" spans="3:8" x14ac:dyDescent="0.2">
      <c r="C80" s="138" t="str">
        <f>'CF (Funds)'!C28</f>
        <v>North Summit Capital Fund</v>
      </c>
      <c r="D80" s="139" t="s">
        <v>52</v>
      </c>
      <c r="E80" s="207">
        <f>'CF (Funds)'!D28</f>
        <v>44196</v>
      </c>
      <c r="F80" s="140" t="str">
        <f t="shared" si="56"/>
        <v>Q4 2020</v>
      </c>
      <c r="G80" s="141">
        <f>'CF (Funds)'!E28</f>
        <v>4.9749999999999996</v>
      </c>
      <c r="H80" s="141">
        <f>'CF (Funds)'!F28</f>
        <v>0</v>
      </c>
    </row>
    <row r="81" spans="3:8" x14ac:dyDescent="0.2">
      <c r="C81" s="138" t="str">
        <f>'CF (Funds)'!C29</f>
        <v>North Summit Capital Fund</v>
      </c>
      <c r="D81" s="139" t="s">
        <v>52</v>
      </c>
      <c r="E81" s="207">
        <f>'CF (Funds)'!D29</f>
        <v>44196</v>
      </c>
      <c r="F81" s="140" t="str">
        <f t="shared" si="56"/>
        <v>Q4 2020</v>
      </c>
      <c r="G81" s="141">
        <f>'CF (Funds)'!E29</f>
        <v>-3.4522930000000001</v>
      </c>
      <c r="H81" s="141">
        <f>'CF (Funds)'!F29</f>
        <v>0</v>
      </c>
    </row>
    <row r="82" spans="3:8" x14ac:dyDescent="0.2">
      <c r="C82" s="138" t="str">
        <f>'CF (Funds)'!C30</f>
        <v>North Summit Capital Fund</v>
      </c>
      <c r="D82" s="139" t="s">
        <v>52</v>
      </c>
      <c r="E82" s="207">
        <f>'CF (Funds)'!D30</f>
        <v>44196</v>
      </c>
      <c r="F82" s="140" t="str">
        <f t="shared" si="56"/>
        <v>Q4 2020</v>
      </c>
      <c r="G82" s="141">
        <f>'CF (Funds)'!E30</f>
        <v>0</v>
      </c>
      <c r="H82" s="141">
        <f>'CF (Funds)'!F30</f>
        <v>0.58290199999999992</v>
      </c>
    </row>
    <row r="83" spans="3:8" x14ac:dyDescent="0.2">
      <c r="C83" s="138" t="str">
        <f>'CF (Funds)'!C31</f>
        <v>North Summit Capital Fund</v>
      </c>
      <c r="D83" s="139" t="s">
        <v>52</v>
      </c>
      <c r="E83" s="207">
        <f>'CF (Funds)'!D31</f>
        <v>44370</v>
      </c>
      <c r="F83" s="140" t="str">
        <f t="shared" si="56"/>
        <v>Q2 2021</v>
      </c>
      <c r="G83" s="141">
        <f>'CF (Funds)'!E31</f>
        <v>-5.97</v>
      </c>
      <c r="H83" s="141">
        <f>'CF (Funds)'!F31</f>
        <v>0</v>
      </c>
    </row>
    <row r="84" spans="3:8" x14ac:dyDescent="0.2">
      <c r="C84" s="138" t="str">
        <f>'CF (Funds)'!C32</f>
        <v>North Summit Capital Fund</v>
      </c>
      <c r="D84" s="139" t="s">
        <v>52</v>
      </c>
      <c r="E84" s="207">
        <f>'CF (Funds)'!D32</f>
        <v>44400</v>
      </c>
      <c r="F84" s="140" t="str">
        <f t="shared" si="56"/>
        <v>Q3 2021</v>
      </c>
      <c r="G84" s="141">
        <f>'CF (Funds)'!E32</f>
        <v>-0.75</v>
      </c>
      <c r="H84" s="141">
        <f>'CF (Funds)'!F32</f>
        <v>0</v>
      </c>
    </row>
    <row r="85" spans="3:8" x14ac:dyDescent="0.2">
      <c r="C85" s="138" t="str">
        <f>'CF (Funds)'!C33</f>
        <v>North Summit Capital Fund</v>
      </c>
      <c r="D85" s="139" t="s">
        <v>52</v>
      </c>
      <c r="E85" s="207">
        <f>'CF (Funds)'!D33</f>
        <v>44400</v>
      </c>
      <c r="F85" s="140" t="str">
        <f t="shared" si="56"/>
        <v>Q3 2021</v>
      </c>
      <c r="G85" s="141">
        <f>'CF (Funds)'!E33</f>
        <v>0</v>
      </c>
      <c r="H85" s="141">
        <f>'CF (Funds)'!F33</f>
        <v>0.44505899999999998</v>
      </c>
    </row>
    <row r="86" spans="3:8" x14ac:dyDescent="0.2">
      <c r="C86" s="138" t="str">
        <f>'CF (Funds)'!C34</f>
        <v>North Summit Capital Fund</v>
      </c>
      <c r="D86" s="139" t="s">
        <v>52</v>
      </c>
      <c r="E86" s="207">
        <f>'CF (Funds)'!D34</f>
        <v>44554</v>
      </c>
      <c r="F86" s="140" t="str">
        <f t="shared" si="56"/>
        <v>Q4 2021</v>
      </c>
      <c r="G86" s="141">
        <f>'CF (Funds)'!E34</f>
        <v>1.7823899999999999</v>
      </c>
      <c r="H86" s="141">
        <f>'CF (Funds)'!F34</f>
        <v>0</v>
      </c>
    </row>
    <row r="87" spans="3:8" x14ac:dyDescent="0.2">
      <c r="C87" s="138" t="str">
        <f>'CF (Funds)'!C35</f>
        <v>North Summit Capital Fund</v>
      </c>
      <c r="D87" s="139" t="s">
        <v>52</v>
      </c>
      <c r="E87" s="207">
        <f>'CF (Funds)'!D35</f>
        <v>44676</v>
      </c>
      <c r="F87" s="140" t="str">
        <f t="shared" si="56"/>
        <v>Q2 2022</v>
      </c>
      <c r="G87" s="141">
        <f>'CF (Funds)'!E35</f>
        <v>-21</v>
      </c>
      <c r="H87" s="141">
        <f>'CF (Funds)'!F35</f>
        <v>0</v>
      </c>
    </row>
    <row r="88" spans="3:8" x14ac:dyDescent="0.2">
      <c r="C88" s="134" t="str">
        <f>'CF (Funds)'!C38</f>
        <v>New Space Capital Fund I</v>
      </c>
      <c r="D88" s="135" t="s">
        <v>52</v>
      </c>
      <c r="E88" s="208">
        <f>'CF (Funds)'!D38</f>
        <v>44087</v>
      </c>
      <c r="F88" s="136" t="str">
        <f t="shared" si="56"/>
        <v>Q3 2020</v>
      </c>
      <c r="G88" s="137">
        <f>'CF (Funds)'!E38</f>
        <v>-20.917552997000001</v>
      </c>
      <c r="H88" s="137">
        <f>'CF (Funds)'!F38</f>
        <v>0</v>
      </c>
    </row>
    <row r="89" spans="3:8" x14ac:dyDescent="0.2">
      <c r="C89" s="134" t="str">
        <f>'CF (Funds)'!C39</f>
        <v>New Space Capital Fund I</v>
      </c>
      <c r="D89" s="135" t="s">
        <v>52</v>
      </c>
      <c r="E89" s="208">
        <f>'CF (Funds)'!D39</f>
        <v>44287</v>
      </c>
      <c r="F89" s="136" t="str">
        <f t="shared" si="56"/>
        <v>Q2 2021</v>
      </c>
      <c r="G89" s="137">
        <f>'CF (Funds)'!E39</f>
        <v>-0.21103182000000001</v>
      </c>
      <c r="H89" s="137">
        <f>'CF (Funds)'!F39</f>
        <v>0</v>
      </c>
    </row>
    <row r="90" spans="3:8" x14ac:dyDescent="0.2">
      <c r="C90" s="134" t="str">
        <f>'CF (Funds)'!C40</f>
        <v>New Space Capital Fund I</v>
      </c>
      <c r="D90" s="135" t="s">
        <v>52</v>
      </c>
      <c r="E90" s="208">
        <f>'CF (Funds)'!D40</f>
        <v>44442</v>
      </c>
      <c r="F90" s="136" t="str">
        <f t="shared" si="56"/>
        <v>Q3 2021</v>
      </c>
      <c r="G90" s="137">
        <f>'CF (Funds)'!E40</f>
        <v>-0.23965473139999999</v>
      </c>
      <c r="H90" s="137">
        <f>'CF (Funds)'!F40</f>
        <v>0</v>
      </c>
    </row>
    <row r="91" spans="3:8" x14ac:dyDescent="0.2">
      <c r="C91" s="134" t="str">
        <f>'CF (Funds)'!C41</f>
        <v>New Space Capital Fund I</v>
      </c>
      <c r="D91" s="135" t="s">
        <v>52</v>
      </c>
      <c r="E91" s="208">
        <f>'CF (Funds)'!D41</f>
        <v>44623</v>
      </c>
      <c r="F91" s="136" t="str">
        <f t="shared" si="56"/>
        <v>Q1 2022</v>
      </c>
      <c r="G91" s="137">
        <f>'CF (Funds)'!E41</f>
        <v>-0.25893584940000003</v>
      </c>
      <c r="H91" s="137">
        <f>'CF (Funds)'!F41</f>
        <v>0</v>
      </c>
    </row>
    <row r="92" spans="3:8" x14ac:dyDescent="0.2">
      <c r="C92" s="134" t="str">
        <f>'CF (Funds)'!C42</f>
        <v>New Space Capital Fund I</v>
      </c>
      <c r="D92" s="135" t="s">
        <v>52</v>
      </c>
      <c r="E92" s="208">
        <f>'CF (Funds)'!D42</f>
        <v>44784</v>
      </c>
      <c r="F92" s="136" t="str">
        <f t="shared" si="56"/>
        <v>Q3 2022</v>
      </c>
      <c r="G92" s="137">
        <f>'CF (Funds)'!E42</f>
        <v>1.5224656599999999E-2</v>
      </c>
      <c r="H92" s="137">
        <f>'CF (Funds)'!F42</f>
        <v>0</v>
      </c>
    </row>
    <row r="93" spans="3:8" x14ac:dyDescent="0.2">
      <c r="C93" s="134" t="str">
        <f>'CF (Funds)'!C43</f>
        <v>New Space Capital Fund I</v>
      </c>
      <c r="D93" s="135" t="s">
        <v>52</v>
      </c>
      <c r="E93" s="208">
        <f>'CF (Funds)'!D43</f>
        <v>44956</v>
      </c>
      <c r="F93" s="136" t="str">
        <f t="shared" ref="F93" si="57">"Q"&amp;ROUNDUP(MONTH(E93)/3,0)&amp;" "&amp;YEAR(E93)</f>
        <v>Q1 2023</v>
      </c>
      <c r="G93" s="137">
        <f>'CF (Funds)'!E43</f>
        <v>10.553916089669999</v>
      </c>
      <c r="H93" s="137">
        <f>'CF (Funds)'!F43</f>
        <v>0</v>
      </c>
    </row>
    <row r="94" spans="3:8" x14ac:dyDescent="0.2">
      <c r="C94" s="134" t="str">
        <f>'CF (Funds)'!C44</f>
        <v>New Space Capital Fund I</v>
      </c>
      <c r="D94" s="135" t="s">
        <v>52</v>
      </c>
      <c r="E94" s="208">
        <f>'CF (Funds)'!D44</f>
        <v>44956</v>
      </c>
      <c r="F94" s="136" t="str">
        <f t="shared" ref="F94" si="58">"Q"&amp;ROUNDUP(MONTH(E94)/3,0)&amp;" "&amp;YEAR(E94)</f>
        <v>Q1 2023</v>
      </c>
      <c r="G94" s="137">
        <f>'CF (Funds)'!E44</f>
        <v>0</v>
      </c>
      <c r="H94" s="137">
        <f>'CF (Funds)'!F44</f>
        <v>2.9557743514081998</v>
      </c>
    </row>
    <row r="95" spans="3:8" x14ac:dyDescent="0.2">
      <c r="C95" s="134" t="str">
        <f>'CF (Funds)'!C51</f>
        <v>New Space Capital GP Com SCSp</v>
      </c>
      <c r="D95" s="135" t="s">
        <v>52</v>
      </c>
      <c r="E95" s="208">
        <f>'CF (Funds)'!D51</f>
        <v>44087</v>
      </c>
      <c r="F95" s="136" t="str">
        <f>"Q"&amp;ROUNDUP(MONTH(E95)/3,0)&amp;" "&amp;YEAR(E95)</f>
        <v>Q3 2020</v>
      </c>
      <c r="G95" s="137">
        <f>'CF (Funds)'!E51</f>
        <v>-2.7058823529411762</v>
      </c>
      <c r="H95" s="137">
        <f>'CF (Funds)'!F51</f>
        <v>0</v>
      </c>
    </row>
    <row r="96" spans="3:8" x14ac:dyDescent="0.2">
      <c r="C96" s="138" t="str">
        <f>'CF (Funds)'!C52</f>
        <v>Acies Investments Fund I, L.P.</v>
      </c>
      <c r="D96" s="139" t="s">
        <v>52</v>
      </c>
      <c r="E96" s="207">
        <f>'CF (Funds)'!D52</f>
        <v>44540</v>
      </c>
      <c r="F96" s="140" t="str">
        <f>"Q"&amp;ROUNDUP(MONTH(E96)/3,0)&amp;" "&amp;YEAR(E96)</f>
        <v>Q4 2021</v>
      </c>
      <c r="G96" s="141">
        <f>'CF (Funds)'!E52</f>
        <v>-2.8053124999999999</v>
      </c>
      <c r="H96" s="141">
        <f>'CF (Funds)'!F52</f>
        <v>0</v>
      </c>
    </row>
    <row r="97" spans="3:8" x14ac:dyDescent="0.2">
      <c r="C97" s="138" t="str">
        <f>'CF (Funds)'!C53</f>
        <v>Acies Investments Fund I, L.P.</v>
      </c>
      <c r="D97" s="139" t="s">
        <v>52</v>
      </c>
      <c r="E97" s="207">
        <f>'CF (Funds)'!D53</f>
        <v>44602</v>
      </c>
      <c r="F97" s="140" t="str">
        <f>"Q"&amp;ROUNDUP(MONTH(E97)/3,0)&amp;" "&amp;YEAR(E97)</f>
        <v>Q1 2022</v>
      </c>
      <c r="G97" s="141">
        <f>'CF (Funds)'!E53</f>
        <v>-3.4074999999999998</v>
      </c>
      <c r="H97" s="141">
        <f>'CF (Funds)'!F53</f>
        <v>0</v>
      </c>
    </row>
    <row r="98" spans="3:8" x14ac:dyDescent="0.2">
      <c r="C98" s="138" t="str">
        <f>'CF (Funds)'!C54</f>
        <v>Acies Investments Fund I, L.P.</v>
      </c>
      <c r="D98" s="139" t="s">
        <v>52</v>
      </c>
      <c r="E98" s="207">
        <f>'CF (Funds)'!D54</f>
        <v>44683</v>
      </c>
      <c r="F98" s="140" t="str">
        <f>"Q"&amp;ROUNDUP(MONTH(E98)/3,0)&amp;" "&amp;YEAR(E98)</f>
        <v>Q2 2022</v>
      </c>
      <c r="G98" s="141">
        <f>'CF (Funds)'!E54</f>
        <v>-1.0257749999999999</v>
      </c>
      <c r="H98" s="141">
        <f>'CF (Funds)'!F54</f>
        <v>0</v>
      </c>
    </row>
    <row r="99" spans="3:8" x14ac:dyDescent="0.2">
      <c r="C99" s="138" t="str">
        <f>'CF (Funds)'!C55</f>
        <v>Acies Investments Fund I, L.P.</v>
      </c>
      <c r="D99" s="139" t="s">
        <v>52</v>
      </c>
      <c r="E99" s="207">
        <f>'CF (Funds)'!D55</f>
        <v>44707</v>
      </c>
      <c r="F99" s="140" t="str">
        <f t="shared" ref="F99" si="59">"Q"&amp;ROUNDUP(MONTH(E99)/3,0)&amp;" "&amp;YEAR(E99)</f>
        <v>Q2 2022</v>
      </c>
      <c r="G99" s="141">
        <f>'CF (Funds)'!E55</f>
        <v>-3.3882749999999997</v>
      </c>
      <c r="H99" s="141">
        <f>'CF (Funds)'!F55</f>
        <v>0</v>
      </c>
    </row>
    <row r="100" spans="3:8" x14ac:dyDescent="0.2">
      <c r="C100" s="138" t="str">
        <f>'CF (Funds)'!C56</f>
        <v>Acies Investments Fund I, L.P.</v>
      </c>
      <c r="D100" s="139" t="s">
        <v>52</v>
      </c>
      <c r="E100" s="207">
        <f>'CF (Funds)'!D56</f>
        <v>44875</v>
      </c>
      <c r="F100" s="140" t="str">
        <f t="shared" ref="F100" si="60">"Q"&amp;ROUNDUP(MONTH(E100)/3,0)&amp;" "&amp;YEAR(E100)</f>
        <v>Q4 2022</v>
      </c>
      <c r="G100" s="141">
        <f>'CF (Funds)'!E56</f>
        <v>-3.3882749999999997</v>
      </c>
      <c r="H100" s="141">
        <f>'CF (Funds)'!F56</f>
        <v>0</v>
      </c>
    </row>
    <row r="101" spans="3:8" x14ac:dyDescent="0.2">
      <c r="E101" s="209"/>
    </row>
    <row r="102" spans="3:8" x14ac:dyDescent="0.2">
      <c r="E102" s="209"/>
    </row>
    <row r="103" spans="3:8" x14ac:dyDescent="0.2">
      <c r="E103" s="209"/>
    </row>
    <row r="104" spans="3:8" x14ac:dyDescent="0.2">
      <c r="E104" s="209"/>
    </row>
    <row r="105" spans="3:8" x14ac:dyDescent="0.2">
      <c r="E105" s="209"/>
    </row>
    <row r="106" spans="3:8" x14ac:dyDescent="0.2">
      <c r="E106" s="209"/>
    </row>
    <row r="107" spans="3:8" x14ac:dyDescent="0.2">
      <c r="E107" s="209"/>
    </row>
    <row r="108" spans="3:8" x14ac:dyDescent="0.2">
      <c r="E108" s="209"/>
    </row>
    <row r="109" spans="3:8" x14ac:dyDescent="0.2">
      <c r="E109" s="209"/>
    </row>
    <row r="110" spans="3:8" x14ac:dyDescent="0.2">
      <c r="E110" s="209"/>
    </row>
    <row r="111" spans="3:8" x14ac:dyDescent="0.2">
      <c r="E111" s="209"/>
    </row>
    <row r="112" spans="3:8" x14ac:dyDescent="0.2">
      <c r="E112" s="209"/>
    </row>
    <row r="113" spans="5:5" x14ac:dyDescent="0.2">
      <c r="E113" s="209"/>
    </row>
    <row r="114" spans="5:5" x14ac:dyDescent="0.2">
      <c r="E114" s="209"/>
    </row>
    <row r="115" spans="5:5" x14ac:dyDescent="0.2">
      <c r="E115" s="209"/>
    </row>
    <row r="116" spans="5:5" x14ac:dyDescent="0.2">
      <c r="E116" s="209"/>
    </row>
    <row r="117" spans="5:5" x14ac:dyDescent="0.2">
      <c r="E117" s="209"/>
    </row>
    <row r="118" spans="5:5" x14ac:dyDescent="0.2">
      <c r="E118" s="209"/>
    </row>
    <row r="119" spans="5:5" x14ac:dyDescent="0.2">
      <c r="E119" s="209"/>
    </row>
    <row r="120" spans="5:5" x14ac:dyDescent="0.2">
      <c r="E120" s="209"/>
    </row>
    <row r="121" spans="5:5" x14ac:dyDescent="0.2">
      <c r="E121" s="209"/>
    </row>
    <row r="122" spans="5:5" x14ac:dyDescent="0.2">
      <c r="E122" s="209"/>
    </row>
    <row r="123" spans="5:5" x14ac:dyDescent="0.2">
      <c r="E123" s="209"/>
    </row>
    <row r="124" spans="5:5" x14ac:dyDescent="0.2">
      <c r="E124" s="209"/>
    </row>
    <row r="125" spans="5:5" x14ac:dyDescent="0.2">
      <c r="E125" s="209"/>
    </row>
    <row r="126" spans="5:5" x14ac:dyDescent="0.2">
      <c r="E126" s="209"/>
    </row>
    <row r="127" spans="5:5" x14ac:dyDescent="0.2">
      <c r="E127" s="209"/>
    </row>
    <row r="128" spans="5:5" x14ac:dyDescent="0.2">
      <c r="E128" s="209"/>
    </row>
    <row r="129" spans="5:5" x14ac:dyDescent="0.2">
      <c r="E129" s="209"/>
    </row>
    <row r="130" spans="5:5" x14ac:dyDescent="0.2">
      <c r="E130" s="209"/>
    </row>
    <row r="131" spans="5:5" x14ac:dyDescent="0.2">
      <c r="E131" s="209"/>
    </row>
    <row r="132" spans="5:5" x14ac:dyDescent="0.2">
      <c r="E132" s="209"/>
    </row>
    <row r="133" spans="5:5" x14ac:dyDescent="0.2">
      <c r="E133" s="209"/>
    </row>
    <row r="134" spans="5:5" x14ac:dyDescent="0.2">
      <c r="E134" s="209"/>
    </row>
    <row r="135" spans="5:5" x14ac:dyDescent="0.2">
      <c r="E135" s="209"/>
    </row>
    <row r="136" spans="5:5" x14ac:dyDescent="0.2">
      <c r="E136" s="209"/>
    </row>
    <row r="137" spans="5:5" x14ac:dyDescent="0.2">
      <c r="E137" s="209"/>
    </row>
    <row r="138" spans="5:5" x14ac:dyDescent="0.2">
      <c r="E138" s="209"/>
    </row>
    <row r="139" spans="5:5" x14ac:dyDescent="0.2">
      <c r="E139" s="209"/>
    </row>
    <row r="140" spans="5:5" x14ac:dyDescent="0.2">
      <c r="E140" s="209"/>
    </row>
    <row r="141" spans="5:5" x14ac:dyDescent="0.2">
      <c r="E141" s="209"/>
    </row>
    <row r="142" spans="5:5" x14ac:dyDescent="0.2">
      <c r="E142" s="209"/>
    </row>
    <row r="143" spans="5:5" x14ac:dyDescent="0.2">
      <c r="E143" s="209"/>
    </row>
    <row r="144" spans="5:5" x14ac:dyDescent="0.2">
      <c r="E144" s="209"/>
    </row>
    <row r="145" spans="5:5" x14ac:dyDescent="0.2">
      <c r="E145" s="209"/>
    </row>
    <row r="146" spans="5:5" x14ac:dyDescent="0.2">
      <c r="E146" s="209"/>
    </row>
    <row r="147" spans="5:5" x14ac:dyDescent="0.2">
      <c r="E147" s="209"/>
    </row>
    <row r="148" spans="5:5" x14ac:dyDescent="0.2">
      <c r="E148" s="209"/>
    </row>
    <row r="149" spans="5:5" x14ac:dyDescent="0.2">
      <c r="E149" s="209"/>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W53"/>
  <sheetViews>
    <sheetView zoomScale="80" zoomScaleNormal="80" workbookViewId="0">
      <selection activeCell="I38" sqref="I38"/>
    </sheetView>
  </sheetViews>
  <sheetFormatPr defaultColWidth="9.140625" defaultRowHeight="15" x14ac:dyDescent="0.25"/>
  <cols>
    <col min="1" max="1" width="4.140625" style="26" customWidth="1"/>
    <col min="2" max="2" width="59.28515625" style="26" bestFit="1" customWidth="1"/>
    <col min="3" max="17" width="15.42578125" style="26" customWidth="1"/>
    <col min="18" max="18" width="9.140625" style="26"/>
    <col min="19" max="19" width="2.42578125" style="26" customWidth="1"/>
    <col min="20" max="20" width="22.42578125" style="26" customWidth="1"/>
    <col min="21" max="21" width="25.5703125" style="27" customWidth="1"/>
    <col min="22" max="22" width="32.140625" style="27" bestFit="1" customWidth="1"/>
    <col min="23" max="23" width="2" style="26" customWidth="1"/>
    <col min="24" max="16384" width="9.140625" style="26"/>
  </cols>
  <sheetData>
    <row r="1" spans="2:23" ht="15.75" thickBot="1" x14ac:dyDescent="0.3">
      <c r="D1" s="27"/>
      <c r="E1" s="27"/>
      <c r="F1" s="27"/>
      <c r="G1" s="27"/>
      <c r="H1" s="27"/>
      <c r="I1" s="27"/>
      <c r="J1" s="27"/>
      <c r="K1" s="27"/>
      <c r="L1" s="27"/>
      <c r="M1" s="27"/>
      <c r="N1" s="27"/>
      <c r="O1" s="27"/>
      <c r="P1" s="27"/>
      <c r="Q1" s="27"/>
    </row>
    <row r="2" spans="2:23" x14ac:dyDescent="0.25">
      <c r="B2" s="35" t="s">
        <v>479</v>
      </c>
      <c r="C2" s="192">
        <v>44442</v>
      </c>
      <c r="E2" s="192">
        <v>44623</v>
      </c>
      <c r="F2" s="192">
        <v>44784</v>
      </c>
      <c r="G2" s="192">
        <v>44956</v>
      </c>
      <c r="H2" s="27"/>
      <c r="I2" s="27"/>
      <c r="J2" s="27"/>
      <c r="K2" s="27"/>
      <c r="L2" s="27"/>
      <c r="M2" s="27"/>
      <c r="N2" s="27"/>
      <c r="O2" s="27"/>
      <c r="P2" s="27"/>
      <c r="Q2" s="27"/>
      <c r="S2" s="334"/>
      <c r="T2" s="335"/>
      <c r="U2" s="336"/>
      <c r="V2" s="336"/>
      <c r="W2" s="337"/>
    </row>
    <row r="3" spans="2:23" x14ac:dyDescent="0.25">
      <c r="C3" s="27"/>
      <c r="D3" s="27"/>
      <c r="E3" s="27"/>
      <c r="F3" s="27"/>
      <c r="G3" s="27"/>
      <c r="H3" s="27"/>
      <c r="I3" s="27"/>
      <c r="J3" s="27"/>
      <c r="K3" s="27"/>
      <c r="L3" s="27"/>
      <c r="M3" s="27"/>
      <c r="N3" s="27"/>
      <c r="O3" s="27"/>
      <c r="P3" s="27"/>
      <c r="Q3" s="27"/>
      <c r="S3" s="338"/>
      <c r="T3" s="339" t="s">
        <v>338</v>
      </c>
      <c r="U3" s="340"/>
      <c r="V3" s="340"/>
      <c r="W3" s="341"/>
    </row>
    <row r="4" spans="2:23" x14ac:dyDescent="0.25">
      <c r="C4" s="27"/>
      <c r="D4" s="27"/>
      <c r="E4" s="27"/>
      <c r="F4" s="27"/>
      <c r="G4" s="27"/>
      <c r="H4" s="27"/>
      <c r="I4" s="27"/>
      <c r="J4" s="27"/>
      <c r="K4" s="27"/>
      <c r="L4" s="27"/>
      <c r="M4" s="27"/>
      <c r="N4" s="27"/>
      <c r="O4" s="27"/>
      <c r="P4" s="27" t="s">
        <v>692</v>
      </c>
      <c r="Q4" s="27"/>
      <c r="S4" s="338"/>
      <c r="T4" s="339"/>
      <c r="U4" s="340"/>
      <c r="V4" s="340"/>
      <c r="W4" s="341"/>
    </row>
    <row r="5" spans="2:23" x14ac:dyDescent="0.25">
      <c r="B5" s="410" t="s">
        <v>133</v>
      </c>
      <c r="C5" s="411" t="s">
        <v>481</v>
      </c>
      <c r="D5" s="411" t="s">
        <v>482</v>
      </c>
      <c r="E5" s="411" t="s">
        <v>483</v>
      </c>
      <c r="F5" s="411"/>
      <c r="G5" s="411" t="s">
        <v>484</v>
      </c>
      <c r="H5" s="411" t="s">
        <v>469</v>
      </c>
      <c r="I5" s="411" t="s">
        <v>471</v>
      </c>
      <c r="J5" s="411" t="s">
        <v>472</v>
      </c>
      <c r="K5" s="411" t="s">
        <v>473</v>
      </c>
      <c r="L5" s="411" t="s">
        <v>627</v>
      </c>
      <c r="M5" s="411" t="s">
        <v>692</v>
      </c>
      <c r="N5" s="411" t="s">
        <v>693</v>
      </c>
      <c r="O5" s="411"/>
      <c r="P5" s="411" t="s">
        <v>684</v>
      </c>
      <c r="Q5" s="411"/>
      <c r="S5" s="338"/>
      <c r="T5" s="524" t="s">
        <v>51</v>
      </c>
      <c r="U5" s="525" t="s">
        <v>118</v>
      </c>
      <c r="V5" s="525" t="s">
        <v>336</v>
      </c>
      <c r="W5" s="341"/>
    </row>
    <row r="6" spans="2:23" x14ac:dyDescent="0.25">
      <c r="B6" s="26" t="s">
        <v>478</v>
      </c>
      <c r="C6" s="412">
        <v>44442</v>
      </c>
      <c r="D6" s="413">
        <v>44512</v>
      </c>
      <c r="E6" s="412">
        <v>44623</v>
      </c>
      <c r="F6" s="412"/>
      <c r="G6" s="412">
        <v>44950</v>
      </c>
      <c r="H6" s="412">
        <v>45007</v>
      </c>
      <c r="I6" s="412">
        <v>45170</v>
      </c>
      <c r="J6" s="412">
        <v>45260</v>
      </c>
      <c r="K6" s="412">
        <v>45306</v>
      </c>
      <c r="L6" s="412">
        <v>45356</v>
      </c>
      <c r="M6" s="412"/>
      <c r="N6" s="412">
        <v>45491</v>
      </c>
      <c r="O6" s="412"/>
      <c r="P6" s="412">
        <v>45454</v>
      </c>
      <c r="Q6" s="412"/>
      <c r="S6" s="338"/>
      <c r="T6" s="342" t="s">
        <v>25</v>
      </c>
      <c r="U6" s="343" t="s">
        <v>78</v>
      </c>
      <c r="V6" s="343" t="s">
        <v>78</v>
      </c>
      <c r="W6" s="341"/>
    </row>
    <row r="7" spans="2:23" x14ac:dyDescent="0.25">
      <c r="B7" s="35" t="s">
        <v>470</v>
      </c>
      <c r="C7" s="289">
        <v>19015957.27</v>
      </c>
      <c r="D7" s="289">
        <v>23513942</v>
      </c>
      <c r="E7" s="289">
        <v>23513942</v>
      </c>
      <c r="F7" s="289"/>
      <c r="G7" s="289">
        <v>23234461.870000001</v>
      </c>
      <c r="H7" s="289">
        <v>23234461.870000001</v>
      </c>
      <c r="I7" s="289">
        <v>23234461.870000001</v>
      </c>
      <c r="J7" s="289">
        <v>23234461.870000001</v>
      </c>
      <c r="K7" s="289">
        <v>23234461.870000001</v>
      </c>
      <c r="L7" s="289">
        <v>23234461.870000001</v>
      </c>
      <c r="M7" s="289">
        <v>23234461.870000001</v>
      </c>
      <c r="N7" s="289">
        <v>23234461.870000001</v>
      </c>
      <c r="O7" s="289"/>
      <c r="P7" s="289">
        <v>23234461.870000001</v>
      </c>
      <c r="Q7" s="289"/>
      <c r="S7" s="338"/>
      <c r="T7" s="333" t="s">
        <v>31</v>
      </c>
      <c r="U7" s="340" t="s">
        <v>11</v>
      </c>
      <c r="V7" s="344" t="s">
        <v>11</v>
      </c>
      <c r="W7" s="341"/>
    </row>
    <row r="8" spans="2:23" x14ac:dyDescent="0.25">
      <c r="B8" s="26" t="s">
        <v>480</v>
      </c>
      <c r="C8" s="289">
        <v>19226989.09</v>
      </c>
      <c r="D8" s="289">
        <v>19415305.100000001</v>
      </c>
      <c r="E8" s="289">
        <v>19365157.890000001</v>
      </c>
      <c r="F8" s="289"/>
      <c r="G8" s="289"/>
      <c r="H8" s="27"/>
      <c r="I8" s="289">
        <v>9566817.3300000001</v>
      </c>
      <c r="J8" s="289">
        <f>I8+I18</f>
        <v>9834193.4100000001</v>
      </c>
      <c r="K8" s="289">
        <f>J8+J18</f>
        <v>10093474.140000001</v>
      </c>
      <c r="L8" s="289">
        <f>K8+K18</f>
        <v>12297370.790000001</v>
      </c>
      <c r="M8" s="289">
        <f>L8+L18</f>
        <v>12498073.250000002</v>
      </c>
      <c r="N8" s="540">
        <v>12128944.09</v>
      </c>
      <c r="O8" s="289"/>
      <c r="P8" s="289">
        <f>P7-P9</f>
        <v>12498073.250000002</v>
      </c>
      <c r="Q8" s="289"/>
      <c r="S8" s="338"/>
      <c r="T8" s="333" t="s">
        <v>334</v>
      </c>
      <c r="U8" s="340">
        <v>2020</v>
      </c>
      <c r="V8" s="344">
        <v>2020</v>
      </c>
      <c r="W8" s="341"/>
    </row>
    <row r="9" spans="2:23" x14ac:dyDescent="0.25">
      <c r="B9" s="26" t="s">
        <v>485</v>
      </c>
      <c r="C9" s="289"/>
      <c r="D9" s="289">
        <v>4098636.9</v>
      </c>
      <c r="E9" s="289">
        <v>4148784.11</v>
      </c>
      <c r="F9" s="289"/>
      <c r="G9" s="289">
        <v>15865093.23</v>
      </c>
      <c r="H9" s="289">
        <v>15675627.199999999</v>
      </c>
      <c r="I9" s="289">
        <f t="shared" ref="I9:N9" si="0">I7-I8</f>
        <v>13667644.540000001</v>
      </c>
      <c r="J9" s="289">
        <f t="shared" si="0"/>
        <v>13400268.460000001</v>
      </c>
      <c r="K9" s="289">
        <f t="shared" si="0"/>
        <v>13140987.73</v>
      </c>
      <c r="L9" s="289">
        <f t="shared" si="0"/>
        <v>10937091.08</v>
      </c>
      <c r="M9" s="289">
        <f t="shared" si="0"/>
        <v>10736388.619999999</v>
      </c>
      <c r="N9" s="289">
        <f t="shared" si="0"/>
        <v>11105517.780000001</v>
      </c>
      <c r="O9" s="289"/>
      <c r="P9" s="289">
        <f>L22</f>
        <v>10736388.619999999</v>
      </c>
      <c r="Q9" s="289"/>
      <c r="S9" s="338"/>
      <c r="T9" s="333" t="s">
        <v>36</v>
      </c>
      <c r="U9" s="340" t="s">
        <v>54</v>
      </c>
      <c r="V9" s="344" t="s">
        <v>335</v>
      </c>
      <c r="W9" s="341"/>
    </row>
    <row r="10" spans="2:23" x14ac:dyDescent="0.25">
      <c r="B10" s="26" t="s">
        <v>474</v>
      </c>
      <c r="C10" s="289"/>
      <c r="D10" s="289"/>
      <c r="E10" s="289"/>
      <c r="F10" s="289"/>
      <c r="G10" s="289">
        <v>-12659067.07</v>
      </c>
      <c r="H10" s="27"/>
      <c r="I10" s="289"/>
      <c r="J10" s="289"/>
      <c r="K10" s="289"/>
      <c r="L10" s="289"/>
      <c r="M10" s="289"/>
      <c r="N10" s="289"/>
      <c r="O10" s="289"/>
      <c r="S10" s="338"/>
      <c r="T10" s="333" t="s">
        <v>53</v>
      </c>
      <c r="U10" s="340" t="s">
        <v>124</v>
      </c>
      <c r="V10" s="344" t="s">
        <v>124</v>
      </c>
      <c r="W10" s="341"/>
    </row>
    <row r="11" spans="2:23" x14ac:dyDescent="0.25">
      <c r="B11" s="26" t="s">
        <v>158</v>
      </c>
      <c r="C11" s="289"/>
      <c r="D11" s="289"/>
      <c r="E11" s="289"/>
      <c r="F11" s="289"/>
      <c r="G11" s="289"/>
      <c r="H11" s="289">
        <v>-2067567.04</v>
      </c>
      <c r="I11" s="289"/>
      <c r="J11" s="289"/>
      <c r="K11" s="289"/>
      <c r="L11" s="289"/>
      <c r="M11" s="289"/>
      <c r="N11" s="289"/>
      <c r="O11" s="289"/>
      <c r="P11" s="289"/>
      <c r="Q11" s="289"/>
      <c r="S11" s="338"/>
      <c r="T11" s="333" t="s">
        <v>32</v>
      </c>
      <c r="U11" s="345">
        <v>27.691912952877303</v>
      </c>
      <c r="V11" s="346">
        <v>2.7058823529411762</v>
      </c>
      <c r="W11" s="341"/>
    </row>
    <row r="12" spans="2:23" x14ac:dyDescent="0.25">
      <c r="B12" s="26" t="s">
        <v>475</v>
      </c>
      <c r="C12" s="289"/>
      <c r="D12" s="289"/>
      <c r="E12" s="289"/>
      <c r="F12" s="289"/>
      <c r="G12" s="289"/>
      <c r="H12" s="289">
        <v>13608060.16</v>
      </c>
      <c r="I12" s="27"/>
      <c r="J12" s="27"/>
      <c r="K12" s="27"/>
      <c r="L12" s="27"/>
      <c r="M12" s="27"/>
      <c r="N12" s="27"/>
      <c r="O12" s="27"/>
      <c r="P12" s="27"/>
      <c r="Q12" s="27"/>
      <c r="S12" s="338"/>
      <c r="T12" s="333" t="s">
        <v>2</v>
      </c>
      <c r="U12" s="345">
        <v>11.058034651530003</v>
      </c>
      <c r="V12" s="346">
        <v>2.7058823529411762</v>
      </c>
      <c r="W12" s="341"/>
    </row>
    <row r="13" spans="2:23" x14ac:dyDescent="0.25">
      <c r="C13" s="289"/>
      <c r="D13" s="289"/>
      <c r="E13" s="289"/>
      <c r="F13" s="289"/>
      <c r="G13" s="289"/>
      <c r="H13" s="289"/>
      <c r="I13" s="27"/>
      <c r="J13" s="27"/>
      <c r="K13" s="27"/>
      <c r="L13" s="27"/>
      <c r="M13" s="27"/>
      <c r="N13" s="27"/>
      <c r="O13" s="27"/>
      <c r="P13" s="27"/>
      <c r="Q13" s="27"/>
      <c r="S13" s="338"/>
      <c r="T13" s="333" t="s">
        <v>50</v>
      </c>
      <c r="U13" s="345">
        <v>16.633878301347298</v>
      </c>
      <c r="V13" s="346">
        <v>0</v>
      </c>
      <c r="W13" s="341"/>
    </row>
    <row r="14" spans="2:23" x14ac:dyDescent="0.25">
      <c r="S14" s="338"/>
      <c r="T14" s="333" t="s">
        <v>33</v>
      </c>
      <c r="U14" s="345">
        <v>2.9557743514082002</v>
      </c>
      <c r="V14" s="346">
        <v>0</v>
      </c>
      <c r="W14" s="341"/>
    </row>
    <row r="15" spans="2:23" x14ac:dyDescent="0.25">
      <c r="B15" s="26" t="s">
        <v>685</v>
      </c>
      <c r="P15" s="289">
        <v>-358796.4</v>
      </c>
      <c r="Q15" s="289"/>
      <c r="S15" s="338"/>
      <c r="T15" s="333" t="s">
        <v>27</v>
      </c>
      <c r="U15" s="345">
        <f>NAV!E40</f>
        <v>21.613971432657998</v>
      </c>
      <c r="V15" s="346">
        <f>V12*U15/U12</f>
        <v>5.2889022072753189</v>
      </c>
      <c r="W15" s="341"/>
    </row>
    <row r="16" spans="2:23" x14ac:dyDescent="0.25">
      <c r="B16" s="26" t="s">
        <v>686</v>
      </c>
      <c r="P16" s="289">
        <v>-10332.76</v>
      </c>
      <c r="Q16" s="289"/>
      <c r="S16" s="338"/>
      <c r="T16" s="333" t="s">
        <v>187</v>
      </c>
      <c r="U16" s="345">
        <f>U15+U14-U12</f>
        <v>13.511711132536197</v>
      </c>
      <c r="V16" s="346">
        <f>V15+V14-V12</f>
        <v>2.5830198543341427</v>
      </c>
      <c r="W16" s="341"/>
    </row>
    <row r="17" spans="2:23" x14ac:dyDescent="0.25">
      <c r="B17" s="26" t="s">
        <v>687</v>
      </c>
      <c r="C17" s="289"/>
      <c r="D17" s="289"/>
      <c r="E17" s="289"/>
      <c r="F17" s="289"/>
      <c r="G17" s="289"/>
      <c r="H17" s="289"/>
      <c r="I17" s="27"/>
      <c r="J17" s="27"/>
      <c r="K17" s="27"/>
      <c r="L17" s="27"/>
      <c r="M17" s="27"/>
      <c r="N17" s="27"/>
      <c r="O17" s="27"/>
      <c r="P17" s="289">
        <v>-62495.83</v>
      </c>
      <c r="Q17" s="289"/>
      <c r="S17" s="338"/>
      <c r="T17" s="333" t="s">
        <v>55</v>
      </c>
      <c r="U17" s="347">
        <f>(U14+U15)/U12</f>
        <v>2.2218908294582618</v>
      </c>
      <c r="V17" s="347">
        <f>(V14+V15)/V12</f>
        <v>1.9545942939930527</v>
      </c>
      <c r="W17" s="341"/>
    </row>
    <row r="18" spans="2:23" x14ac:dyDescent="0.25">
      <c r="B18" s="26" t="s">
        <v>93</v>
      </c>
      <c r="C18" s="27"/>
      <c r="D18" s="27"/>
      <c r="E18" s="27"/>
      <c r="F18" s="27"/>
      <c r="G18" s="289">
        <f>G9-G22</f>
        <v>189466.01999999955</v>
      </c>
      <c r="H18" s="289">
        <f>H12-H22</f>
        <v>-59584.379999998957</v>
      </c>
      <c r="I18" s="289">
        <v>267376.08000000007</v>
      </c>
      <c r="J18" s="289">
        <v>259280.73000000045</v>
      </c>
      <c r="K18" s="289">
        <v>2203896.6500000004</v>
      </c>
      <c r="L18" s="289">
        <v>200702.46</v>
      </c>
      <c r="M18" s="289"/>
      <c r="N18" s="289">
        <v>1578048.66</v>
      </c>
      <c r="O18" s="289"/>
      <c r="P18" s="289"/>
      <c r="Q18" s="289"/>
      <c r="S18" s="81"/>
      <c r="T18" s="339"/>
      <c r="U18" s="340"/>
      <c r="V18" s="340"/>
      <c r="W18" s="82"/>
    </row>
    <row r="19" spans="2:23" x14ac:dyDescent="0.25">
      <c r="B19" s="26" t="s">
        <v>162</v>
      </c>
      <c r="C19" s="27"/>
      <c r="D19" s="27"/>
      <c r="E19" s="27"/>
      <c r="F19" s="27"/>
      <c r="G19" s="289">
        <f>-G20+G18</f>
        <v>12659067.039999999</v>
      </c>
      <c r="H19" s="289">
        <f>-H20+H18</f>
        <v>1.0404619388282299E-9</v>
      </c>
      <c r="I19" s="289">
        <v>59584.380000000063</v>
      </c>
      <c r="J19" s="289"/>
      <c r="K19" s="289"/>
      <c r="L19" s="289"/>
      <c r="M19" s="289"/>
      <c r="N19" s="289"/>
      <c r="O19" s="289"/>
      <c r="P19" s="289"/>
      <c r="Q19" s="289"/>
      <c r="S19" s="338"/>
      <c r="T19" s="339" t="s">
        <v>337</v>
      </c>
      <c r="U19" s="340"/>
      <c r="V19" s="340"/>
      <c r="W19" s="341"/>
    </row>
    <row r="20" spans="2:23" x14ac:dyDescent="0.25">
      <c r="B20" s="414" t="s">
        <v>548</v>
      </c>
      <c r="C20" s="415">
        <v>203097.23</v>
      </c>
      <c r="D20" s="415">
        <v>-444437.06</v>
      </c>
      <c r="E20" s="415">
        <v>233275.54</v>
      </c>
      <c r="F20" s="415"/>
      <c r="G20" s="415">
        <v>-12469601.02</v>
      </c>
      <c r="H20" s="415">
        <v>-59584.38</v>
      </c>
      <c r="I20" s="415">
        <f t="shared" ref="I20:K20" si="1">I18-I19</f>
        <v>207791.7</v>
      </c>
      <c r="J20" s="415">
        <f t="shared" si="1"/>
        <v>259280.73000000045</v>
      </c>
      <c r="K20" s="415">
        <f t="shared" si="1"/>
        <v>2203896.6500000004</v>
      </c>
      <c r="L20" s="415">
        <f>L18-L19</f>
        <v>200702.46</v>
      </c>
      <c r="M20" s="415"/>
      <c r="N20" s="415">
        <f>N18-N19</f>
        <v>1578048.66</v>
      </c>
      <c r="O20" s="415"/>
      <c r="P20" s="415">
        <f>SUM(P15:P17)</f>
        <v>-431624.99000000005</v>
      </c>
      <c r="Q20" s="415"/>
      <c r="S20" s="338"/>
      <c r="T20" s="333" t="s">
        <v>340</v>
      </c>
      <c r="U20" s="340"/>
      <c r="V20" s="340"/>
      <c r="W20" s="341"/>
    </row>
    <row r="21" spans="2:23" x14ac:dyDescent="0.25">
      <c r="C21" s="27"/>
      <c r="H21" s="27"/>
      <c r="I21" s="27"/>
      <c r="J21" s="27"/>
      <c r="K21" s="27"/>
      <c r="L21" s="27"/>
      <c r="M21" s="27"/>
      <c r="N21" s="27"/>
      <c r="O21" s="27"/>
      <c r="P21" s="27"/>
      <c r="Q21" s="27"/>
      <c r="S21" s="338"/>
      <c r="T21" s="333" t="s">
        <v>341</v>
      </c>
      <c r="U21" s="340"/>
      <c r="V21" s="340"/>
      <c r="W21" s="341"/>
    </row>
    <row r="22" spans="2:23" ht="15.75" thickBot="1" x14ac:dyDescent="0.3">
      <c r="B22" s="26" t="s">
        <v>476</v>
      </c>
      <c r="C22" s="289">
        <v>0</v>
      </c>
      <c r="D22" s="289">
        <v>4163565.33</v>
      </c>
      <c r="E22" s="289">
        <v>3915508.57</v>
      </c>
      <c r="F22" s="289"/>
      <c r="G22" s="289">
        <v>15675627.210000001</v>
      </c>
      <c r="H22" s="289">
        <v>13667644.539999999</v>
      </c>
      <c r="I22" s="289">
        <v>13400268.460000001</v>
      </c>
      <c r="J22" s="289">
        <f>J9-J20</f>
        <v>13140987.73</v>
      </c>
      <c r="K22" s="289">
        <f>K9-K20</f>
        <v>10937091.08</v>
      </c>
      <c r="L22" s="289">
        <f>L9-L20</f>
        <v>10736388.619999999</v>
      </c>
      <c r="M22" s="289">
        <f>P22</f>
        <v>11105517.779999999</v>
      </c>
      <c r="N22" s="289">
        <f>N9-N20</f>
        <v>9527469.120000001</v>
      </c>
      <c r="O22" s="289"/>
      <c r="P22" s="289">
        <f>P9-P15-P16</f>
        <v>11105517.779999999</v>
      </c>
      <c r="Q22" s="289"/>
      <c r="S22" s="348"/>
      <c r="T22" s="349"/>
      <c r="U22" s="350"/>
      <c r="V22" s="350"/>
      <c r="W22" s="351"/>
    </row>
    <row r="23" spans="2:23" x14ac:dyDescent="0.25">
      <c r="B23" s="26" t="s">
        <v>477</v>
      </c>
      <c r="C23" s="372">
        <v>0</v>
      </c>
      <c r="D23" s="372">
        <v>0.17710000000000001</v>
      </c>
      <c r="E23" s="372">
        <v>0.16650000000000001</v>
      </c>
      <c r="F23" s="372"/>
      <c r="G23" s="372">
        <v>0.67469999999999997</v>
      </c>
      <c r="H23" s="372">
        <v>0.58819999999999995</v>
      </c>
      <c r="I23" s="372">
        <v>0.57669999999999999</v>
      </c>
      <c r="J23" s="372">
        <v>0.56559999999999999</v>
      </c>
      <c r="K23" s="372">
        <v>0.47070000000000001</v>
      </c>
      <c r="L23" s="372">
        <v>0.46210000000000001</v>
      </c>
      <c r="M23" s="372">
        <v>0.47799999999999998</v>
      </c>
      <c r="N23" s="372">
        <v>0.41010000000000002</v>
      </c>
      <c r="O23" s="372"/>
      <c r="P23" s="372">
        <v>0.47799999999999998</v>
      </c>
      <c r="Q23" s="372"/>
      <c r="U23" s="26"/>
      <c r="V23" s="26"/>
    </row>
    <row r="24" spans="2:23" x14ac:dyDescent="0.25">
      <c r="B24" s="26" t="s">
        <v>656</v>
      </c>
      <c r="C24" s="27"/>
      <c r="D24" s="27" t="b">
        <f>ROUND(D22/D7,4)=D23</f>
        <v>1</v>
      </c>
      <c r="E24" s="27" t="b">
        <f>ROUND(E22/E7,4)=E23</f>
        <v>1</v>
      </c>
      <c r="F24" s="27"/>
      <c r="G24" s="27" t="b">
        <f t="shared" ref="G24:P24" si="2">ROUND(G22/G7,4)=G23</f>
        <v>1</v>
      </c>
      <c r="H24" s="27" t="b">
        <f t="shared" si="2"/>
        <v>1</v>
      </c>
      <c r="I24" s="27" t="b">
        <f t="shared" si="2"/>
        <v>1</v>
      </c>
      <c r="J24" s="27" t="b">
        <f t="shared" si="2"/>
        <v>1</v>
      </c>
      <c r="K24" s="27" t="b">
        <f t="shared" si="2"/>
        <v>1</v>
      </c>
      <c r="L24" s="27" t="b">
        <f t="shared" si="2"/>
        <v>1</v>
      </c>
      <c r="M24" s="27" t="b">
        <f t="shared" ref="M24:N24" si="3">ROUND(M22/M7,4)=M23</f>
        <v>1</v>
      </c>
      <c r="N24" s="27" t="b">
        <f t="shared" si="3"/>
        <v>1</v>
      </c>
      <c r="O24" s="27"/>
      <c r="P24" s="27" t="b">
        <f t="shared" si="2"/>
        <v>1</v>
      </c>
      <c r="Q24" s="27"/>
      <c r="U24" s="26"/>
      <c r="V24" s="26"/>
    </row>
    <row r="25" spans="2:23" x14ac:dyDescent="0.25">
      <c r="B25" s="26" t="s">
        <v>547</v>
      </c>
      <c r="C25" s="27"/>
      <c r="G25" s="26">
        <v>1.0871999999999999</v>
      </c>
      <c r="H25" s="27">
        <v>1.0772999999999999</v>
      </c>
      <c r="I25" s="27">
        <v>1.08439</v>
      </c>
      <c r="J25" s="27">
        <v>1.1004</v>
      </c>
      <c r="K25" s="27">
        <v>1.0950599999999999</v>
      </c>
      <c r="L25" s="27">
        <v>1.0786899999999999</v>
      </c>
      <c r="M25" s="27">
        <v>1.0786899999999999</v>
      </c>
      <c r="N25" s="27">
        <v>1.0786899999999999</v>
      </c>
      <c r="O25" s="27"/>
      <c r="P25" s="27">
        <v>1.0743</v>
      </c>
      <c r="Q25" s="27"/>
    </row>
    <row r="26" spans="2:23" x14ac:dyDescent="0.25">
      <c r="B26" s="35"/>
      <c r="C26" s="27"/>
      <c r="G26" s="289">
        <f t="shared" ref="G26:P26" si="4">-G25*G20/1000000</f>
        <v>13.556950228943998</v>
      </c>
      <c r="H26" s="289">
        <f t="shared" si="4"/>
        <v>6.419025257399999E-2</v>
      </c>
      <c r="I26" s="289">
        <f t="shared" si="4"/>
        <v>-0.22532724156300002</v>
      </c>
      <c r="J26" s="289">
        <f t="shared" si="4"/>
        <v>-0.28531251529200047</v>
      </c>
      <c r="K26" s="289">
        <f t="shared" si="4"/>
        <v>-2.4133990655490001</v>
      </c>
      <c r="L26" s="289">
        <f t="shared" si="4"/>
        <v>-0.21649573657739998</v>
      </c>
      <c r="M26" s="289">
        <f t="shared" ref="M26:N26" si="5">-M25*M20/1000000</f>
        <v>0</v>
      </c>
      <c r="N26" s="289">
        <f t="shared" si="5"/>
        <v>-1.7022253090553998</v>
      </c>
      <c r="O26" s="289"/>
      <c r="P26" s="289">
        <f t="shared" si="4"/>
        <v>0.46369472675700008</v>
      </c>
      <c r="Q26" s="289"/>
    </row>
    <row r="28" spans="2:23" x14ac:dyDescent="0.25">
      <c r="T28" s="263"/>
    </row>
    <row r="29" spans="2:23" x14ac:dyDescent="0.25">
      <c r="T29" s="367"/>
    </row>
    <row r="30" spans="2:23" ht="15.75" thickBot="1" x14ac:dyDescent="0.3">
      <c r="B30" s="26" t="s">
        <v>544</v>
      </c>
      <c r="T30" s="263"/>
    </row>
    <row r="31" spans="2:23" x14ac:dyDescent="0.25">
      <c r="B31" s="284" t="s">
        <v>23</v>
      </c>
      <c r="C31" s="292"/>
      <c r="D31" s="285"/>
      <c r="E31" s="285"/>
      <c r="F31" s="285"/>
      <c r="G31" s="285"/>
      <c r="H31" s="285"/>
      <c r="I31" s="285"/>
      <c r="J31" s="285"/>
      <c r="K31" s="285"/>
      <c r="L31" s="285"/>
      <c r="M31" s="285"/>
      <c r="N31" s="285"/>
      <c r="O31" s="285"/>
      <c r="P31" s="290"/>
      <c r="Q31" s="536"/>
    </row>
    <row r="32" spans="2:23" x14ac:dyDescent="0.25">
      <c r="B32" s="81"/>
      <c r="C32" s="27"/>
      <c r="D32" s="27"/>
      <c r="E32" s="27"/>
      <c r="F32" s="27"/>
      <c r="G32" s="27"/>
      <c r="H32" s="27"/>
      <c r="I32" s="27"/>
      <c r="J32" s="27"/>
      <c r="K32" s="27"/>
      <c r="L32" s="27"/>
      <c r="M32" s="27"/>
      <c r="N32" s="27"/>
      <c r="O32" s="27"/>
      <c r="P32" s="82"/>
    </row>
    <row r="33" spans="2:23" x14ac:dyDescent="0.25">
      <c r="B33" s="358" t="s">
        <v>133</v>
      </c>
      <c r="C33" s="352" t="s">
        <v>322</v>
      </c>
      <c r="D33" s="352" t="s">
        <v>323</v>
      </c>
      <c r="E33" s="352" t="s">
        <v>402</v>
      </c>
      <c r="F33" s="352" t="s">
        <v>439</v>
      </c>
      <c r="G33" s="352" t="s">
        <v>449</v>
      </c>
      <c r="H33" s="352" t="s">
        <v>661</v>
      </c>
      <c r="I33" s="352" t="s">
        <v>701</v>
      </c>
      <c r="J33" s="352"/>
      <c r="K33" s="352"/>
      <c r="L33" s="352"/>
      <c r="M33" s="352"/>
      <c r="N33" s="352"/>
      <c r="O33" s="352"/>
      <c r="P33" s="356"/>
      <c r="Q33" s="537"/>
    </row>
    <row r="34" spans="2:23" x14ac:dyDescent="0.25">
      <c r="B34" s="81" t="s">
        <v>324</v>
      </c>
      <c r="C34" s="386">
        <v>23234462</v>
      </c>
      <c r="D34" s="386">
        <v>23234462</v>
      </c>
      <c r="E34" s="386">
        <v>23234462</v>
      </c>
      <c r="F34" s="386">
        <v>23234462</v>
      </c>
      <c r="G34" s="386">
        <v>23234462</v>
      </c>
      <c r="H34" s="386">
        <f>G34</f>
        <v>23234462</v>
      </c>
      <c r="I34" s="386">
        <f>H34</f>
        <v>23234462</v>
      </c>
      <c r="J34" s="386"/>
      <c r="K34" s="386"/>
      <c r="L34" s="386"/>
      <c r="M34" s="386"/>
      <c r="N34" s="386"/>
      <c r="O34" s="386"/>
      <c r="P34" s="356" t="s">
        <v>333</v>
      </c>
      <c r="Q34" s="537"/>
      <c r="U34" s="26"/>
      <c r="V34" s="26"/>
      <c r="W34" s="27"/>
    </row>
    <row r="35" spans="2:23" x14ac:dyDescent="0.25">
      <c r="B35" s="81" t="s">
        <v>325</v>
      </c>
      <c r="C35" s="386">
        <v>19178323</v>
      </c>
      <c r="D35" s="386">
        <v>9436936</v>
      </c>
      <c r="E35" s="386">
        <v>9626402</v>
      </c>
      <c r="F35" s="386">
        <v>9595097</v>
      </c>
      <c r="G35" s="386">
        <v>9834193</v>
      </c>
      <c r="H35" s="386">
        <v>12498073</v>
      </c>
      <c r="I35" s="386">
        <v>12128944</v>
      </c>
      <c r="J35" s="386"/>
      <c r="K35" s="386"/>
      <c r="L35" s="386"/>
      <c r="M35" s="386"/>
      <c r="N35" s="386"/>
      <c r="O35" s="386"/>
      <c r="P35" s="356"/>
      <c r="Q35" s="537"/>
    </row>
    <row r="36" spans="2:23" x14ac:dyDescent="0.25">
      <c r="B36" s="81" t="s">
        <v>326</v>
      </c>
      <c r="C36" s="387">
        <f t="shared" ref="C36:H36" si="6">C34-C35</f>
        <v>4056139</v>
      </c>
      <c r="D36" s="387">
        <f t="shared" si="6"/>
        <v>13797526</v>
      </c>
      <c r="E36" s="387">
        <f t="shared" si="6"/>
        <v>13608060</v>
      </c>
      <c r="F36" s="387">
        <f t="shared" si="6"/>
        <v>13639365</v>
      </c>
      <c r="G36" s="387">
        <f t="shared" si="6"/>
        <v>13400269</v>
      </c>
      <c r="H36" s="387">
        <f t="shared" si="6"/>
        <v>10736389</v>
      </c>
      <c r="I36" s="387">
        <f t="shared" ref="I36" si="7">I34-I35</f>
        <v>11105518</v>
      </c>
      <c r="J36" s="387"/>
      <c r="K36" s="387"/>
      <c r="L36" s="387"/>
      <c r="M36" s="387"/>
      <c r="N36" s="387"/>
      <c r="O36" s="387"/>
      <c r="P36" s="356"/>
      <c r="Q36" s="537"/>
    </row>
    <row r="37" spans="2:23" x14ac:dyDescent="0.25">
      <c r="B37" s="81" t="s">
        <v>327</v>
      </c>
      <c r="C37" s="387">
        <v>13103567</v>
      </c>
      <c r="D37" s="387">
        <v>3803379</v>
      </c>
      <c r="E37" s="387"/>
      <c r="F37" s="387"/>
      <c r="G37" s="387">
        <f>G38-G35</f>
        <v>2548651</v>
      </c>
      <c r="H37" s="387">
        <f>H38-H35</f>
        <v>5930326</v>
      </c>
      <c r="I37" s="387">
        <f>I38-I35</f>
        <v>5735230</v>
      </c>
      <c r="J37" s="387"/>
      <c r="K37" s="387"/>
      <c r="L37" s="387"/>
      <c r="M37" s="387"/>
      <c r="N37" s="387"/>
      <c r="O37" s="387"/>
      <c r="P37" s="356"/>
      <c r="Q37" s="537"/>
    </row>
    <row r="38" spans="2:23" x14ac:dyDescent="0.25">
      <c r="B38" s="359" t="s">
        <v>251</v>
      </c>
      <c r="C38" s="388">
        <v>32325017</v>
      </c>
      <c r="D38" s="388">
        <v>12031777</v>
      </c>
      <c r="E38" s="388">
        <v>12148021</v>
      </c>
      <c r="F38" s="388">
        <v>12218930</v>
      </c>
      <c r="G38" s="388">
        <v>12382844</v>
      </c>
      <c r="H38" s="388">
        <v>18428399</v>
      </c>
      <c r="I38" s="388">
        <v>17864174</v>
      </c>
      <c r="J38" s="388"/>
      <c r="K38" s="388"/>
      <c r="L38" s="388"/>
      <c r="M38" s="387"/>
      <c r="N38" s="387"/>
      <c r="O38" s="387"/>
      <c r="P38" s="356" t="s">
        <v>333</v>
      </c>
      <c r="Q38" s="537"/>
    </row>
    <row r="39" spans="2:23" x14ac:dyDescent="0.25">
      <c r="B39" s="81" t="s">
        <v>328</v>
      </c>
      <c r="C39" s="27"/>
      <c r="D39" s="387">
        <f>C35-D35</f>
        <v>9741387</v>
      </c>
      <c r="E39" s="387"/>
      <c r="F39" s="387"/>
      <c r="G39" s="387"/>
      <c r="H39" s="387"/>
      <c r="I39" s="387"/>
      <c r="J39" s="387"/>
      <c r="K39" s="387"/>
      <c r="L39" s="387"/>
      <c r="M39" s="387"/>
      <c r="N39" s="387"/>
      <c r="O39" s="387"/>
      <c r="P39" s="356" t="s">
        <v>331</v>
      </c>
      <c r="Q39" s="537"/>
    </row>
    <row r="40" spans="2:23" x14ac:dyDescent="0.25">
      <c r="B40" s="81" t="s">
        <v>329</v>
      </c>
      <c r="C40" s="27"/>
      <c r="D40" s="387">
        <f>D42-D39</f>
        <v>2728214.0199999996</v>
      </c>
      <c r="E40" s="387"/>
      <c r="F40" s="387"/>
      <c r="G40" s="387"/>
      <c r="H40" s="387"/>
      <c r="I40" s="387"/>
      <c r="J40" s="387"/>
      <c r="K40" s="387"/>
      <c r="L40" s="387"/>
      <c r="M40" s="387"/>
      <c r="N40" s="387"/>
      <c r="O40" s="387"/>
      <c r="P40" s="356" t="s">
        <v>331</v>
      </c>
      <c r="Q40" s="537"/>
    </row>
    <row r="41" spans="2:23" x14ac:dyDescent="0.25">
      <c r="B41" s="81"/>
      <c r="C41" s="27"/>
      <c r="D41" s="387"/>
      <c r="E41" s="387"/>
      <c r="F41" s="387"/>
      <c r="G41" s="387"/>
      <c r="H41" s="387"/>
      <c r="I41" s="387"/>
      <c r="J41" s="387"/>
      <c r="K41" s="387"/>
      <c r="L41" s="387"/>
      <c r="M41" s="387"/>
      <c r="N41" s="387"/>
      <c r="O41" s="387"/>
      <c r="P41" s="356"/>
      <c r="Q41" s="537"/>
    </row>
    <row r="42" spans="2:23" x14ac:dyDescent="0.25">
      <c r="B42" s="360" t="s">
        <v>330</v>
      </c>
      <c r="C42" s="388"/>
      <c r="D42" s="389">
        <v>12469601.02</v>
      </c>
      <c r="E42" s="389"/>
      <c r="F42" s="389"/>
      <c r="G42" s="389"/>
      <c r="H42" s="389"/>
      <c r="I42" s="389"/>
      <c r="J42" s="389"/>
      <c r="K42" s="389"/>
      <c r="L42" s="389"/>
      <c r="M42" s="386"/>
      <c r="N42" s="386"/>
      <c r="O42" s="386"/>
      <c r="P42" s="356" t="s">
        <v>332</v>
      </c>
      <c r="Q42" s="537"/>
    </row>
    <row r="43" spans="2:23" x14ac:dyDescent="0.25">
      <c r="B43" s="359" t="s">
        <v>50</v>
      </c>
      <c r="C43" s="388"/>
      <c r="D43" s="388">
        <f>15675627.21</f>
        <v>15675627.210000001</v>
      </c>
      <c r="E43" s="388"/>
      <c r="F43" s="388"/>
      <c r="G43" s="388">
        <f>I22</f>
        <v>13400268.460000001</v>
      </c>
      <c r="H43" s="388"/>
      <c r="I43" s="388"/>
      <c r="J43" s="388"/>
      <c r="K43" s="388"/>
      <c r="L43" s="388"/>
      <c r="M43" s="387"/>
      <c r="N43" s="387"/>
      <c r="O43" s="387"/>
      <c r="P43" s="356" t="s">
        <v>333</v>
      </c>
      <c r="Q43" s="537"/>
    </row>
    <row r="44" spans="2:23" x14ac:dyDescent="0.25">
      <c r="B44" s="81"/>
      <c r="C44" s="27"/>
      <c r="D44" s="27"/>
      <c r="E44" s="27"/>
      <c r="F44" s="27"/>
      <c r="G44" s="27"/>
      <c r="H44" s="27"/>
      <c r="I44" s="27"/>
      <c r="J44" s="27"/>
      <c r="K44" s="27"/>
      <c r="L44" s="27"/>
      <c r="M44" s="27"/>
      <c r="N44" s="27"/>
      <c r="O44" s="27"/>
      <c r="P44" s="357"/>
      <c r="Q44" s="538"/>
    </row>
    <row r="45" spans="2:23" ht="15.75" thickBot="1" x14ac:dyDescent="0.3">
      <c r="B45" s="86"/>
      <c r="C45" s="353"/>
      <c r="D45" s="354"/>
      <c r="E45" s="354"/>
      <c r="F45" s="354"/>
      <c r="G45" s="354"/>
      <c r="H45" s="354"/>
      <c r="I45" s="354"/>
      <c r="J45" s="354"/>
      <c r="K45" s="354"/>
      <c r="L45" s="354"/>
      <c r="M45" s="354"/>
      <c r="N45" s="354"/>
      <c r="O45" s="354"/>
      <c r="P45" s="90"/>
    </row>
    <row r="50" spans="1:23" x14ac:dyDescent="0.25">
      <c r="A50" s="27"/>
      <c r="U50" s="26"/>
      <c r="V50" s="26"/>
      <c r="W50" s="27"/>
    </row>
    <row r="51" spans="1:23" x14ac:dyDescent="0.25">
      <c r="B51" s="27"/>
      <c r="C51" s="27"/>
      <c r="D51" s="27"/>
      <c r="E51" s="27"/>
      <c r="U51" s="26"/>
      <c r="V51" s="26"/>
      <c r="W51" s="27"/>
    </row>
    <row r="52" spans="1:23" x14ac:dyDescent="0.25">
      <c r="B52" s="27"/>
      <c r="C52" s="27"/>
      <c r="D52" s="27"/>
      <c r="E52" s="27"/>
      <c r="U52" s="26"/>
      <c r="V52" s="26"/>
      <c r="W52" s="27"/>
    </row>
    <row r="53" spans="1:23" x14ac:dyDescent="0.25">
      <c r="B53" s="27"/>
      <c r="C53" s="27"/>
      <c r="D53" s="27"/>
      <c r="E53" s="27"/>
      <c r="U53" s="26"/>
      <c r="V53" s="26"/>
      <c r="W53" s="27"/>
    </row>
  </sheetData>
  <phoneticPr fontId="80" type="noConversion"/>
  <pageMargins left="0.7" right="0.7" top="0.75" bottom="0.75" header="0.3" footer="0.3"/>
  <pageSetup paperSize="9" orientation="portrait" verticalDpi="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8" customWidth="1"/>
    <col min="4" max="4" width="9.5703125" style="68" customWidth="1"/>
    <col min="5" max="5" width="22.7109375" style="68" customWidth="1"/>
    <col min="6" max="6" width="21.42578125" style="68" customWidth="1"/>
    <col min="7" max="8" width="16.42578125" style="58" customWidth="1"/>
    <col min="9" max="10" width="14" style="58" customWidth="1"/>
    <col min="11" max="12" width="9.140625" style="58"/>
    <col min="13" max="13" width="19" style="175" customWidth="1"/>
    <col min="14" max="17" width="16.140625" style="58" customWidth="1"/>
    <col min="18" max="16384" width="9.140625" style="58"/>
  </cols>
  <sheetData>
    <row r="2" spans="2:18" ht="15" x14ac:dyDescent="0.25">
      <c r="M2" s="25"/>
    </row>
    <row r="3" spans="2:18" s="170" customFormat="1" ht="29.25" customHeight="1" x14ac:dyDescent="0.25">
      <c r="B3" s="173" t="s">
        <v>5</v>
      </c>
      <c r="C3" s="174" t="s">
        <v>46</v>
      </c>
      <c r="D3" s="174" t="s">
        <v>153</v>
      </c>
      <c r="E3" s="174" t="s">
        <v>141</v>
      </c>
      <c r="F3" s="174" t="s">
        <v>80</v>
      </c>
      <c r="G3" s="174" t="s">
        <v>32</v>
      </c>
      <c r="H3" s="174" t="s">
        <v>2</v>
      </c>
      <c r="I3" s="174" t="s">
        <v>50</v>
      </c>
      <c r="J3" s="174" t="s">
        <v>33</v>
      </c>
      <c r="K3" s="174" t="s">
        <v>27</v>
      </c>
      <c r="M3" s="25"/>
      <c r="N3" s="58"/>
      <c r="O3" s="58"/>
      <c r="P3" s="58"/>
      <c r="Q3" s="58"/>
      <c r="R3" s="58"/>
    </row>
    <row r="4" spans="2:18" ht="15" x14ac:dyDescent="0.25">
      <c r="B4" s="53" t="s">
        <v>47</v>
      </c>
      <c r="C4" s="52">
        <v>2019</v>
      </c>
      <c r="D4" s="52" t="s">
        <v>152</v>
      </c>
      <c r="E4" s="52" t="s">
        <v>203</v>
      </c>
      <c r="F4" s="52" t="s">
        <v>193</v>
      </c>
      <c r="G4" s="172">
        <v>65</v>
      </c>
      <c r="H4" s="172">
        <v>65</v>
      </c>
      <c r="I4" s="172">
        <v>0</v>
      </c>
      <c r="J4" s="172">
        <v>0</v>
      </c>
      <c r="K4" s="172">
        <v>0</v>
      </c>
      <c r="M4" s="25"/>
    </row>
    <row r="5" spans="2:18" x14ac:dyDescent="0.2">
      <c r="B5" s="53" t="s">
        <v>0</v>
      </c>
      <c r="C5" s="52">
        <v>2019</v>
      </c>
      <c r="D5" s="52" t="s">
        <v>152</v>
      </c>
      <c r="E5" s="52" t="s">
        <v>197</v>
      </c>
      <c r="F5" s="52" t="s">
        <v>193</v>
      </c>
      <c r="G5" s="172">
        <v>8</v>
      </c>
      <c r="H5" s="172">
        <v>8</v>
      </c>
      <c r="I5" s="172">
        <v>0</v>
      </c>
      <c r="J5" s="172">
        <v>0</v>
      </c>
      <c r="K5" s="172">
        <v>3.1</v>
      </c>
      <c r="M5" s="52" t="s">
        <v>193</v>
      </c>
      <c r="N5" s="58">
        <f ca="1">SUMIF(F3:K26,$M$5,G3:G26)</f>
        <v>2578.8539820000001</v>
      </c>
    </row>
    <row r="6" spans="2:18" ht="15" x14ac:dyDescent="0.25">
      <c r="B6" s="53" t="s">
        <v>38</v>
      </c>
      <c r="C6" s="52">
        <v>2019</v>
      </c>
      <c r="D6" s="52" t="s">
        <v>152</v>
      </c>
      <c r="E6" s="52" t="s">
        <v>209</v>
      </c>
      <c r="F6" s="52" t="s">
        <v>192</v>
      </c>
      <c r="G6" s="172">
        <v>10</v>
      </c>
      <c r="H6" s="172">
        <v>10</v>
      </c>
      <c r="I6" s="172">
        <v>0</v>
      </c>
      <c r="J6" s="172">
        <v>0</v>
      </c>
      <c r="K6" s="172">
        <v>78.082229999999996</v>
      </c>
      <c r="M6" s="25"/>
    </row>
    <row r="7" spans="2:18" ht="15" x14ac:dyDescent="0.25">
      <c r="B7" s="53" t="s">
        <v>39</v>
      </c>
      <c r="C7" s="52">
        <v>2020</v>
      </c>
      <c r="D7" s="52" t="s">
        <v>152</v>
      </c>
      <c r="E7" s="52" t="s">
        <v>198</v>
      </c>
      <c r="F7" s="52" t="s">
        <v>195</v>
      </c>
      <c r="G7" s="172">
        <v>2.5</v>
      </c>
      <c r="H7" s="172">
        <v>2.5</v>
      </c>
      <c r="I7" s="172">
        <v>0</v>
      </c>
      <c r="J7" s="172">
        <v>5</v>
      </c>
      <c r="K7" s="172">
        <v>0</v>
      </c>
      <c r="M7" s="25"/>
    </row>
    <row r="8" spans="2:18" ht="15" x14ac:dyDescent="0.25">
      <c r="B8" s="53" t="s">
        <v>37</v>
      </c>
      <c r="C8" s="52">
        <v>2020</v>
      </c>
      <c r="D8" s="52" t="s">
        <v>152</v>
      </c>
      <c r="E8" s="52" t="s">
        <v>204</v>
      </c>
      <c r="F8" s="52" t="s">
        <v>192</v>
      </c>
      <c r="G8" s="172">
        <v>90</v>
      </c>
      <c r="H8" s="172">
        <v>90</v>
      </c>
      <c r="I8" s="172">
        <v>0</v>
      </c>
      <c r="J8" s="172">
        <v>0</v>
      </c>
      <c r="K8" s="172">
        <v>91.001540300000002</v>
      </c>
      <c r="M8" s="25"/>
    </row>
    <row r="9" spans="2:18" ht="15" x14ac:dyDescent="0.25">
      <c r="B9" s="53" t="s">
        <v>87</v>
      </c>
      <c r="C9" s="52">
        <v>2020</v>
      </c>
      <c r="D9" s="52" t="s">
        <v>152</v>
      </c>
      <c r="E9" s="52" t="s">
        <v>207</v>
      </c>
      <c r="F9" s="52" t="s">
        <v>196</v>
      </c>
      <c r="G9" s="172">
        <v>141.4702596743665</v>
      </c>
      <c r="H9" s="172">
        <v>141.4702596743665</v>
      </c>
      <c r="I9" s="172">
        <v>0</v>
      </c>
      <c r="J9" s="172">
        <v>0</v>
      </c>
      <c r="K9" s="172">
        <v>149.58080812799997</v>
      </c>
      <c r="M9" s="25"/>
    </row>
    <row r="10" spans="2:18" ht="15" x14ac:dyDescent="0.25">
      <c r="B10" s="53" t="s">
        <v>9</v>
      </c>
      <c r="C10" s="52">
        <v>2020</v>
      </c>
      <c r="D10" s="52" t="s">
        <v>152</v>
      </c>
      <c r="E10" s="52" t="s">
        <v>199</v>
      </c>
      <c r="F10" s="52" t="s">
        <v>193</v>
      </c>
      <c r="G10" s="172">
        <v>60</v>
      </c>
      <c r="H10" s="172">
        <v>60</v>
      </c>
      <c r="I10" s="172">
        <v>0</v>
      </c>
      <c r="J10" s="172">
        <v>0</v>
      </c>
      <c r="K10" s="172">
        <v>136.63999999999999</v>
      </c>
      <c r="M10" s="25"/>
    </row>
    <row r="11" spans="2:18" ht="15" x14ac:dyDescent="0.25">
      <c r="B11" s="53" t="s">
        <v>18</v>
      </c>
      <c r="C11" s="52">
        <v>2021</v>
      </c>
      <c r="D11" s="52" t="s">
        <v>152</v>
      </c>
      <c r="E11" s="52" t="s">
        <v>200</v>
      </c>
      <c r="F11" s="52" t="s">
        <v>195</v>
      </c>
      <c r="G11" s="172">
        <v>20</v>
      </c>
      <c r="H11" s="172">
        <v>20</v>
      </c>
      <c r="I11" s="172">
        <v>0</v>
      </c>
      <c r="J11" s="172">
        <v>0</v>
      </c>
      <c r="K11" s="172">
        <v>20</v>
      </c>
      <c r="M11" s="25"/>
    </row>
    <row r="12" spans="2:18" ht="15" x14ac:dyDescent="0.25">
      <c r="B12" s="53" t="s">
        <v>40</v>
      </c>
      <c r="C12" s="52">
        <v>2021</v>
      </c>
      <c r="D12" s="52" t="s">
        <v>152</v>
      </c>
      <c r="E12" s="52" t="s">
        <v>201</v>
      </c>
      <c r="F12" s="52" t="s">
        <v>192</v>
      </c>
      <c r="G12" s="172">
        <v>40</v>
      </c>
      <c r="H12" s="172">
        <v>40</v>
      </c>
      <c r="I12" s="172">
        <v>0</v>
      </c>
      <c r="J12" s="172">
        <v>0</v>
      </c>
      <c r="K12" s="172">
        <v>39.999983359999995</v>
      </c>
      <c r="M12" s="25"/>
    </row>
    <row r="13" spans="2:18" ht="15" x14ac:dyDescent="0.25">
      <c r="B13" s="53" t="s">
        <v>41</v>
      </c>
      <c r="C13" s="52">
        <v>2021</v>
      </c>
      <c r="D13" s="52" t="s">
        <v>152</v>
      </c>
      <c r="E13" s="52" t="s">
        <v>208</v>
      </c>
      <c r="F13" s="52" t="s">
        <v>192</v>
      </c>
      <c r="G13" s="172">
        <v>3</v>
      </c>
      <c r="H13" s="172">
        <v>3</v>
      </c>
      <c r="I13" s="172">
        <v>0</v>
      </c>
      <c r="J13" s="172">
        <v>0</v>
      </c>
      <c r="K13" s="172">
        <v>3</v>
      </c>
      <c r="M13" s="25"/>
    </row>
    <row r="14" spans="2:18" ht="15" x14ac:dyDescent="0.25">
      <c r="B14" s="53" t="s">
        <v>42</v>
      </c>
      <c r="C14" s="52">
        <v>2021</v>
      </c>
      <c r="D14" s="52" t="s">
        <v>152</v>
      </c>
      <c r="E14" s="52" t="s">
        <v>209</v>
      </c>
      <c r="F14" s="52" t="s">
        <v>196</v>
      </c>
      <c r="G14" s="172">
        <v>5.0278211945578235</v>
      </c>
      <c r="H14" s="172">
        <v>5.0278211945578235</v>
      </c>
      <c r="I14" s="172">
        <v>0</v>
      </c>
      <c r="J14" s="172">
        <v>0</v>
      </c>
      <c r="K14" s="172">
        <v>5.0237201984774336</v>
      </c>
      <c r="M14" s="25"/>
    </row>
    <row r="15" spans="2:18" ht="15" x14ac:dyDescent="0.25">
      <c r="B15" s="53" t="s">
        <v>70</v>
      </c>
      <c r="C15" s="52">
        <v>2022</v>
      </c>
      <c r="D15" s="52" t="s">
        <v>152</v>
      </c>
      <c r="E15" s="52" t="s">
        <v>205</v>
      </c>
      <c r="F15" s="52" t="s">
        <v>193</v>
      </c>
      <c r="G15" s="172">
        <v>493.5</v>
      </c>
      <c r="H15" s="172">
        <v>493.5</v>
      </c>
      <c r="I15" s="172">
        <v>0</v>
      </c>
      <c r="J15" s="172">
        <v>0</v>
      </c>
      <c r="K15" s="172">
        <v>493.5</v>
      </c>
      <c r="M15" s="25"/>
    </row>
    <row r="16" spans="2:18" ht="15" x14ac:dyDescent="0.25">
      <c r="B16" s="53" t="s">
        <v>19</v>
      </c>
      <c r="C16" s="52">
        <v>2022</v>
      </c>
      <c r="D16" s="52" t="s">
        <v>152</v>
      </c>
      <c r="E16" s="52" t="s">
        <v>206</v>
      </c>
      <c r="F16" s="52" t="s">
        <v>194</v>
      </c>
      <c r="G16" s="172">
        <v>300</v>
      </c>
      <c r="H16" s="172">
        <v>300</v>
      </c>
      <c r="I16" s="172">
        <v>0</v>
      </c>
      <c r="J16" s="172">
        <v>0</v>
      </c>
      <c r="K16" s="172">
        <v>300</v>
      </c>
      <c r="M16" s="25"/>
    </row>
    <row r="17" spans="2:13" ht="15" x14ac:dyDescent="0.25">
      <c r="B17" s="53" t="s">
        <v>88</v>
      </c>
      <c r="C17" s="52">
        <v>2022</v>
      </c>
      <c r="D17" s="52" t="s">
        <v>152</v>
      </c>
      <c r="E17" s="52" t="s">
        <v>207</v>
      </c>
      <c r="F17" s="52" t="s">
        <v>192</v>
      </c>
      <c r="G17" s="172">
        <v>25</v>
      </c>
      <c r="H17" s="172">
        <v>12.5</v>
      </c>
      <c r="I17" s="172">
        <v>12.5</v>
      </c>
      <c r="J17" s="172">
        <v>0</v>
      </c>
      <c r="K17" s="172">
        <v>-0.5557849000000008</v>
      </c>
      <c r="M17" s="25"/>
    </row>
    <row r="18" spans="2:13" ht="15" x14ac:dyDescent="0.25">
      <c r="B18" s="53" t="s">
        <v>35</v>
      </c>
      <c r="C18" s="52">
        <v>2022</v>
      </c>
      <c r="D18" s="52" t="s">
        <v>152</v>
      </c>
      <c r="E18" s="52" t="s">
        <v>202</v>
      </c>
      <c r="F18" s="52" t="s">
        <v>193</v>
      </c>
      <c r="G18" s="172">
        <v>1600</v>
      </c>
      <c r="H18" s="172">
        <v>800</v>
      </c>
      <c r="I18" s="172">
        <v>800</v>
      </c>
      <c r="J18" s="172">
        <v>0</v>
      </c>
      <c r="K18" s="172">
        <f>1075.57839098788*0.8</f>
        <v>860.46271279030407</v>
      </c>
      <c r="M18" s="25"/>
    </row>
    <row r="19" spans="2:13" ht="15" x14ac:dyDescent="0.25">
      <c r="B19" s="53" t="s">
        <v>48</v>
      </c>
      <c r="C19" s="52">
        <v>2019</v>
      </c>
      <c r="D19" s="52" t="s">
        <v>43</v>
      </c>
      <c r="E19" s="52" t="s">
        <v>210</v>
      </c>
      <c r="F19" s="52" t="s">
        <v>192</v>
      </c>
      <c r="G19" s="172">
        <v>8</v>
      </c>
      <c r="H19" s="172">
        <v>8</v>
      </c>
      <c r="I19" s="172">
        <v>0</v>
      </c>
      <c r="J19" s="172">
        <v>0</v>
      </c>
      <c r="K19" s="172">
        <v>0</v>
      </c>
      <c r="M19" s="25"/>
    </row>
    <row r="20" spans="2:13" ht="15" x14ac:dyDescent="0.25">
      <c r="B20" s="53" t="s">
        <v>0</v>
      </c>
      <c r="C20" s="52">
        <v>2021</v>
      </c>
      <c r="D20" s="52" t="s">
        <v>43</v>
      </c>
      <c r="E20" s="52" t="s">
        <v>197</v>
      </c>
      <c r="F20" s="52" t="s">
        <v>193</v>
      </c>
      <c r="G20" s="172">
        <v>2.3539819999999998</v>
      </c>
      <c r="H20" s="172">
        <v>2.3539819999999998</v>
      </c>
      <c r="I20" s="172">
        <v>0</v>
      </c>
      <c r="J20" s="172">
        <v>0</v>
      </c>
      <c r="K20" s="172">
        <v>2.3539819999999998</v>
      </c>
      <c r="M20" s="25"/>
    </row>
    <row r="21" spans="2:13" ht="15" x14ac:dyDescent="0.25">
      <c r="B21" s="53" t="s">
        <v>39</v>
      </c>
      <c r="C21" s="52">
        <v>2021</v>
      </c>
      <c r="D21" s="52" t="s">
        <v>43</v>
      </c>
      <c r="E21" s="52" t="s">
        <v>198</v>
      </c>
      <c r="F21" s="52" t="s">
        <v>195</v>
      </c>
      <c r="G21" s="172">
        <v>0.41176499999999999</v>
      </c>
      <c r="H21" s="172">
        <v>0.41176499999999999</v>
      </c>
      <c r="I21" s="172">
        <v>0</v>
      </c>
      <c r="J21" s="172">
        <v>0</v>
      </c>
      <c r="K21" s="172">
        <v>0.45643868219178102</v>
      </c>
      <c r="M21" s="25"/>
    </row>
    <row r="22" spans="2:13" ht="15" x14ac:dyDescent="0.25">
      <c r="B22" s="53" t="s">
        <v>118</v>
      </c>
      <c r="C22" s="52">
        <v>2020</v>
      </c>
      <c r="D22" s="52" t="s">
        <v>52</v>
      </c>
      <c r="E22" s="52" t="s">
        <v>52</v>
      </c>
      <c r="F22" s="52" t="s">
        <v>196</v>
      </c>
      <c r="G22" s="172">
        <v>25.557908058353444</v>
      </c>
      <c r="H22" s="172">
        <v>21.611950741200001</v>
      </c>
      <c r="I22" s="172">
        <v>3.945957317153443</v>
      </c>
      <c r="J22" s="172">
        <v>0</v>
      </c>
      <c r="K22" s="172">
        <v>31.952799285000001</v>
      </c>
      <c r="M22" s="25"/>
    </row>
    <row r="23" spans="2:13" ht="15" x14ac:dyDescent="0.25">
      <c r="B23" s="53" t="s">
        <v>101</v>
      </c>
      <c r="C23" s="52">
        <v>2020</v>
      </c>
      <c r="D23" s="52" t="s">
        <v>52</v>
      </c>
      <c r="E23" s="52" t="s">
        <v>52</v>
      </c>
      <c r="F23" s="52" t="s">
        <v>196</v>
      </c>
      <c r="G23" s="172">
        <v>2.7058823529411762</v>
      </c>
      <c r="H23" s="172">
        <v>2.7058823529411762</v>
      </c>
      <c r="I23" s="172">
        <v>0</v>
      </c>
      <c r="J23" s="172">
        <v>0</v>
      </c>
      <c r="K23" s="172">
        <v>2.7058823529411762</v>
      </c>
      <c r="M23" s="25"/>
    </row>
    <row r="24" spans="2:13" ht="15" x14ac:dyDescent="0.25">
      <c r="B24" s="53" t="s">
        <v>1</v>
      </c>
      <c r="C24" s="52">
        <v>2020</v>
      </c>
      <c r="D24" s="52" t="s">
        <v>52</v>
      </c>
      <c r="E24" s="52" t="s">
        <v>52</v>
      </c>
      <c r="F24" s="52" t="s">
        <v>193</v>
      </c>
      <c r="G24" s="172">
        <v>300</v>
      </c>
      <c r="H24" s="172">
        <v>83.214652999999984</v>
      </c>
      <c r="I24" s="172">
        <v>217.81330800000001</v>
      </c>
      <c r="J24" s="172">
        <v>1.0279609999999999</v>
      </c>
      <c r="K24" s="172">
        <v>79.319999999999993</v>
      </c>
      <c r="M24" s="25"/>
    </row>
    <row r="25" spans="2:13" ht="15" x14ac:dyDescent="0.25">
      <c r="B25" s="53" t="s">
        <v>12</v>
      </c>
      <c r="C25" s="52">
        <v>2020</v>
      </c>
      <c r="D25" s="52" t="s">
        <v>52</v>
      </c>
      <c r="E25" s="52" t="s">
        <v>52</v>
      </c>
      <c r="F25" s="52" t="s">
        <v>193</v>
      </c>
      <c r="G25" s="172">
        <v>50</v>
      </c>
      <c r="H25" s="172">
        <v>16.790246</v>
      </c>
      <c r="I25" s="172">
        <v>33.209754000000004</v>
      </c>
      <c r="J25" s="172">
        <v>0.44382834999999998</v>
      </c>
      <c r="K25" s="172">
        <v>15.875237</v>
      </c>
      <c r="M25" s="25"/>
    </row>
    <row r="26" spans="2:13" ht="15" x14ac:dyDescent="0.25">
      <c r="B26" s="53" t="s">
        <v>164</v>
      </c>
      <c r="C26" s="52">
        <v>2021</v>
      </c>
      <c r="D26" s="52" t="s">
        <v>52</v>
      </c>
      <c r="E26" s="52" t="s">
        <v>52</v>
      </c>
      <c r="F26" s="52" t="s">
        <v>192</v>
      </c>
      <c r="G26" s="172">
        <v>17.112500000000001</v>
      </c>
      <c r="H26" s="172">
        <v>10.6268625</v>
      </c>
      <c r="I26" s="172">
        <v>6.4856375000000011</v>
      </c>
      <c r="J26" s="172">
        <v>0</v>
      </c>
      <c r="K26" s="172">
        <v>10.343446999999999</v>
      </c>
      <c r="M26" s="25"/>
    </row>
    <row r="27" spans="2:13" ht="15" x14ac:dyDescent="0.25">
      <c r="G27" s="171"/>
      <c r="H27" s="171"/>
      <c r="I27" s="171"/>
      <c r="J27" s="171"/>
      <c r="M27" s="25"/>
    </row>
    <row r="28" spans="2:13" ht="15" x14ac:dyDescent="0.25">
      <c r="G28" s="176">
        <f>SUM(G4:G26)</f>
        <v>3269.6401182802188</v>
      </c>
      <c r="H28" s="176">
        <f>SUM(H4:H26)</f>
        <v>2196.7134224630649</v>
      </c>
      <c r="I28" s="176">
        <f>SUM(I4:I26)</f>
        <v>1073.9546568171534</v>
      </c>
      <c r="J28" s="176">
        <f t="shared" ref="J28:K28" si="0">SUM(J4:J26)</f>
        <v>6.4717893499999999</v>
      </c>
      <c r="K28" s="176">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1"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7" t="s">
        <v>188</v>
      </c>
      <c r="D2" s="158"/>
      <c r="E2" s="158"/>
      <c r="F2" s="162"/>
      <c r="G2" s="162"/>
      <c r="H2" s="162"/>
    </row>
    <row r="3" spans="2:16" s="58" customFormat="1" ht="15.75" thickBot="1" x14ac:dyDescent="0.3">
      <c r="C3" s="250"/>
      <c r="D3" s="127" t="s">
        <v>170</v>
      </c>
      <c r="E3" s="251">
        <f>'D1'!D2</f>
        <v>45565</v>
      </c>
      <c r="F3" s="250"/>
      <c r="G3" s="250"/>
      <c r="H3" s="158"/>
      <c r="I3" s="26"/>
      <c r="J3" s="26"/>
    </row>
    <row r="4" spans="2:16" x14ac:dyDescent="0.25">
      <c r="C4" s="159"/>
      <c r="D4" s="160"/>
    </row>
    <row r="5" spans="2:16" ht="15.75" thickBot="1" x14ac:dyDescent="0.3">
      <c r="C5" s="72"/>
    </row>
    <row r="6" spans="2:16" s="80" customFormat="1" x14ac:dyDescent="0.25">
      <c r="B6" s="26"/>
      <c r="C6" s="243"/>
      <c r="D6" s="244"/>
      <c r="E6" s="244"/>
      <c r="F6" s="75"/>
      <c r="G6" s="75"/>
      <c r="H6" s="245"/>
      <c r="I6" s="27"/>
      <c r="J6" s="273"/>
      <c r="K6" s="244"/>
      <c r="L6" s="244"/>
      <c r="M6" s="244"/>
      <c r="N6" s="244"/>
      <c r="O6" s="244"/>
      <c r="P6" s="274"/>
    </row>
    <row r="7" spans="2:16" ht="30" customHeight="1" x14ac:dyDescent="0.25">
      <c r="C7" s="246"/>
      <c r="D7" s="3" t="s">
        <v>51</v>
      </c>
      <c r="E7" s="1" t="s">
        <v>153</v>
      </c>
      <c r="F7" s="1" t="s">
        <v>187</v>
      </c>
      <c r="G7" s="1" t="s">
        <v>306</v>
      </c>
      <c r="H7" s="229"/>
      <c r="J7" s="247"/>
      <c r="K7" s="674" t="s">
        <v>307</v>
      </c>
      <c r="L7" s="674"/>
      <c r="N7" s="674" t="s">
        <v>308</v>
      </c>
      <c r="O7" s="674"/>
      <c r="P7" s="82"/>
    </row>
    <row r="8" spans="2:16" x14ac:dyDescent="0.25">
      <c r="C8" s="246"/>
      <c r="D8" s="4" t="s">
        <v>70</v>
      </c>
      <c r="E8" s="191" t="s">
        <v>152</v>
      </c>
      <c r="F8" s="17">
        <f ca="1">VLOOKUP(D8,'9. All deals (a)'!$C$6:$Q$49,13,0)</f>
        <v>-90.500956199999962</v>
      </c>
      <c r="G8" s="252">
        <v>0</v>
      </c>
      <c r="H8" s="229"/>
      <c r="J8" s="247"/>
      <c r="K8" s="4" t="s">
        <v>47</v>
      </c>
      <c r="L8" s="17">
        <f t="shared" ref="L8:L25" si="0">VLOOKUP(K8,$D$7:$G$33,4,0)</f>
        <v>-65</v>
      </c>
      <c r="N8" s="4" t="s">
        <v>35</v>
      </c>
      <c r="O8" s="17">
        <f t="shared" ref="O8:O15" si="1">VLOOKUP(N8,$D$7:$G$33,4,0)</f>
        <v>0</v>
      </c>
      <c r="P8" s="82"/>
    </row>
    <row r="9" spans="2:16" x14ac:dyDescent="0.25">
      <c r="C9" s="246"/>
      <c r="D9" s="4" t="s">
        <v>47</v>
      </c>
      <c r="E9" s="191" t="s">
        <v>152</v>
      </c>
      <c r="F9" s="17">
        <f ca="1">VLOOKUP(D9,'9. All deals (a)'!$C$6:$Q$49,13,0)</f>
        <v>-65</v>
      </c>
      <c r="G9" s="17">
        <v>-65</v>
      </c>
      <c r="H9" s="229"/>
      <c r="J9" s="247"/>
      <c r="K9" s="4" t="s">
        <v>9</v>
      </c>
      <c r="L9" s="17">
        <f t="shared" si="0"/>
        <v>-39.700000000000003</v>
      </c>
      <c r="N9" s="4" t="s">
        <v>19</v>
      </c>
      <c r="O9" s="17">
        <f t="shared" si="1"/>
        <v>0</v>
      </c>
      <c r="P9" s="82"/>
    </row>
    <row r="10" spans="2:16" x14ac:dyDescent="0.25">
      <c r="C10" s="246"/>
      <c r="D10" s="4" t="s">
        <v>88</v>
      </c>
      <c r="E10" s="191" t="s">
        <v>152</v>
      </c>
      <c r="F10" s="17">
        <f ca="1">VLOOKUP(D10,'9. All deals (a)'!$C$6:$Q$49,13,0)</f>
        <v>-21.009002795000001</v>
      </c>
      <c r="G10" s="252">
        <v>0</v>
      </c>
      <c r="H10" s="229"/>
      <c r="J10" s="247"/>
      <c r="K10" s="4" t="s">
        <v>48</v>
      </c>
      <c r="L10" s="17">
        <f t="shared" si="0"/>
        <v>-8</v>
      </c>
      <c r="N10" s="4" t="s">
        <v>88</v>
      </c>
      <c r="O10" s="17">
        <f t="shared" si="1"/>
        <v>0</v>
      </c>
      <c r="P10" s="82"/>
    </row>
    <row r="11" spans="2:16" x14ac:dyDescent="0.25">
      <c r="C11" s="246"/>
      <c r="D11" s="4" t="s">
        <v>48</v>
      </c>
      <c r="E11" s="191" t="s">
        <v>43</v>
      </c>
      <c r="F11" s="17">
        <f>VLOOKUP(D11,'9. All deals (a)'!$C$6:$Q$49,13,0)</f>
        <v>-8</v>
      </c>
      <c r="G11" s="17">
        <v>-8</v>
      </c>
      <c r="H11" s="229"/>
      <c r="J11" s="247"/>
      <c r="K11" s="4" t="s">
        <v>0</v>
      </c>
      <c r="L11" s="17">
        <f t="shared" si="0"/>
        <v>-6.3</v>
      </c>
      <c r="N11" s="4" t="s">
        <v>343</v>
      </c>
      <c r="O11" s="17">
        <f t="shared" si="1"/>
        <v>0</v>
      </c>
      <c r="P11" s="82"/>
    </row>
    <row r="12" spans="2:16" x14ac:dyDescent="0.25">
      <c r="C12" s="246"/>
      <c r="D12" s="4" t="s">
        <v>0</v>
      </c>
      <c r="E12" s="191" t="s">
        <v>152</v>
      </c>
      <c r="F12" s="17">
        <f ca="1">VLOOKUP(D12,'9. All deals (a)'!$C$6:$Q$49,13,0)</f>
        <v>-8</v>
      </c>
      <c r="G12" s="253">
        <v>-6.3</v>
      </c>
      <c r="H12" s="229"/>
      <c r="J12" s="247"/>
      <c r="K12" s="4" t="s">
        <v>37</v>
      </c>
      <c r="L12" s="17">
        <f t="shared" si="0"/>
        <v>0</v>
      </c>
      <c r="N12" s="4" t="s">
        <v>164</v>
      </c>
      <c r="O12" s="17">
        <f t="shared" si="1"/>
        <v>0</v>
      </c>
      <c r="P12" s="82"/>
    </row>
    <row r="13" spans="2:16" x14ac:dyDescent="0.25">
      <c r="C13" s="246"/>
      <c r="D13" s="4" t="s">
        <v>12</v>
      </c>
      <c r="E13" s="191" t="s">
        <v>52</v>
      </c>
      <c r="F13" s="17">
        <f ca="1">VLOOKUP(D13,'9. All deals (a)'!$C$6:$Q$49,13,0)</f>
        <v>0.44382835000000043</v>
      </c>
      <c r="G13" s="17">
        <v>3.5</v>
      </c>
      <c r="H13" s="229"/>
      <c r="J13" s="247"/>
      <c r="K13" s="4" t="s">
        <v>41</v>
      </c>
      <c r="L13" s="17">
        <f t="shared" si="0"/>
        <v>0</v>
      </c>
      <c r="N13" s="4" t="s">
        <v>118</v>
      </c>
      <c r="O13" s="17">
        <f t="shared" si="1"/>
        <v>1</v>
      </c>
      <c r="P13" s="82"/>
    </row>
    <row r="14" spans="2:16" x14ac:dyDescent="0.25">
      <c r="C14" s="246"/>
      <c r="D14" s="4" t="s">
        <v>164</v>
      </c>
      <c r="E14" s="191" t="s">
        <v>52</v>
      </c>
      <c r="F14" s="17">
        <f ca="1">VLOOKUP(D14,'9. All deals (a)'!$C$6:$Q$49,13,0)</f>
        <v>-3.1399255000000004</v>
      </c>
      <c r="G14" s="17">
        <v>0</v>
      </c>
      <c r="H14" s="229"/>
      <c r="J14" s="247"/>
      <c r="K14" s="4" t="s">
        <v>70</v>
      </c>
      <c r="L14" s="17">
        <f t="shared" si="0"/>
        <v>0</v>
      </c>
      <c r="N14" s="4" t="s">
        <v>12</v>
      </c>
      <c r="O14" s="17">
        <f t="shared" si="1"/>
        <v>3.5</v>
      </c>
      <c r="P14" s="82"/>
    </row>
    <row r="15" spans="2:16" x14ac:dyDescent="0.25">
      <c r="C15" s="246"/>
      <c r="D15" s="4" t="s">
        <v>1</v>
      </c>
      <c r="E15" s="191" t="s">
        <v>52</v>
      </c>
      <c r="F15" s="17">
        <f ca="1">VLOOKUP(D15,'9. All deals (a)'!$C$6:$Q$49,13,0)</f>
        <v>15.869967000000017</v>
      </c>
      <c r="G15" s="17">
        <v>6.6</v>
      </c>
      <c r="H15" s="229"/>
      <c r="J15" s="247"/>
      <c r="K15" s="4" t="s">
        <v>246</v>
      </c>
      <c r="L15" s="17">
        <f t="shared" si="0"/>
        <v>0</v>
      </c>
      <c r="N15" s="4" t="s">
        <v>1</v>
      </c>
      <c r="O15" s="17">
        <f t="shared" si="1"/>
        <v>6.6</v>
      </c>
      <c r="P15" s="82"/>
    </row>
    <row r="16" spans="2:16" x14ac:dyDescent="0.25">
      <c r="C16" s="246"/>
      <c r="D16" s="4" t="s">
        <v>248</v>
      </c>
      <c r="E16" s="191" t="s">
        <v>43</v>
      </c>
      <c r="F16" s="17">
        <f>VLOOKUP(D16,'9. All deals (a)'!$C$6:$Q$49,13,0)</f>
        <v>-2.3539819999999998</v>
      </c>
      <c r="G16" s="17">
        <v>0</v>
      </c>
      <c r="H16" s="229"/>
      <c r="J16" s="247"/>
      <c r="K16" s="4" t="s">
        <v>275</v>
      </c>
      <c r="L16" s="17">
        <f t="shared" si="0"/>
        <v>0</v>
      </c>
      <c r="M16" s="24"/>
      <c r="P16" s="82"/>
    </row>
    <row r="17" spans="2:16" x14ac:dyDescent="0.25">
      <c r="C17" s="246"/>
      <c r="D17" s="4" t="s">
        <v>18</v>
      </c>
      <c r="E17" s="191" t="s">
        <v>152</v>
      </c>
      <c r="F17" s="17">
        <f ca="1">VLOOKUP(D17,'9. All deals (a)'!$C$6:$Q$49,13,0)</f>
        <v>4.5</v>
      </c>
      <c r="G17" s="17">
        <v>0</v>
      </c>
      <c r="H17" s="229"/>
      <c r="J17" s="247"/>
      <c r="K17" s="4" t="s">
        <v>40</v>
      </c>
      <c r="L17" s="17">
        <f t="shared" si="0"/>
        <v>0</v>
      </c>
      <c r="M17" s="24"/>
      <c r="P17" s="82"/>
    </row>
    <row r="18" spans="2:16" x14ac:dyDescent="0.25">
      <c r="C18" s="246"/>
      <c r="D18" s="4" t="s">
        <v>246</v>
      </c>
      <c r="E18" s="191" t="s">
        <v>152</v>
      </c>
      <c r="F18" s="17">
        <f ca="1">VLOOKUP(D18,'9. All deals (a)'!$C$6:$Q$49,13,0)</f>
        <v>0</v>
      </c>
      <c r="G18" s="252">
        <v>0</v>
      </c>
      <c r="H18" s="229"/>
      <c r="J18" s="247"/>
      <c r="K18" s="4" t="s">
        <v>42</v>
      </c>
      <c r="L18" s="17">
        <f t="shared" si="0"/>
        <v>0</v>
      </c>
      <c r="P18" s="82"/>
    </row>
    <row r="19" spans="2:16" x14ac:dyDescent="0.25">
      <c r="C19" s="246"/>
      <c r="D19" s="4" t="s">
        <v>275</v>
      </c>
      <c r="E19" s="191" t="s">
        <v>152</v>
      </c>
      <c r="F19" s="17">
        <f ca="1">VLOOKUP(D19,'9. All deals (a)'!$C$6:$Q$49,13,0)</f>
        <v>5.8881215399999967</v>
      </c>
      <c r="G19" s="252">
        <v>0</v>
      </c>
      <c r="H19" s="229"/>
      <c r="J19" s="247"/>
      <c r="K19" s="4" t="s">
        <v>18</v>
      </c>
      <c r="L19" s="17">
        <f t="shared" si="0"/>
        <v>0</v>
      </c>
      <c r="M19" s="24"/>
      <c r="P19" s="82"/>
    </row>
    <row r="20" spans="2:16" x14ac:dyDescent="0.25">
      <c r="C20" s="246"/>
      <c r="D20" s="4" t="s">
        <v>40</v>
      </c>
      <c r="E20" s="191" t="s">
        <v>152</v>
      </c>
      <c r="F20" s="17">
        <f ca="1">VLOOKUP(D20,'9. All deals (a)'!$C$6:$Q$49,13,0)</f>
        <v>-18.864500099999994</v>
      </c>
      <c r="G20" s="17">
        <v>0</v>
      </c>
      <c r="H20" s="229"/>
      <c r="J20" s="247"/>
      <c r="K20" s="4" t="s">
        <v>240</v>
      </c>
      <c r="L20" s="17">
        <f t="shared" si="0"/>
        <v>0</v>
      </c>
      <c r="M20" s="24"/>
      <c r="P20" s="82"/>
    </row>
    <row r="21" spans="2:16" x14ac:dyDescent="0.25">
      <c r="C21" s="246"/>
      <c r="D21" s="4" t="s">
        <v>41</v>
      </c>
      <c r="E21" s="191" t="s">
        <v>152</v>
      </c>
      <c r="F21" s="17">
        <f ca="1">VLOOKUP(D21,'9. All deals (a)'!$C$6:$Q$49,13,0)</f>
        <v>0</v>
      </c>
      <c r="G21" s="17">
        <v>0</v>
      </c>
      <c r="H21" s="229"/>
      <c r="J21" s="247"/>
      <c r="K21" s="4" t="s">
        <v>248</v>
      </c>
      <c r="L21" s="17">
        <f t="shared" si="0"/>
        <v>0</v>
      </c>
      <c r="M21" s="24"/>
      <c r="P21" s="82"/>
    </row>
    <row r="22" spans="2:16" x14ac:dyDescent="0.25">
      <c r="C22" s="246"/>
      <c r="D22" s="4" t="s">
        <v>19</v>
      </c>
      <c r="E22" s="191" t="s">
        <v>152</v>
      </c>
      <c r="F22" s="17">
        <f ca="1">VLOOKUP(D22,'9. All deals (a)'!$C$6:$Q$49,13,0)</f>
        <v>-95.4</v>
      </c>
      <c r="G22" s="252">
        <v>0</v>
      </c>
      <c r="H22" s="229"/>
      <c r="J22" s="247"/>
      <c r="K22" s="4" t="s">
        <v>39</v>
      </c>
      <c r="L22" s="17">
        <f t="shared" si="0"/>
        <v>2.5</v>
      </c>
      <c r="M22" s="24"/>
      <c r="P22" s="82"/>
    </row>
    <row r="23" spans="2:16" x14ac:dyDescent="0.25">
      <c r="C23" s="246"/>
      <c r="D23" s="4" t="s">
        <v>344</v>
      </c>
      <c r="E23" s="191" t="s">
        <v>152</v>
      </c>
      <c r="F23" s="17">
        <f ca="1">VLOOKUP(D23,'9. All deals (a)'!$C$6:$Q$49,13,0)</f>
        <v>0</v>
      </c>
      <c r="G23" s="17">
        <v>69.099999999999994</v>
      </c>
      <c r="H23" s="229"/>
      <c r="J23" s="247"/>
      <c r="K23" s="4" t="s">
        <v>38</v>
      </c>
      <c r="L23" s="17">
        <f t="shared" si="0"/>
        <v>68.099999999999994</v>
      </c>
      <c r="M23" s="24"/>
      <c r="P23" s="82"/>
    </row>
    <row r="24" spans="2:16" x14ac:dyDescent="0.25">
      <c r="C24" s="246"/>
      <c r="D24" s="4" t="s">
        <v>240</v>
      </c>
      <c r="E24" s="191" t="s">
        <v>43</v>
      </c>
      <c r="F24" s="17">
        <f>VLOOKUP(D24,'9. All deals (a)'!$C$6:$Q$49,13,0)</f>
        <v>5.9019650000000035E-2</v>
      </c>
      <c r="G24" s="17">
        <v>0</v>
      </c>
      <c r="H24" s="229"/>
      <c r="J24" s="247"/>
      <c r="K24" s="4" t="s">
        <v>344</v>
      </c>
      <c r="L24" s="17">
        <f t="shared" si="0"/>
        <v>69.099999999999994</v>
      </c>
      <c r="M24" s="24"/>
      <c r="P24" s="82"/>
    </row>
    <row r="25" spans="2:16" x14ac:dyDescent="0.25">
      <c r="C25" s="246"/>
      <c r="D25" s="4" t="s">
        <v>343</v>
      </c>
      <c r="E25" s="191" t="s">
        <v>52</v>
      </c>
      <c r="F25" s="17">
        <f ca="1">VLOOKUP(D25,'9. All deals (a)'!$C$6:$Q$49,13,0)</f>
        <v>0.9672272628103058</v>
      </c>
      <c r="G25" s="17">
        <v>0</v>
      </c>
      <c r="H25" s="229"/>
      <c r="J25" s="247"/>
      <c r="K25" s="4" t="s">
        <v>87</v>
      </c>
      <c r="L25" s="17">
        <f t="shared" si="0"/>
        <v>275.8</v>
      </c>
      <c r="P25" s="82"/>
    </row>
    <row r="26" spans="2:16" x14ac:dyDescent="0.25">
      <c r="C26" s="246"/>
      <c r="D26" s="4" t="s">
        <v>37</v>
      </c>
      <c r="E26" s="191" t="s">
        <v>152</v>
      </c>
      <c r="F26" s="17">
        <f ca="1">VLOOKUP(D26,'9. All deals (a)'!$C$6:$Q$49,13,0)</f>
        <v>-44.499229849999992</v>
      </c>
      <c r="G26" s="17">
        <v>0</v>
      </c>
      <c r="H26" s="229"/>
      <c r="J26" s="247"/>
      <c r="P26" s="82"/>
    </row>
    <row r="27" spans="2:16" x14ac:dyDescent="0.25">
      <c r="C27" s="246"/>
      <c r="D27" s="4" t="s">
        <v>42</v>
      </c>
      <c r="E27" s="191" t="s">
        <v>152</v>
      </c>
      <c r="F27" s="17">
        <f ca="1">VLOOKUP(D27,'9. All deals (a)'!$C$6:$Q$49,13,0)</f>
        <v>2.9184723315225654</v>
      </c>
      <c r="G27" s="17">
        <v>0</v>
      </c>
      <c r="H27" s="229"/>
      <c r="J27" s="247"/>
      <c r="P27" s="82"/>
    </row>
    <row r="28" spans="2:16" x14ac:dyDescent="0.25">
      <c r="C28" s="246"/>
      <c r="D28" s="4" t="s">
        <v>87</v>
      </c>
      <c r="E28" s="191" t="s">
        <v>152</v>
      </c>
      <c r="F28" s="17">
        <f ca="1">VLOOKUP(D28,'9. All deals (a)'!$C$6:$Q$49,13,0)</f>
        <v>-47.137451056531319</v>
      </c>
      <c r="G28" s="17">
        <v>275.8</v>
      </c>
      <c r="H28" s="229"/>
      <c r="J28" s="247"/>
      <c r="P28" s="82"/>
    </row>
    <row r="29" spans="2:16" x14ac:dyDescent="0.25">
      <c r="C29" s="81"/>
      <c r="D29" s="4" t="s">
        <v>39</v>
      </c>
      <c r="E29" s="191" t="s">
        <v>152</v>
      </c>
      <c r="F29" s="17">
        <f ca="1">VLOOKUP(D29,'9. All deals (a)'!$C$6:$Q$49,13,0)</f>
        <v>2.5</v>
      </c>
      <c r="G29" s="17">
        <v>2.5</v>
      </c>
      <c r="H29" s="229"/>
      <c r="J29" s="247"/>
      <c r="P29" s="82"/>
    </row>
    <row r="30" spans="2:16" s="27" customFormat="1" x14ac:dyDescent="0.25">
      <c r="B30" s="26"/>
      <c r="C30" s="247"/>
      <c r="D30" s="4" t="s">
        <v>118</v>
      </c>
      <c r="E30" s="191" t="s">
        <v>52</v>
      </c>
      <c r="F30" s="17">
        <f ca="1">VLOOKUP(D30,'9. All deals (a)'!$C$6:$Q$49,13,0)</f>
        <v>9.1110014891827937</v>
      </c>
      <c r="G30" s="17">
        <v>1</v>
      </c>
      <c r="H30" s="229"/>
      <c r="J30" s="247"/>
      <c r="P30" s="229"/>
    </row>
    <row r="31" spans="2:16" s="27" customFormat="1" x14ac:dyDescent="0.25">
      <c r="B31" s="26"/>
      <c r="C31" s="247"/>
      <c r="D31" s="4" t="s">
        <v>35</v>
      </c>
      <c r="E31" s="191" t="s">
        <v>152</v>
      </c>
      <c r="F31" s="17">
        <f ca="1">VLOOKUP(D31,'9. All deals (a)'!$C$6:$Q$49,13,0)</f>
        <v>2.7999999999999545</v>
      </c>
      <c r="G31" s="252">
        <v>0</v>
      </c>
      <c r="H31" s="229"/>
      <c r="J31" s="247"/>
      <c r="K31" s="254" t="s">
        <v>187</v>
      </c>
      <c r="L31" s="255">
        <f>SUM(L8:L25)</f>
        <v>296.5</v>
      </c>
      <c r="N31" s="260" t="s">
        <v>56</v>
      </c>
      <c r="O31" s="261">
        <f>SUM(O8:O16)</f>
        <v>11.1</v>
      </c>
      <c r="P31" s="229"/>
    </row>
    <row r="32" spans="2:16" s="27" customFormat="1" x14ac:dyDescent="0.25">
      <c r="B32" s="26"/>
      <c r="C32" s="247"/>
      <c r="D32" s="4" t="s">
        <v>38</v>
      </c>
      <c r="E32" s="191" t="s">
        <v>152</v>
      </c>
      <c r="F32" s="17">
        <f ca="1">VLOOKUP(D32,'9. All deals (a)'!$C$6:$Q$49,13,0)</f>
        <v>27.118730497400001</v>
      </c>
      <c r="G32" s="17">
        <v>68.099999999999994</v>
      </c>
      <c r="H32" s="229"/>
      <c r="J32" s="247"/>
      <c r="K32" s="256" t="s">
        <v>309</v>
      </c>
      <c r="L32" s="257">
        <f ca="1">'1. Live'!P21</f>
        <v>134.44387937500903</v>
      </c>
      <c r="P32" s="229"/>
    </row>
    <row r="33" spans="2:16" s="27" customFormat="1" x14ac:dyDescent="0.25">
      <c r="B33" s="26"/>
      <c r="C33" s="247"/>
      <c r="D33" s="4" t="s">
        <v>9</v>
      </c>
      <c r="E33" s="191" t="s">
        <v>152</v>
      </c>
      <c r="F33" s="17">
        <f ca="1">VLOOKUP(D33,'9. All deals (a)'!$C$6:$Q$49,13,0)</f>
        <v>93.732583344140437</v>
      </c>
      <c r="G33" s="17">
        <v>-39.700000000000003</v>
      </c>
      <c r="H33" s="229"/>
      <c r="J33" s="247"/>
      <c r="K33" s="258" t="s">
        <v>310</v>
      </c>
      <c r="L33" s="259">
        <f ca="1">L32-L31</f>
        <v>-162.05612062499097</v>
      </c>
      <c r="P33" s="229"/>
    </row>
    <row r="34" spans="2:16" s="27" customFormat="1" ht="15.75" thickBot="1" x14ac:dyDescent="0.3">
      <c r="B34" s="26"/>
      <c r="C34" s="248"/>
      <c r="D34" s="87"/>
      <c r="E34" s="121"/>
      <c r="F34" s="121"/>
      <c r="G34" s="121"/>
      <c r="H34" s="249"/>
      <c r="J34" s="275"/>
      <c r="K34" s="121"/>
      <c r="L34" s="121"/>
      <c r="M34" s="121"/>
      <c r="N34" s="121"/>
      <c r="O34" s="121"/>
      <c r="P34" s="249"/>
    </row>
    <row r="35" spans="2:16" s="27" customFormat="1" x14ac:dyDescent="0.25">
      <c r="B35" s="26"/>
      <c r="C35" s="72"/>
    </row>
    <row r="36" spans="2:16" s="27" customFormat="1" x14ac:dyDescent="0.25">
      <c r="B36" s="26"/>
      <c r="C36" s="72"/>
    </row>
    <row r="37" spans="2:16" s="27" customFormat="1" x14ac:dyDescent="0.25">
      <c r="B37" s="26"/>
      <c r="C37" s="72"/>
    </row>
    <row r="38" spans="2:16" s="27" customFormat="1" x14ac:dyDescent="0.25">
      <c r="B38" s="26"/>
      <c r="C38" s="71"/>
      <c r="D38" s="390"/>
    </row>
    <row r="39" spans="2:16" x14ac:dyDescent="0.25">
      <c r="D39" s="390"/>
    </row>
    <row r="40" spans="2:16" x14ac:dyDescent="0.25">
      <c r="D40" s="390"/>
    </row>
    <row r="41" spans="2:16" x14ac:dyDescent="0.25">
      <c r="D41" s="390"/>
    </row>
    <row r="42" spans="2:16" s="27" customFormat="1" x14ac:dyDescent="0.25">
      <c r="B42" s="26"/>
      <c r="C42" s="72"/>
      <c r="D42" s="390"/>
    </row>
    <row r="43" spans="2:16" s="27" customFormat="1" x14ac:dyDescent="0.25">
      <c r="B43" s="26"/>
      <c r="D43" s="390"/>
    </row>
    <row r="44" spans="2:16" s="27" customFormat="1" x14ac:dyDescent="0.25">
      <c r="B44" s="26"/>
      <c r="D44" s="390"/>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D1</vt:lpstr>
      <vt:lpstr>1. Live</vt:lpstr>
      <vt:lpstr>2. Exited</vt:lpstr>
      <vt:lpstr>NAV</vt:lpstr>
      <vt:lpstr>CF (Equity, Debt)</vt:lpstr>
      <vt:lpstr>CF (Funds)</vt:lpstr>
      <vt:lpstr>6. %</vt:lpstr>
      <vt:lpstr>7. Board</vt:lpstr>
      <vt:lpstr>7. Glossary</vt:lpstr>
      <vt:lpstr>8. Log</vt:lpstr>
      <vt:lpstr>9. All deals (a)</vt:lpstr>
      <vt:lpstr>9. All deals (b)</vt:lpstr>
      <vt:lpstr>9. All deals (c)</vt:lpstr>
      <vt:lpstr>WLD Grant C-133</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(c)'!Print_Area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2024-11-05T13:51:27Z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