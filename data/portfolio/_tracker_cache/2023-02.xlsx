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1.bin" ContentType="application/vnd.openxmlformats-officedocument.spreadsheetml.customProperty"/>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6"/>
  <workbookPr filterPrivacy="1"/>
  <xr:revisionPtr revIDLastSave="0" documentId="13_ncr:1_{C0938018-D337-4933-895D-140D52F224DF}" xr6:coauthVersionLast="36" xr6:coauthVersionMax="36" xr10:uidLastSave="{00000000-0000-0000-0000-000000000000}"/>
  <bookViews>
    <workbookView xWindow="0" yWindow="0" windowWidth="24000" windowHeight="9525" tabRatio="904" activeTab="1" xr2:uid="{00000000-000D-0000-FFFF-FFFF00000000}"/>
  </bookViews>
  <sheets>
    <sheet name="D" sheetId="51" r:id="rId1"/>
    <sheet name="Summary | 01 " sheetId="14" r:id="rId2"/>
    <sheet name="S | 02" sheetId="75" r:id="rId3"/>
    <sheet name="S | 03" sheetId="65" r:id="rId4"/>
    <sheet name="NAV" sheetId="37" r:id="rId5"/>
    <sheet name="CF (Equity, Debt)" sheetId="17" r:id="rId6"/>
    <sheet name="CF (Funds)" sheetId="40" r:id="rId7"/>
    <sheet name="1. IRR Equity" sheetId="32" r:id="rId8"/>
    <sheet name="2. IRR Debt" sheetId="52" r:id="rId9"/>
    <sheet name="3. IRR Funds" sheetId="49" r:id="rId10"/>
    <sheet name="4.All" sheetId="58" r:id="rId11"/>
    <sheet name="4. Mozn-IRR" sheetId="73" r:id="rId12"/>
    <sheet name="4. G42-IRR" sheetId="76" r:id="rId13"/>
    <sheet name="5. CF Profile" sheetId="50" r:id="rId14"/>
    <sheet name="5. CF " sheetId="70" r:id="rId15"/>
    <sheet name="6. ATS" sheetId="60" r:id="rId16"/>
    <sheet name="7. %" sheetId="44" r:id="rId17"/>
    <sheet name="8. Board" sheetId="28" r:id="rId18"/>
    <sheet name="9. Log" sheetId="68" r:id="rId19"/>
    <sheet name="X1" sheetId="10" state="hidden" r:id="rId20"/>
    <sheet name="X2" sheetId="67" state="hidden" r:id="rId21"/>
    <sheet name="X3" sheetId="69" state="hidden" r:id="rId22"/>
    <sheet name="4.1" sheetId="62" state="hidden" r:id="rId23"/>
    <sheet name="1.1(P1)" sheetId="39" state="hidden" r:id="rId24"/>
    <sheet name="5. Geo" sheetId="63" state="hidden" r:id="rId25"/>
    <sheet name="Outlook" sheetId="47" state="hidden" r:id="rId26"/>
  </sheets>
  <externalReferences>
    <externalReference r:id="rId27"/>
    <externalReference r:id="rId28"/>
  </externalReferences>
  <definedNames>
    <definedName name="_xlnm._FilterDatabase" localSheetId="12" hidden="1">'4. G42-IRR'!$B$11:$I$67</definedName>
    <definedName name="_xlnm._FilterDatabase" localSheetId="11" hidden="1">'4. Mozn-IRR'!$B$11:$I$57</definedName>
    <definedName name="_xlnm._FilterDatabase" localSheetId="22" hidden="1">'4.1'!$F$7:$L$73</definedName>
    <definedName name="_xlnm._FilterDatabase" localSheetId="10" hidden="1">'4.All'!$B$7:$E$84</definedName>
    <definedName name="_xlnm._FilterDatabase" localSheetId="13" hidden="1">'5. CF Profile'!$C$5:$H$82</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0">D!$A$1:$Q$26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58" l="1"/>
  <c r="C57" i="50" l="1"/>
  <c r="E57" i="50"/>
  <c r="F57" i="50"/>
  <c r="G57" i="50"/>
  <c r="H57" i="50"/>
  <c r="C36" i="50"/>
  <c r="E36" i="50"/>
  <c r="F36" i="50" s="1"/>
  <c r="G36" i="50"/>
  <c r="H36" i="50"/>
  <c r="G32" i="76"/>
  <c r="F32" i="76"/>
  <c r="I32" i="76" s="1"/>
  <c r="E32" i="76"/>
  <c r="B32" i="76"/>
  <c r="F16" i="76"/>
  <c r="I16" i="76" s="1"/>
  <c r="E16" i="76"/>
  <c r="B16" i="76"/>
  <c r="C16" i="76" s="1"/>
  <c r="B38" i="58"/>
  <c r="C38" i="58"/>
  <c r="D38" i="58"/>
  <c r="G38" i="58"/>
  <c r="E58" i="58"/>
  <c r="G58" i="58" s="1"/>
  <c r="D58" i="58"/>
  <c r="C58" i="58"/>
  <c r="B58" i="58"/>
  <c r="K39" i="14"/>
  <c r="E40" i="37"/>
  <c r="M68" i="49"/>
  <c r="L68" i="49"/>
  <c r="N68" i="49" s="1"/>
  <c r="K68" i="49"/>
  <c r="J68" i="49"/>
  <c r="I68" i="49"/>
  <c r="E21" i="49"/>
  <c r="D21" i="49"/>
  <c r="G21" i="49" s="1"/>
  <c r="C21" i="49"/>
  <c r="B21" i="49"/>
  <c r="Y63" i="32"/>
  <c r="X63" i="32"/>
  <c r="W63" i="32"/>
  <c r="V63" i="32"/>
  <c r="U63" i="32"/>
  <c r="T63" i="32"/>
  <c r="S63" i="32"/>
  <c r="R63" i="32"/>
  <c r="Q63" i="32"/>
  <c r="P63" i="32"/>
  <c r="O63" i="32"/>
  <c r="N63" i="32"/>
  <c r="M63" i="32"/>
  <c r="L63" i="32"/>
  <c r="K63" i="32"/>
  <c r="J63" i="32"/>
  <c r="Z62" i="32"/>
  <c r="Y62" i="32"/>
  <c r="X62" i="32"/>
  <c r="W62" i="32"/>
  <c r="V62" i="32"/>
  <c r="U62" i="32"/>
  <c r="T62" i="32"/>
  <c r="S62" i="32"/>
  <c r="R62" i="32"/>
  <c r="Q62" i="32"/>
  <c r="P62" i="32"/>
  <c r="O62" i="32"/>
  <c r="N62" i="32"/>
  <c r="M62" i="32"/>
  <c r="L62" i="32"/>
  <c r="K62" i="32"/>
  <c r="J62" i="32"/>
  <c r="D40" i="32"/>
  <c r="G40" i="32" s="1"/>
  <c r="W40" i="32" s="1"/>
  <c r="C40" i="32"/>
  <c r="B40" i="32"/>
  <c r="D16" i="40"/>
  <c r="I34" i="17"/>
  <c r="E34" i="17" s="1"/>
  <c r="B34" i="17"/>
  <c r="C32" i="76" l="1"/>
  <c r="Q32" i="37"/>
  <c r="E79" i="58" l="1"/>
  <c r="D79" i="58"/>
  <c r="G79" i="58" s="1"/>
  <c r="C79" i="58"/>
  <c r="B79" i="58"/>
  <c r="E78" i="58"/>
  <c r="D78" i="58"/>
  <c r="G78" i="58" s="1"/>
  <c r="C78" i="58"/>
  <c r="B78" i="58"/>
  <c r="G53" i="76"/>
  <c r="F53" i="76"/>
  <c r="I53" i="76" s="1"/>
  <c r="E53" i="76"/>
  <c r="B53" i="76"/>
  <c r="C53" i="76" s="1"/>
  <c r="G52" i="76"/>
  <c r="F52" i="76"/>
  <c r="E52" i="76"/>
  <c r="B52" i="76"/>
  <c r="C52" i="76" s="1"/>
  <c r="M14" i="49"/>
  <c r="E41" i="49"/>
  <c r="L14" i="49" s="1"/>
  <c r="D41" i="49"/>
  <c r="G41" i="49" s="1"/>
  <c r="C41" i="49"/>
  <c r="J14" i="49" s="1"/>
  <c r="B41" i="49"/>
  <c r="I14" i="49" s="1"/>
  <c r="K36" i="14"/>
  <c r="M36" i="14"/>
  <c r="G37" i="40"/>
  <c r="G36" i="40"/>
  <c r="D36" i="40"/>
  <c r="E37" i="40"/>
  <c r="P32" i="37"/>
  <c r="P34" i="37"/>
  <c r="P33" i="37"/>
  <c r="L36" i="14" s="1"/>
  <c r="Q27" i="37"/>
  <c r="Q24" i="37"/>
  <c r="Q25" i="37" s="1"/>
  <c r="E37" i="37"/>
  <c r="Q21" i="37"/>
  <c r="P21" i="37"/>
  <c r="I52" i="76" l="1"/>
  <c r="K14" i="49"/>
  <c r="N14" i="49" s="1"/>
  <c r="J36" i="14"/>
  <c r="P31" i="37"/>
  <c r="L39" i="14"/>
  <c r="C56" i="50" l="1"/>
  <c r="E56" i="50"/>
  <c r="F56" i="50" s="1"/>
  <c r="G56" i="50"/>
  <c r="H56" i="50"/>
  <c r="B31" i="76"/>
  <c r="C31" i="76" s="1"/>
  <c r="E31" i="76"/>
  <c r="F31" i="76"/>
  <c r="I31" i="76" s="1"/>
  <c r="G31" i="76"/>
  <c r="B57" i="58"/>
  <c r="C57" i="58"/>
  <c r="D57" i="58"/>
  <c r="E57" i="58"/>
  <c r="G57" i="58"/>
  <c r="L67" i="49"/>
  <c r="M67" i="49"/>
  <c r="B20" i="49"/>
  <c r="I67" i="49" s="1"/>
  <c r="C20" i="49"/>
  <c r="J67" i="49" s="1"/>
  <c r="E20" i="49"/>
  <c r="D15" i="40"/>
  <c r="D20" i="49" s="1"/>
  <c r="K67" i="49" l="1"/>
  <c r="N67" i="49" s="1"/>
  <c r="G20" i="49"/>
  <c r="H77" i="50" l="1"/>
  <c r="G77" i="50"/>
  <c r="E77" i="50"/>
  <c r="F77" i="50" s="1"/>
  <c r="C77" i="50"/>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3" i="49"/>
  <c r="C43" i="49"/>
  <c r="E43" i="49"/>
  <c r="B42" i="49"/>
  <c r="I15" i="49" s="1"/>
  <c r="C42" i="49"/>
  <c r="J15" i="49" s="1"/>
  <c r="D42" i="49"/>
  <c r="E42" i="49"/>
  <c r="L15" i="49" s="1"/>
  <c r="B40" i="49"/>
  <c r="I13" i="49" s="1"/>
  <c r="C40" i="49"/>
  <c r="J13" i="49" s="1"/>
  <c r="D40" i="49"/>
  <c r="E40" i="49"/>
  <c r="L13" i="49" s="1"/>
  <c r="B39" i="49"/>
  <c r="I12" i="49" s="1"/>
  <c r="C39" i="49"/>
  <c r="J12" i="49" s="1"/>
  <c r="D39" i="49"/>
  <c r="E39" i="49"/>
  <c r="L12" i="49" s="1"/>
  <c r="E20" i="37"/>
  <c r="F24" i="44"/>
  <c r="E23" i="37"/>
  <c r="H5" i="73" l="1"/>
  <c r="H4" i="73"/>
  <c r="G40" i="49"/>
  <c r="K13" i="49"/>
  <c r="N13" i="49"/>
  <c r="G39" i="49"/>
  <c r="K12" i="49"/>
  <c r="N12" i="49" s="1"/>
  <c r="G42" i="49"/>
  <c r="K15" i="49"/>
  <c r="N15" i="49" s="1"/>
  <c r="H2" i="73" l="1"/>
  <c r="K23" i="37"/>
  <c r="D8" i="51" l="1"/>
  <c r="P27" i="75" l="1"/>
  <c r="P38" i="75"/>
  <c r="G42" i="50" l="1"/>
  <c r="E42" i="50"/>
  <c r="F42" i="50" s="1"/>
  <c r="C42" i="50"/>
  <c r="F40" i="73" l="1"/>
  <c r="E40" i="73"/>
  <c r="B40" i="73"/>
  <c r="J29" i="52"/>
  <c r="D43" i="58"/>
  <c r="C43" i="58"/>
  <c r="B43" i="58"/>
  <c r="B12" i="52"/>
  <c r="C12" i="52"/>
  <c r="D12" i="52"/>
  <c r="M64" i="32"/>
  <c r="E34" i="32"/>
  <c r="I37" i="17"/>
  <c r="H38" i="17"/>
  <c r="I38" i="17" s="1"/>
  <c r="F40" i="17"/>
  <c r="H42" i="50" s="1"/>
  <c r="E12" i="52" l="1"/>
  <c r="T11" i="52" s="1"/>
  <c r="M32" i="14"/>
  <c r="M13" i="75" s="1"/>
  <c r="E43" i="58"/>
  <c r="G43" i="58" s="1"/>
  <c r="H40" i="17"/>
  <c r="G40" i="73"/>
  <c r="I40" i="73" s="1"/>
  <c r="C40" i="73"/>
  <c r="L9" i="60"/>
  <c r="L10" i="60"/>
  <c r="L11" i="60"/>
  <c r="L12" i="60"/>
  <c r="L13" i="60"/>
  <c r="L14" i="60"/>
  <c r="L15" i="60"/>
  <c r="L16" i="60"/>
  <c r="L17" i="60"/>
  <c r="L18" i="60"/>
  <c r="L19" i="60"/>
  <c r="L20" i="60"/>
  <c r="L21" i="60"/>
  <c r="L22" i="60"/>
  <c r="L23" i="60"/>
  <c r="L24" i="60"/>
  <c r="O8" i="60"/>
  <c r="O9" i="60"/>
  <c r="O10" i="60"/>
  <c r="O11" i="60"/>
  <c r="O12" i="60"/>
  <c r="O13" i="60"/>
  <c r="O14" i="60"/>
  <c r="O15" i="60"/>
  <c r="L8" i="60"/>
  <c r="H83" i="50"/>
  <c r="H82" i="50"/>
  <c r="H81" i="50"/>
  <c r="H80" i="50"/>
  <c r="H79" i="50"/>
  <c r="H78" i="50"/>
  <c r="H76" i="50"/>
  <c r="H75" i="50"/>
  <c r="H74" i="50"/>
  <c r="H73" i="50"/>
  <c r="H72" i="50"/>
  <c r="H71" i="50"/>
  <c r="H70" i="50"/>
  <c r="H68" i="50"/>
  <c r="H67" i="50"/>
  <c r="H65" i="50"/>
  <c r="H64" i="50"/>
  <c r="H63" i="50"/>
  <c r="H62" i="50"/>
  <c r="H61" i="50"/>
  <c r="H60" i="50"/>
  <c r="H59" i="50"/>
  <c r="H58" i="50"/>
  <c r="H54" i="50"/>
  <c r="H52" i="50"/>
  <c r="H51" i="50"/>
  <c r="H50" i="50"/>
  <c r="H48" i="50"/>
  <c r="H47" i="50"/>
  <c r="H45" i="50"/>
  <c r="H44" i="50"/>
  <c r="H41" i="50"/>
  <c r="H40" i="50"/>
  <c r="H39"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R34" i="75"/>
  <c r="M34" i="75"/>
  <c r="S34" i="75"/>
  <c r="L34" i="75"/>
  <c r="J34" i="75"/>
  <c r="I34" i="75"/>
  <c r="H34" i="75"/>
  <c r="G34" i="75"/>
  <c r="F34" i="75"/>
  <c r="E34" i="75"/>
  <c r="R36" i="75"/>
  <c r="M36" i="75"/>
  <c r="L36" i="75"/>
  <c r="K36" i="75"/>
  <c r="J36" i="75"/>
  <c r="I36" i="75"/>
  <c r="H36" i="75"/>
  <c r="G36" i="75"/>
  <c r="F36" i="75"/>
  <c r="E36" i="75"/>
  <c r="R35" i="75"/>
  <c r="M35" i="75"/>
  <c r="S35" i="75"/>
  <c r="L35" i="75"/>
  <c r="K35" i="75"/>
  <c r="J35" i="75"/>
  <c r="I35" i="75"/>
  <c r="H35" i="75"/>
  <c r="G35" i="75"/>
  <c r="F35" i="75"/>
  <c r="E35" i="75"/>
  <c r="R33" i="75"/>
  <c r="M33" i="75"/>
  <c r="S33" i="75"/>
  <c r="L33" i="75"/>
  <c r="J33" i="75"/>
  <c r="I33" i="75"/>
  <c r="H33" i="75"/>
  <c r="G33" i="75"/>
  <c r="F33" i="75"/>
  <c r="E33" i="75"/>
  <c r="R32" i="75"/>
  <c r="M32" i="75"/>
  <c r="S32" i="75"/>
  <c r="L32" i="75"/>
  <c r="K32" i="75"/>
  <c r="J32" i="75"/>
  <c r="I32" i="75"/>
  <c r="H32" i="75"/>
  <c r="G32" i="75"/>
  <c r="F32" i="75"/>
  <c r="E32" i="75"/>
  <c r="I31" i="75"/>
  <c r="H31" i="75"/>
  <c r="G31" i="75"/>
  <c r="D16" i="76" s="1"/>
  <c r="F31" i="75"/>
  <c r="E31" i="75"/>
  <c r="K30" i="75"/>
  <c r="I30" i="75"/>
  <c r="H30" i="75"/>
  <c r="G30" i="75"/>
  <c r="F30" i="75"/>
  <c r="E30" i="75"/>
  <c r="I29" i="75"/>
  <c r="H29" i="75"/>
  <c r="G29" i="75"/>
  <c r="F29" i="75"/>
  <c r="E29" i="75"/>
  <c r="N24" i="75"/>
  <c r="M24" i="75"/>
  <c r="M12" i="75"/>
  <c r="M9" i="75"/>
  <c r="M10" i="75"/>
  <c r="S25" i="75"/>
  <c r="K25" i="75"/>
  <c r="I25" i="75"/>
  <c r="H25" i="75"/>
  <c r="G25" i="75"/>
  <c r="F25" i="75"/>
  <c r="S24" i="75"/>
  <c r="L24" i="75"/>
  <c r="K24" i="75"/>
  <c r="J24" i="75"/>
  <c r="I24" i="75"/>
  <c r="H24" i="75"/>
  <c r="G24" i="75"/>
  <c r="F24" i="75"/>
  <c r="S12" i="75"/>
  <c r="K12" i="75"/>
  <c r="J12" i="75"/>
  <c r="I12" i="75"/>
  <c r="H12" i="75"/>
  <c r="G12" i="75"/>
  <c r="F12" i="75"/>
  <c r="S13" i="75"/>
  <c r="L13" i="75"/>
  <c r="K13" i="75"/>
  <c r="J13" i="75"/>
  <c r="I13" i="75"/>
  <c r="H13" i="75"/>
  <c r="G13" i="75"/>
  <c r="D40" i="73" s="1"/>
  <c r="F13" i="75"/>
  <c r="S18" i="75"/>
  <c r="K18" i="75"/>
  <c r="I18" i="75"/>
  <c r="H18" i="75"/>
  <c r="G18" i="75"/>
  <c r="F18" i="75"/>
  <c r="S14" i="75"/>
  <c r="K14" i="75"/>
  <c r="I14" i="75"/>
  <c r="H14" i="75"/>
  <c r="G14" i="75"/>
  <c r="F14" i="75"/>
  <c r="S15" i="75"/>
  <c r="K15" i="75"/>
  <c r="I15" i="75"/>
  <c r="H15" i="75"/>
  <c r="G15" i="75"/>
  <c r="F15" i="75"/>
  <c r="S16" i="75"/>
  <c r="K16" i="75"/>
  <c r="I16" i="75"/>
  <c r="H16" i="75"/>
  <c r="G16" i="75"/>
  <c r="F16" i="75"/>
  <c r="L9" i="75"/>
  <c r="K9" i="75"/>
  <c r="J9" i="75"/>
  <c r="I9" i="75"/>
  <c r="H9" i="75"/>
  <c r="G9" i="75"/>
  <c r="D55" i="73" s="1"/>
  <c r="F9" i="75"/>
  <c r="L10" i="75"/>
  <c r="K10" i="75"/>
  <c r="J10" i="75"/>
  <c r="I10" i="75"/>
  <c r="H10" i="75"/>
  <c r="G10" i="75"/>
  <c r="F10" i="75"/>
  <c r="S11" i="75"/>
  <c r="K11" i="75"/>
  <c r="I11" i="75"/>
  <c r="H11" i="75"/>
  <c r="G11" i="75"/>
  <c r="F11" i="75"/>
  <c r="S17" i="75"/>
  <c r="K17" i="75"/>
  <c r="I17" i="75"/>
  <c r="H17" i="75"/>
  <c r="G17" i="75"/>
  <c r="F17" i="75"/>
  <c r="S23" i="75"/>
  <c r="K23" i="75"/>
  <c r="I23" i="75"/>
  <c r="H23" i="75"/>
  <c r="G23" i="75"/>
  <c r="F23" i="75"/>
  <c r="S22" i="75"/>
  <c r="K22" i="75"/>
  <c r="I22" i="75"/>
  <c r="H22" i="75"/>
  <c r="G22" i="75"/>
  <c r="F22" i="75"/>
  <c r="S19" i="75"/>
  <c r="K19" i="75"/>
  <c r="I19" i="75"/>
  <c r="H19" i="75"/>
  <c r="G19" i="75"/>
  <c r="F19" i="75"/>
  <c r="S20" i="75"/>
  <c r="K20" i="75"/>
  <c r="I20" i="75"/>
  <c r="H20" i="75"/>
  <c r="G20" i="75"/>
  <c r="F20" i="75"/>
  <c r="S21" i="75"/>
  <c r="K21" i="75"/>
  <c r="I21" i="75"/>
  <c r="H21" i="75"/>
  <c r="G21" i="75"/>
  <c r="F21" i="75"/>
  <c r="E25" i="75"/>
  <c r="E24" i="75"/>
  <c r="E12" i="75"/>
  <c r="E13" i="75"/>
  <c r="E18" i="75"/>
  <c r="E14" i="75"/>
  <c r="E15" i="75"/>
  <c r="E16" i="75"/>
  <c r="E9" i="75"/>
  <c r="E10" i="75"/>
  <c r="E11" i="75"/>
  <c r="E17" i="75"/>
  <c r="E23" i="75"/>
  <c r="E22" i="75"/>
  <c r="E19" i="75"/>
  <c r="E20" i="75"/>
  <c r="E21" i="75"/>
  <c r="E36" i="73"/>
  <c r="B36" i="73"/>
  <c r="C36" i="73" s="1"/>
  <c r="E29" i="73"/>
  <c r="B29" i="73"/>
  <c r="C29" i="73" s="1"/>
  <c r="B37" i="58"/>
  <c r="C37" i="58"/>
  <c r="M81" i="49"/>
  <c r="M80" i="49"/>
  <c r="M79" i="49"/>
  <c r="M78" i="49"/>
  <c r="M77" i="49"/>
  <c r="M66" i="49"/>
  <c r="M65" i="49"/>
  <c r="M64" i="49"/>
  <c r="M63" i="49"/>
  <c r="M62" i="49"/>
  <c r="M61" i="49"/>
  <c r="M60" i="49"/>
  <c r="M59" i="49"/>
  <c r="M58" i="49"/>
  <c r="M57" i="49"/>
  <c r="M56" i="49"/>
  <c r="M55" i="49"/>
  <c r="M10" i="49"/>
  <c r="M9" i="49"/>
  <c r="M46" i="49"/>
  <c r="M45" i="49"/>
  <c r="M44" i="49"/>
  <c r="M43" i="49"/>
  <c r="M42" i="49"/>
  <c r="M41" i="49"/>
  <c r="M40" i="49"/>
  <c r="M39" i="49"/>
  <c r="M38" i="49"/>
  <c r="M37" i="49"/>
  <c r="M36" i="49"/>
  <c r="M35" i="49"/>
  <c r="M34" i="49"/>
  <c r="M33" i="49"/>
  <c r="E48" i="49"/>
  <c r="L81" i="49" s="1"/>
  <c r="C48" i="49"/>
  <c r="J81" i="49" s="1"/>
  <c r="B48" i="49"/>
  <c r="I81" i="49" s="1"/>
  <c r="E47" i="49"/>
  <c r="L80" i="49" s="1"/>
  <c r="C47" i="49"/>
  <c r="J80" i="49" s="1"/>
  <c r="B47" i="49"/>
  <c r="I80" i="49" s="1"/>
  <c r="E46" i="49"/>
  <c r="L79" i="49" s="1"/>
  <c r="C46" i="49"/>
  <c r="J79" i="49" s="1"/>
  <c r="B46" i="49"/>
  <c r="I79" i="49" s="1"/>
  <c r="E45" i="49"/>
  <c r="L78" i="49" s="1"/>
  <c r="C45" i="49"/>
  <c r="J78" i="49" s="1"/>
  <c r="B45" i="49"/>
  <c r="I78" i="49" s="1"/>
  <c r="E44" i="49"/>
  <c r="L77" i="49" s="1"/>
  <c r="C44" i="49"/>
  <c r="J77" i="49" s="1"/>
  <c r="B44" i="49"/>
  <c r="I77" i="49" s="1"/>
  <c r="J24" i="49"/>
  <c r="I24" i="49"/>
  <c r="E38" i="49"/>
  <c r="L11" i="49" s="1"/>
  <c r="C38" i="49"/>
  <c r="J11" i="49" s="1"/>
  <c r="B38" i="49"/>
  <c r="I11" i="49" s="1"/>
  <c r="E37" i="49"/>
  <c r="L10" i="49" s="1"/>
  <c r="D37" i="49"/>
  <c r="K10" i="49" s="1"/>
  <c r="C37" i="49"/>
  <c r="J10" i="49" s="1"/>
  <c r="B37" i="49"/>
  <c r="I10" i="49" s="1"/>
  <c r="E36" i="49"/>
  <c r="L9" i="49" s="1"/>
  <c r="C36" i="49"/>
  <c r="J9" i="49" s="1"/>
  <c r="B36" i="49"/>
  <c r="I9" i="49" s="1"/>
  <c r="E35" i="49"/>
  <c r="L46" i="49" s="1"/>
  <c r="C35" i="49"/>
  <c r="J46" i="49" s="1"/>
  <c r="B35" i="49"/>
  <c r="I46" i="49" s="1"/>
  <c r="E34" i="49"/>
  <c r="L45" i="49" s="1"/>
  <c r="C34" i="49"/>
  <c r="J45" i="49" s="1"/>
  <c r="B34" i="49"/>
  <c r="I45" i="49" s="1"/>
  <c r="D33" i="49"/>
  <c r="K44" i="49" s="1"/>
  <c r="C33" i="49"/>
  <c r="J44" i="49" s="1"/>
  <c r="B33" i="49"/>
  <c r="I44" i="49" s="1"/>
  <c r="E32" i="49"/>
  <c r="L43" i="49" s="1"/>
  <c r="C32" i="49"/>
  <c r="J43" i="49" s="1"/>
  <c r="B32" i="49"/>
  <c r="I43" i="49" s="1"/>
  <c r="E31" i="49"/>
  <c r="L42" i="49" s="1"/>
  <c r="C31" i="49"/>
  <c r="J42" i="49" s="1"/>
  <c r="B31" i="49"/>
  <c r="I42" i="49" s="1"/>
  <c r="D30" i="49"/>
  <c r="K41" i="49" s="1"/>
  <c r="C30" i="49"/>
  <c r="J41" i="49" s="1"/>
  <c r="B30" i="49"/>
  <c r="I41" i="49" s="1"/>
  <c r="E29" i="49"/>
  <c r="L40" i="49" s="1"/>
  <c r="C29" i="49"/>
  <c r="J40" i="49" s="1"/>
  <c r="B29" i="49"/>
  <c r="I40" i="49" s="1"/>
  <c r="E28" i="49"/>
  <c r="L39" i="49" s="1"/>
  <c r="C28" i="49"/>
  <c r="J39" i="49" s="1"/>
  <c r="B28" i="49"/>
  <c r="I39" i="49" s="1"/>
  <c r="E27" i="49"/>
  <c r="L38" i="49" s="1"/>
  <c r="C27" i="49"/>
  <c r="J38" i="49" s="1"/>
  <c r="B27" i="49"/>
  <c r="I38" i="49" s="1"/>
  <c r="E26" i="49"/>
  <c r="L37" i="49" s="1"/>
  <c r="C26" i="49"/>
  <c r="J37" i="49" s="1"/>
  <c r="B26" i="49"/>
  <c r="I37" i="49" s="1"/>
  <c r="E25" i="49"/>
  <c r="L36" i="49" s="1"/>
  <c r="C25" i="49"/>
  <c r="J36" i="49" s="1"/>
  <c r="B25" i="49"/>
  <c r="I36" i="49" s="1"/>
  <c r="E24" i="49"/>
  <c r="L35" i="49" s="1"/>
  <c r="C24" i="49"/>
  <c r="J35" i="49" s="1"/>
  <c r="B24" i="49"/>
  <c r="I35" i="49" s="1"/>
  <c r="E23" i="49"/>
  <c r="L34" i="49" s="1"/>
  <c r="C23" i="49"/>
  <c r="J34" i="49" s="1"/>
  <c r="B23" i="49"/>
  <c r="I34" i="49" s="1"/>
  <c r="E22" i="49"/>
  <c r="L33" i="49" s="1"/>
  <c r="C22" i="49"/>
  <c r="J33" i="49" s="1"/>
  <c r="B22" i="49"/>
  <c r="I33" i="49" s="1"/>
  <c r="D19" i="49"/>
  <c r="K66" i="49" s="1"/>
  <c r="C19" i="49"/>
  <c r="J66" i="49" s="1"/>
  <c r="B19" i="49"/>
  <c r="I66" i="49" s="1"/>
  <c r="E18" i="49"/>
  <c r="L65" i="49" s="1"/>
  <c r="C18" i="49"/>
  <c r="J65" i="49" s="1"/>
  <c r="B18" i="49"/>
  <c r="I65" i="49" s="1"/>
  <c r="D17" i="49"/>
  <c r="K64" i="49" s="1"/>
  <c r="C17" i="49"/>
  <c r="J64" i="49" s="1"/>
  <c r="B17" i="49"/>
  <c r="I64" i="49" s="1"/>
  <c r="E16" i="49"/>
  <c r="L63" i="49" s="1"/>
  <c r="C16" i="49"/>
  <c r="J63" i="49" s="1"/>
  <c r="B16" i="49"/>
  <c r="I63" i="49" s="1"/>
  <c r="E15" i="49"/>
  <c r="L62" i="49" s="1"/>
  <c r="C15" i="49"/>
  <c r="J62" i="49" s="1"/>
  <c r="B15" i="49"/>
  <c r="I62" i="49" s="1"/>
  <c r="E14" i="49"/>
  <c r="L61" i="49" s="1"/>
  <c r="C14" i="49"/>
  <c r="J61" i="49" s="1"/>
  <c r="B14" i="49"/>
  <c r="I61" i="49" s="1"/>
  <c r="D13" i="49"/>
  <c r="K60" i="49" s="1"/>
  <c r="C13" i="49"/>
  <c r="J60" i="49" s="1"/>
  <c r="B13" i="49"/>
  <c r="I60" i="49" s="1"/>
  <c r="E12" i="49"/>
  <c r="L59" i="49" s="1"/>
  <c r="C12" i="49"/>
  <c r="J59" i="49" s="1"/>
  <c r="B12" i="49"/>
  <c r="I59" i="49" s="1"/>
  <c r="E11" i="49"/>
  <c r="L58" i="49" s="1"/>
  <c r="C11" i="49"/>
  <c r="J58" i="49" s="1"/>
  <c r="B11" i="49"/>
  <c r="I58" i="49" s="1"/>
  <c r="D10" i="49"/>
  <c r="K57" i="49" s="1"/>
  <c r="C10" i="49"/>
  <c r="J57" i="49" s="1"/>
  <c r="B10" i="49"/>
  <c r="I57" i="49" s="1"/>
  <c r="E9" i="49"/>
  <c r="L56" i="49" s="1"/>
  <c r="C9" i="49"/>
  <c r="J56" i="49" s="1"/>
  <c r="B9" i="49"/>
  <c r="E8" i="49"/>
  <c r="L55" i="49" s="1"/>
  <c r="C8" i="49"/>
  <c r="J55" i="49" s="1"/>
  <c r="I55" i="49"/>
  <c r="D9" i="52"/>
  <c r="K9" i="52" s="1"/>
  <c r="D10" i="52"/>
  <c r="C11" i="52"/>
  <c r="J28" i="52" s="1"/>
  <c r="B11" i="52"/>
  <c r="I28" i="52" s="1"/>
  <c r="C10" i="52"/>
  <c r="J19" i="52" s="1"/>
  <c r="B10" i="52"/>
  <c r="I19" i="52" s="1"/>
  <c r="C9" i="52"/>
  <c r="J9" i="52" s="1"/>
  <c r="B9" i="52"/>
  <c r="I9" i="52" s="1"/>
  <c r="AD28" i="32"/>
  <c r="AC28" i="32"/>
  <c r="X61" i="32"/>
  <c r="F58" i="32"/>
  <c r="G58" i="32" s="1"/>
  <c r="Z58" i="32" s="1"/>
  <c r="Z64" i="32" s="1"/>
  <c r="B39" i="32"/>
  <c r="C39" i="32"/>
  <c r="I33" i="17"/>
  <c r="E33" i="17" s="1"/>
  <c r="F36" i="73" s="1"/>
  <c r="I36" i="73" s="1"/>
  <c r="D31" i="76" l="1"/>
  <c r="D32" i="76"/>
  <c r="D53" i="76"/>
  <c r="D52" i="76"/>
  <c r="I56" i="49"/>
  <c r="F2" i="49"/>
  <c r="G12" i="52"/>
  <c r="B14" i="52"/>
  <c r="I10" i="52" s="1"/>
  <c r="G35" i="50"/>
  <c r="D39" i="32"/>
  <c r="G39" i="32" s="1"/>
  <c r="Z39" i="32" s="1"/>
  <c r="D37" i="58"/>
  <c r="G37" i="58" s="1"/>
  <c r="K27" i="75"/>
  <c r="B16" i="52"/>
  <c r="I29" i="52" s="1"/>
  <c r="B15" i="52"/>
  <c r="I20" i="52" s="1"/>
  <c r="L26" i="60"/>
  <c r="O17" i="60"/>
  <c r="D36" i="73"/>
  <c r="D29" i="73"/>
  <c r="G14" i="37"/>
  <c r="G22" i="37"/>
  <c r="E22" i="37" s="1"/>
  <c r="K24" i="37"/>
  <c r="K25" i="37" s="1"/>
  <c r="G26" i="65"/>
  <c r="F26" i="65"/>
  <c r="E26" i="65"/>
  <c r="D26" i="65"/>
  <c r="C26" i="65"/>
  <c r="G25" i="65"/>
  <c r="F25" i="65"/>
  <c r="E25" i="65"/>
  <c r="D25" i="65"/>
  <c r="C25" i="65"/>
  <c r="G24" i="65"/>
  <c r="F24" i="65"/>
  <c r="E24" i="65"/>
  <c r="D24" i="65"/>
  <c r="C24" i="65"/>
  <c r="G23" i="65"/>
  <c r="F23" i="65"/>
  <c r="E23" i="65"/>
  <c r="D23" i="65"/>
  <c r="C23" i="65"/>
  <c r="G22" i="65"/>
  <c r="F22" i="65"/>
  <c r="E22" i="65"/>
  <c r="D22" i="65"/>
  <c r="C22" i="65"/>
  <c r="G21" i="65"/>
  <c r="F21" i="65"/>
  <c r="E21" i="65"/>
  <c r="D21" i="65"/>
  <c r="C21" i="65"/>
  <c r="G20" i="65"/>
  <c r="F20" i="65"/>
  <c r="E20" i="65"/>
  <c r="D20" i="65"/>
  <c r="C20" i="65"/>
  <c r="G19" i="65"/>
  <c r="F19" i="65"/>
  <c r="E19" i="65"/>
  <c r="D19" i="65"/>
  <c r="C19" i="65"/>
  <c r="G18" i="65"/>
  <c r="F18" i="65"/>
  <c r="E18" i="65"/>
  <c r="D18" i="65"/>
  <c r="C18" i="65"/>
  <c r="G17" i="65"/>
  <c r="F17" i="65"/>
  <c r="E17" i="65"/>
  <c r="D17" i="65"/>
  <c r="C17" i="65"/>
  <c r="G16" i="65"/>
  <c r="F16" i="65"/>
  <c r="E16" i="65"/>
  <c r="D16" i="65"/>
  <c r="C16" i="65"/>
  <c r="G15" i="65"/>
  <c r="F15" i="65"/>
  <c r="E15" i="65"/>
  <c r="D15" i="65"/>
  <c r="C15" i="65"/>
  <c r="G14" i="65"/>
  <c r="F14" i="65"/>
  <c r="E14" i="65"/>
  <c r="D14" i="65"/>
  <c r="C14" i="65"/>
  <c r="G13" i="65"/>
  <c r="F13" i="65"/>
  <c r="E13" i="65"/>
  <c r="D13" i="65"/>
  <c r="C13" i="65"/>
  <c r="G12" i="65"/>
  <c r="F12" i="65"/>
  <c r="E12" i="65"/>
  <c r="D12" i="65"/>
  <c r="C12" i="65"/>
  <c r="G11" i="65"/>
  <c r="F11" i="65"/>
  <c r="E11" i="65"/>
  <c r="D11" i="65"/>
  <c r="C11" i="65"/>
  <c r="G10" i="65"/>
  <c r="F10" i="65"/>
  <c r="E10" i="65"/>
  <c r="D10" i="65"/>
  <c r="C10" i="65"/>
  <c r="D25" i="37"/>
  <c r="Z67" i="32" l="1"/>
  <c r="Z63" i="32"/>
  <c r="Z65" i="32" s="1"/>
  <c r="C25" i="37"/>
  <c r="B24" i="37"/>
  <c r="B23" i="37"/>
  <c r="B22" i="37"/>
  <c r="B21" i="37"/>
  <c r="B20" i="37"/>
  <c r="B19" i="37"/>
  <c r="B18" i="37"/>
  <c r="B17" i="37"/>
  <c r="B16" i="37"/>
  <c r="B15" i="37"/>
  <c r="B14" i="37"/>
  <c r="B13" i="37"/>
  <c r="B12" i="37"/>
  <c r="B11" i="37"/>
  <c r="B10" i="37"/>
  <c r="B9" i="37"/>
  <c r="L26" i="14"/>
  <c r="S9" i="75" s="1"/>
  <c r="Z66" i="32" l="1"/>
  <c r="H62" i="76"/>
  <c r="F87" i="58"/>
  <c r="F102" i="58"/>
  <c r="F52" i="49"/>
  <c r="M25" i="49" s="1"/>
  <c r="F109" i="58"/>
  <c r="F101" i="58"/>
  <c r="F51" i="49"/>
  <c r="M16" i="49" s="1"/>
  <c r="F106" i="58"/>
  <c r="F108" i="58"/>
  <c r="F50" i="49"/>
  <c r="M47" i="49" s="1"/>
  <c r="N47" i="49" s="1"/>
  <c r="H55" i="73"/>
  <c r="I55" i="73" s="1"/>
  <c r="F107" i="58"/>
  <c r="F49" i="49"/>
  <c r="M69" i="49" s="1"/>
  <c r="F89" i="58"/>
  <c r="N39" i="14"/>
  <c r="N38" i="14"/>
  <c r="N32" i="75" s="1"/>
  <c r="N37" i="14"/>
  <c r="N34" i="75" s="1"/>
  <c r="N36" i="14"/>
  <c r="N33" i="75" s="1"/>
  <c r="N26" i="14"/>
  <c r="H54" i="73"/>
  <c r="H45" i="73"/>
  <c r="H43" i="73"/>
  <c r="N35" i="75" l="1"/>
  <c r="O39" i="14"/>
  <c r="O26" i="14"/>
  <c r="N9" i="75"/>
  <c r="P26" i="14"/>
  <c r="R9" i="75" s="1"/>
  <c r="N25" i="14"/>
  <c r="N10" i="75" s="1"/>
  <c r="N13" i="14"/>
  <c r="N18" i="75" s="1"/>
  <c r="N11" i="14"/>
  <c r="N23" i="75" s="1"/>
  <c r="C24" i="37"/>
  <c r="C23" i="37"/>
  <c r="C22" i="37"/>
  <c r="C21" i="37"/>
  <c r="C20" i="37"/>
  <c r="C19" i="37"/>
  <c r="C18" i="37"/>
  <c r="C17" i="37"/>
  <c r="C16" i="37"/>
  <c r="C15" i="37"/>
  <c r="C14" i="37"/>
  <c r="C13" i="37"/>
  <c r="C12" i="37"/>
  <c r="C11" i="37"/>
  <c r="C10" i="37"/>
  <c r="C9" i="37"/>
  <c r="E41" i="50"/>
  <c r="E40" i="50"/>
  <c r="G40" i="50"/>
  <c r="G39" i="50"/>
  <c r="E39" i="50"/>
  <c r="G73" i="50"/>
  <c r="G69" i="50"/>
  <c r="G66" i="50"/>
  <c r="G55" i="50"/>
  <c r="G53" i="50"/>
  <c r="G49" i="50"/>
  <c r="G46" i="50"/>
  <c r="E83" i="50"/>
  <c r="E82" i="50"/>
  <c r="E81" i="50"/>
  <c r="E80" i="50"/>
  <c r="E79" i="50"/>
  <c r="E78" i="50"/>
  <c r="E76" i="50"/>
  <c r="E75" i="50"/>
  <c r="E74" i="50"/>
  <c r="E73" i="50"/>
  <c r="E72" i="50"/>
  <c r="E71" i="50"/>
  <c r="E70" i="50"/>
  <c r="E69" i="50"/>
  <c r="E68" i="50"/>
  <c r="E67" i="50"/>
  <c r="E66" i="50"/>
  <c r="E65" i="50"/>
  <c r="E64" i="50"/>
  <c r="E63" i="50"/>
  <c r="E62" i="50"/>
  <c r="E61" i="50"/>
  <c r="E60" i="50"/>
  <c r="E59" i="50"/>
  <c r="E58" i="50"/>
  <c r="E55" i="50"/>
  <c r="E54" i="50"/>
  <c r="E53" i="50"/>
  <c r="E52" i="50"/>
  <c r="E51" i="50"/>
  <c r="E50" i="50"/>
  <c r="E49" i="50"/>
  <c r="E48" i="50"/>
  <c r="E47" i="50"/>
  <c r="E46" i="50"/>
  <c r="E45" i="50"/>
  <c r="E44" i="50"/>
  <c r="C83" i="50"/>
  <c r="C82" i="50"/>
  <c r="C81" i="50"/>
  <c r="C80" i="50"/>
  <c r="C79" i="50"/>
  <c r="C78" i="50"/>
  <c r="C76" i="50"/>
  <c r="C75" i="50"/>
  <c r="C74" i="50"/>
  <c r="C73" i="50"/>
  <c r="C72" i="50"/>
  <c r="C71" i="50"/>
  <c r="C70" i="50"/>
  <c r="C69" i="50"/>
  <c r="C68" i="50"/>
  <c r="C67" i="50"/>
  <c r="C66" i="50"/>
  <c r="C65" i="50"/>
  <c r="C64" i="50"/>
  <c r="C63" i="50"/>
  <c r="C62" i="50"/>
  <c r="C61" i="50"/>
  <c r="C60" i="50"/>
  <c r="C59" i="50"/>
  <c r="C58" i="50"/>
  <c r="C55" i="50"/>
  <c r="C54" i="50"/>
  <c r="C53" i="50"/>
  <c r="C52" i="50"/>
  <c r="C51" i="50"/>
  <c r="C50" i="50"/>
  <c r="C49" i="50"/>
  <c r="C48" i="50"/>
  <c r="C47" i="50"/>
  <c r="C46" i="50"/>
  <c r="C45"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44" i="50"/>
  <c r="C40" i="50"/>
  <c r="C41" i="50"/>
  <c r="C39"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53" i="73"/>
  <c r="C53" i="73"/>
  <c r="E33" i="73"/>
  <c r="B33" i="73"/>
  <c r="D33" i="73" s="1"/>
  <c r="O9" i="75" l="1"/>
  <c r="F20" i="60"/>
  <c r="C33" i="73"/>
  <c r="L14" i="73"/>
  <c r="E18" i="76"/>
  <c r="B18" i="76"/>
  <c r="D18" i="76" s="1"/>
  <c r="C35" i="58"/>
  <c r="B35" i="58"/>
  <c r="C18" i="76" l="1"/>
  <c r="C37" i="32"/>
  <c r="B37" i="32"/>
  <c r="I31" i="17"/>
  <c r="E31" i="17" s="1"/>
  <c r="E15" i="37"/>
  <c r="F92" i="58" s="1"/>
  <c r="F100" i="58"/>
  <c r="G33" i="50" l="1"/>
  <c r="D35" i="58"/>
  <c r="G35" i="58" s="1"/>
  <c r="F18" i="76"/>
  <c r="I18" i="76" s="1"/>
  <c r="D37" i="32"/>
  <c r="G37" i="32" s="1"/>
  <c r="H48" i="73"/>
  <c r="N16" i="14"/>
  <c r="N19" i="75" s="1"/>
  <c r="N24" i="14"/>
  <c r="N29" i="75" s="1"/>
  <c r="O38" i="14"/>
  <c r="O37" i="14"/>
  <c r="O36" i="14"/>
  <c r="O30" i="14"/>
  <c r="X37" i="32" l="1"/>
  <c r="F25" i="60"/>
  <c r="O34" i="75"/>
  <c r="O35" i="75"/>
  <c r="F15" i="60"/>
  <c r="O32" i="75"/>
  <c r="F14" i="60"/>
  <c r="O24" i="75"/>
  <c r="F11" i="60"/>
  <c r="F29" i="60"/>
  <c r="O33" i="75"/>
  <c r="D67" i="76"/>
  <c r="C67" i="76"/>
  <c r="D66" i="76"/>
  <c r="C66" i="76"/>
  <c r="D65" i="76"/>
  <c r="C65" i="76"/>
  <c r="D64" i="76"/>
  <c r="C64" i="76"/>
  <c r="D63" i="76"/>
  <c r="C63" i="76"/>
  <c r="D62" i="76"/>
  <c r="C62" i="76"/>
  <c r="D61" i="76"/>
  <c r="C61" i="76"/>
  <c r="D60" i="76"/>
  <c r="C60" i="76"/>
  <c r="G59" i="76"/>
  <c r="E59" i="76"/>
  <c r="B59" i="76"/>
  <c r="D59" i="76" s="1"/>
  <c r="G58" i="76"/>
  <c r="E58" i="76"/>
  <c r="B58" i="76"/>
  <c r="D58" i="76" s="1"/>
  <c r="G57" i="76"/>
  <c r="E57" i="76"/>
  <c r="B57" i="76"/>
  <c r="D57" i="76" s="1"/>
  <c r="G56" i="76"/>
  <c r="E56" i="76"/>
  <c r="B56" i="76"/>
  <c r="D56" i="76" s="1"/>
  <c r="G55" i="76"/>
  <c r="E55" i="76"/>
  <c r="B55" i="76"/>
  <c r="C55" i="76" s="1"/>
  <c r="G54" i="76"/>
  <c r="E54" i="76"/>
  <c r="B54" i="76"/>
  <c r="D54" i="76" s="1"/>
  <c r="G51" i="76"/>
  <c r="E51" i="76"/>
  <c r="B51" i="76"/>
  <c r="D51" i="76" s="1"/>
  <c r="G50" i="76"/>
  <c r="E50" i="76"/>
  <c r="B50" i="76"/>
  <c r="D50" i="76" s="1"/>
  <c r="G49" i="76"/>
  <c r="E49" i="76"/>
  <c r="B49" i="76"/>
  <c r="D49" i="76" s="1"/>
  <c r="G48" i="76"/>
  <c r="F48" i="76"/>
  <c r="E48" i="76"/>
  <c r="B48" i="76"/>
  <c r="D48" i="76" s="1"/>
  <c r="G47" i="76"/>
  <c r="E47" i="76"/>
  <c r="B47" i="76"/>
  <c r="D47" i="76" s="1"/>
  <c r="G46" i="76"/>
  <c r="E46" i="76"/>
  <c r="B46" i="76"/>
  <c r="D46" i="76" s="1"/>
  <c r="G45" i="76"/>
  <c r="E45" i="76"/>
  <c r="B45" i="76"/>
  <c r="C45" i="76" s="1"/>
  <c r="F44" i="76"/>
  <c r="E44" i="76"/>
  <c r="B44" i="76"/>
  <c r="D44" i="76" s="1"/>
  <c r="G43" i="76"/>
  <c r="E43" i="76"/>
  <c r="B43" i="76"/>
  <c r="D43" i="76" s="1"/>
  <c r="G42" i="76"/>
  <c r="E42" i="76"/>
  <c r="B42" i="76"/>
  <c r="D42" i="76" s="1"/>
  <c r="F41" i="76"/>
  <c r="E41" i="76"/>
  <c r="B41" i="76"/>
  <c r="D41" i="76" s="1"/>
  <c r="G40" i="76"/>
  <c r="E40" i="76"/>
  <c r="B40" i="76"/>
  <c r="D40" i="76" s="1"/>
  <c r="G39" i="76"/>
  <c r="E39" i="76"/>
  <c r="B39" i="76"/>
  <c r="D39" i="76" s="1"/>
  <c r="G38" i="76"/>
  <c r="E38" i="76"/>
  <c r="B38" i="76"/>
  <c r="D38" i="76" s="1"/>
  <c r="G37" i="76"/>
  <c r="E37" i="76"/>
  <c r="B37" i="76"/>
  <c r="C37" i="76" s="1"/>
  <c r="G36" i="76"/>
  <c r="E36" i="76"/>
  <c r="B36" i="76"/>
  <c r="D36" i="76" s="1"/>
  <c r="G35" i="76"/>
  <c r="E35" i="76"/>
  <c r="B35" i="76"/>
  <c r="D35" i="76" s="1"/>
  <c r="G34" i="76"/>
  <c r="E34" i="76"/>
  <c r="B34" i="76"/>
  <c r="D34" i="76" s="1"/>
  <c r="G33" i="76"/>
  <c r="E33" i="76"/>
  <c r="B33" i="76"/>
  <c r="D33" i="76" s="1"/>
  <c r="F30" i="76"/>
  <c r="E30" i="76"/>
  <c r="B30" i="76"/>
  <c r="D30" i="76" s="1"/>
  <c r="G29" i="76"/>
  <c r="E29" i="76"/>
  <c r="B29" i="76"/>
  <c r="D29" i="76" s="1"/>
  <c r="F28" i="76"/>
  <c r="E28" i="76"/>
  <c r="B28" i="76"/>
  <c r="D28" i="76" s="1"/>
  <c r="G27" i="76"/>
  <c r="E27" i="76"/>
  <c r="B27" i="76"/>
  <c r="C27" i="76" s="1"/>
  <c r="G26" i="76"/>
  <c r="E26" i="76"/>
  <c r="B26" i="76"/>
  <c r="D26" i="76" s="1"/>
  <c r="G25" i="76"/>
  <c r="E25" i="76"/>
  <c r="B25" i="76"/>
  <c r="D25" i="76" s="1"/>
  <c r="F24" i="76"/>
  <c r="E24" i="76"/>
  <c r="B24" i="76"/>
  <c r="D24" i="76" s="1"/>
  <c r="G23" i="76"/>
  <c r="E23" i="76"/>
  <c r="B23" i="76"/>
  <c r="D23" i="76" s="1"/>
  <c r="G22" i="76"/>
  <c r="E22" i="76"/>
  <c r="B22" i="76"/>
  <c r="D22" i="76" s="1"/>
  <c r="F21" i="76"/>
  <c r="E21" i="76"/>
  <c r="B21" i="76"/>
  <c r="D21" i="76" s="1"/>
  <c r="G20" i="76"/>
  <c r="E20" i="76"/>
  <c r="B20" i="76"/>
  <c r="D20" i="76" s="1"/>
  <c r="G19" i="76"/>
  <c r="E19" i="76"/>
  <c r="B19" i="76"/>
  <c r="C19" i="76" s="1"/>
  <c r="E17" i="76"/>
  <c r="B17" i="76"/>
  <c r="D17" i="76" s="1"/>
  <c r="E15" i="76"/>
  <c r="B15" i="76"/>
  <c r="D15" i="76" s="1"/>
  <c r="E14" i="76"/>
  <c r="B14" i="76"/>
  <c r="C14" i="76" s="1"/>
  <c r="E13" i="76"/>
  <c r="B13" i="76"/>
  <c r="E4" i="76"/>
  <c r="E62" i="76" s="1"/>
  <c r="D57" i="73"/>
  <c r="D56" i="73"/>
  <c r="D54" i="73"/>
  <c r="D52" i="73"/>
  <c r="D51" i="73"/>
  <c r="D50" i="73"/>
  <c r="D48" i="73"/>
  <c r="D47" i="73"/>
  <c r="D46" i="73"/>
  <c r="D45" i="73"/>
  <c r="D44" i="73"/>
  <c r="D43" i="73"/>
  <c r="D42" i="73"/>
  <c r="C57" i="73"/>
  <c r="C56" i="73"/>
  <c r="C54" i="73"/>
  <c r="C52" i="73"/>
  <c r="C51" i="73"/>
  <c r="C50" i="73"/>
  <c r="C48" i="73"/>
  <c r="C47" i="73"/>
  <c r="C46" i="73"/>
  <c r="C45" i="73"/>
  <c r="C44" i="73"/>
  <c r="C43" i="73"/>
  <c r="C42" i="73"/>
  <c r="E2" i="75"/>
  <c r="D13" i="76" l="1"/>
  <c r="H2" i="76"/>
  <c r="O32" i="14"/>
  <c r="O13" i="75" s="1"/>
  <c r="N13" i="75"/>
  <c r="I48" i="76"/>
  <c r="C36" i="76"/>
  <c r="D27" i="76"/>
  <c r="C49" i="76"/>
  <c r="C26" i="76"/>
  <c r="D19" i="76"/>
  <c r="D55" i="76"/>
  <c r="C59" i="76"/>
  <c r="C33" i="76"/>
  <c r="D45" i="76"/>
  <c r="C54" i="76"/>
  <c r="C23" i="76"/>
  <c r="D37" i="76"/>
  <c r="C44" i="76"/>
  <c r="C41" i="76"/>
  <c r="D14" i="76"/>
  <c r="C17" i="76"/>
  <c r="C15" i="76"/>
  <c r="C25" i="76"/>
  <c r="C35" i="76"/>
  <c r="C43" i="76"/>
  <c r="C51" i="76"/>
  <c r="E66" i="76"/>
  <c r="C13" i="76"/>
  <c r="C24" i="76"/>
  <c r="C34" i="76"/>
  <c r="C42" i="76"/>
  <c r="C50" i="76"/>
  <c r="E63" i="76"/>
  <c r="C22" i="76"/>
  <c r="C30" i="76"/>
  <c r="C40" i="76"/>
  <c r="C48" i="76"/>
  <c r="C58" i="76"/>
  <c r="E61" i="76"/>
  <c r="E65" i="76"/>
  <c r="C21" i="76"/>
  <c r="C29" i="76"/>
  <c r="C39" i="76"/>
  <c r="C47" i="76"/>
  <c r="C57" i="76"/>
  <c r="C20" i="76"/>
  <c r="C28" i="76"/>
  <c r="C38" i="76"/>
  <c r="C46" i="76"/>
  <c r="C56" i="76"/>
  <c r="E67" i="76"/>
  <c r="E60" i="76"/>
  <c r="E64" i="76"/>
  <c r="E39" i="73" l="1"/>
  <c r="B39" i="73"/>
  <c r="F38" i="73"/>
  <c r="I38" i="73" s="1"/>
  <c r="E38" i="73"/>
  <c r="B38" i="73"/>
  <c r="F37" i="73"/>
  <c r="I37" i="73" s="1"/>
  <c r="E37" i="73"/>
  <c r="B37"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53" i="73" l="1"/>
  <c r="E55" i="73"/>
  <c r="E49" i="73"/>
  <c r="C18" i="73"/>
  <c r="D18" i="73"/>
  <c r="C26" i="73"/>
  <c r="D26" i="73"/>
  <c r="C39" i="73"/>
  <c r="D39" i="73"/>
  <c r="C13" i="73"/>
  <c r="D13" i="73"/>
  <c r="C21" i="73"/>
  <c r="D21" i="73"/>
  <c r="C35" i="73"/>
  <c r="D35" i="73"/>
  <c r="C16" i="73"/>
  <c r="D16" i="73"/>
  <c r="C24" i="73"/>
  <c r="D24" i="73"/>
  <c r="C32" i="73"/>
  <c r="D32" i="73"/>
  <c r="C37" i="73"/>
  <c r="D37" i="73"/>
  <c r="C19" i="73"/>
  <c r="D19" i="73"/>
  <c r="C27" i="73"/>
  <c r="D27" i="73"/>
  <c r="C15" i="73"/>
  <c r="D15" i="73"/>
  <c r="C14" i="73"/>
  <c r="D14" i="73"/>
  <c r="C22" i="73"/>
  <c r="D22" i="73"/>
  <c r="C30" i="73"/>
  <c r="D30" i="73"/>
  <c r="C23" i="73"/>
  <c r="D23" i="73"/>
  <c r="C31" i="73"/>
  <c r="D31" i="73"/>
  <c r="C17" i="73"/>
  <c r="D17" i="73"/>
  <c r="C25" i="73"/>
  <c r="D25" i="73"/>
  <c r="C38" i="73"/>
  <c r="D38" i="73"/>
  <c r="C12" i="73"/>
  <c r="D12" i="73"/>
  <c r="C20" i="73"/>
  <c r="D20" i="73"/>
  <c r="C28" i="73"/>
  <c r="D28" i="73"/>
  <c r="C34" i="73"/>
  <c r="D34" i="73"/>
  <c r="M9" i="73"/>
  <c r="E51" i="73"/>
  <c r="E42" i="73"/>
  <c r="E50" i="73"/>
  <c r="E56" i="73"/>
  <c r="E45" i="73"/>
  <c r="E43" i="73"/>
  <c r="E57" i="73"/>
  <c r="E48" i="73"/>
  <c r="E46" i="73"/>
  <c r="E54" i="73"/>
  <c r="E44" i="73"/>
  <c r="E52" i="73"/>
  <c r="E47" i="73"/>
  <c r="J15" i="70" l="1"/>
  <c r="C3" i="70"/>
  <c r="G9" i="70"/>
  <c r="G11" i="70"/>
  <c r="D15" i="70"/>
  <c r="F15" i="70"/>
  <c r="I15" i="70"/>
  <c r="F83" i="50"/>
  <c r="F34" i="50"/>
  <c r="G37" i="69"/>
  <c r="E30" i="69"/>
  <c r="E28" i="69"/>
  <c r="S26" i="69"/>
  <c r="E26" i="69"/>
  <c r="D24" i="69"/>
  <c r="D14" i="69"/>
  <c r="G11" i="69"/>
  <c r="D11" i="69"/>
  <c r="D8" i="69"/>
  <c r="E85" i="58"/>
  <c r="C85" i="58"/>
  <c r="B85" i="58"/>
  <c r="C36" i="58"/>
  <c r="B36" i="58"/>
  <c r="Q37" i="14"/>
  <c r="Q34" i="75" s="1"/>
  <c r="H15" i="70" l="1"/>
  <c r="D17" i="69"/>
  <c r="AD27" i="32"/>
  <c r="AC27" i="32"/>
  <c r="AC26" i="32"/>
  <c r="AC25" i="32"/>
  <c r="AC24" i="32"/>
  <c r="AC23" i="32"/>
  <c r="AC22" i="32"/>
  <c r="AC21" i="32"/>
  <c r="AC20" i="32"/>
  <c r="AC19" i="32"/>
  <c r="AC18" i="32"/>
  <c r="AC17" i="32"/>
  <c r="AC16" i="32"/>
  <c r="AC15" i="32"/>
  <c r="AC14" i="32"/>
  <c r="AC13" i="32"/>
  <c r="AC12" i="32"/>
  <c r="F57" i="32"/>
  <c r="G57" i="32" s="1"/>
  <c r="I32" i="17"/>
  <c r="E32" i="17" s="1"/>
  <c r="B38" i="32"/>
  <c r="C38" i="32"/>
  <c r="L40" i="14"/>
  <c r="S36" i="75" s="1"/>
  <c r="D24" i="37"/>
  <c r="L25" i="14"/>
  <c r="S10" i="75" s="1"/>
  <c r="S27" i="75" s="1"/>
  <c r="D43" i="40"/>
  <c r="E41" i="37" l="1"/>
  <c r="D48" i="49"/>
  <c r="G83" i="50"/>
  <c r="F59" i="76"/>
  <c r="I59" i="76" s="1"/>
  <c r="D85" i="58"/>
  <c r="G85" i="58" s="1"/>
  <c r="G34" i="50"/>
  <c r="F35" i="73"/>
  <c r="I35" i="73" s="1"/>
  <c r="D36" i="58"/>
  <c r="G36" i="58" s="1"/>
  <c r="D38" i="32"/>
  <c r="G38" i="32" s="1"/>
  <c r="I54" i="73"/>
  <c r="G101" i="58"/>
  <c r="Y57" i="32"/>
  <c r="I16" i="65"/>
  <c r="M16" i="65" s="1"/>
  <c r="I14" i="65"/>
  <c r="M14" i="65" s="1"/>
  <c r="I12" i="65"/>
  <c r="I11" i="65"/>
  <c r="M11" i="65" s="1"/>
  <c r="I10" i="65"/>
  <c r="M10" i="65" s="1"/>
  <c r="I15" i="65"/>
  <c r="M15" i="65" s="1"/>
  <c r="K81" i="49" l="1"/>
  <c r="N81" i="49" s="1"/>
  <c r="G48" i="49"/>
  <c r="K39" i="37"/>
  <c r="F53" i="49"/>
  <c r="M82" i="49" s="1"/>
  <c r="F110" i="58"/>
  <c r="N40" i="14"/>
  <c r="Y38" i="32"/>
  <c r="Y64" i="32"/>
  <c r="O25" i="14"/>
  <c r="P25" i="14"/>
  <c r="R10" i="75" s="1"/>
  <c r="F21" i="44"/>
  <c r="N36" i="75" l="1"/>
  <c r="O49" i="75" s="1"/>
  <c r="O40" i="14"/>
  <c r="O10" i="75"/>
  <c r="F19" i="60"/>
  <c r="E14" i="37"/>
  <c r="Y65" i="32" l="1"/>
  <c r="Y67" i="32"/>
  <c r="Y66" i="32"/>
  <c r="O36" i="75"/>
  <c r="F16" i="60"/>
  <c r="F91" i="58"/>
  <c r="H47" i="73"/>
  <c r="N15" i="14"/>
  <c r="N21" i="75" s="1"/>
  <c r="D2" i="14"/>
  <c r="C2" i="37" s="1"/>
  <c r="K6" i="37" s="1"/>
  <c r="G7" i="37" l="1"/>
  <c r="E7" i="37"/>
  <c r="D2" i="65"/>
  <c r="D3" i="44"/>
  <c r="K18" i="63"/>
  <c r="P96" i="62"/>
  <c r="P95" i="62"/>
  <c r="P94" i="62"/>
  <c r="P93" i="62"/>
  <c r="P92" i="62"/>
  <c r="P91" i="62"/>
  <c r="P90" i="62"/>
  <c r="P89" i="62"/>
  <c r="P88" i="62"/>
  <c r="P87" i="62"/>
  <c r="P86" i="62"/>
  <c r="P85" i="62"/>
  <c r="P84" i="62"/>
  <c r="P83" i="62"/>
  <c r="P82" i="62"/>
  <c r="P81" i="62"/>
  <c r="P80" i="62"/>
  <c r="P79" i="62"/>
  <c r="P78" i="62"/>
  <c r="P77" i="62"/>
  <c r="P76" i="62"/>
  <c r="P75" i="62"/>
  <c r="P74" i="62"/>
  <c r="P73" i="62"/>
  <c r="P72" i="62"/>
  <c r="P71" i="62"/>
  <c r="P70" i="62"/>
  <c r="P69" i="62"/>
  <c r="P68" i="62"/>
  <c r="P67" i="62"/>
  <c r="P66" i="62"/>
  <c r="P65" i="62"/>
  <c r="P64" i="62"/>
  <c r="P63" i="62"/>
  <c r="P62" i="62"/>
  <c r="P61" i="62"/>
  <c r="P60" i="62"/>
  <c r="P59" i="62"/>
  <c r="P58" i="62"/>
  <c r="P57" i="62"/>
  <c r="P56" i="62"/>
  <c r="P55" i="62"/>
  <c r="P54" i="62"/>
  <c r="P53" i="62"/>
  <c r="P52" i="62"/>
  <c r="P51" i="62"/>
  <c r="P50" i="62"/>
  <c r="P49" i="62"/>
  <c r="P48" i="62"/>
  <c r="P47" i="62"/>
  <c r="P46" i="62"/>
  <c r="P45" i="62"/>
  <c r="P44" i="62"/>
  <c r="P43" i="62"/>
  <c r="P42" i="62"/>
  <c r="P41" i="62"/>
  <c r="P40" i="62"/>
  <c r="P39" i="62"/>
  <c r="P38" i="62"/>
  <c r="P37" i="62"/>
  <c r="P36" i="62"/>
  <c r="P35" i="62"/>
  <c r="P34" i="62"/>
  <c r="P33" i="62"/>
  <c r="P32" i="62"/>
  <c r="P31" i="62"/>
  <c r="P30" i="62"/>
  <c r="P29" i="62"/>
  <c r="P28" i="62"/>
  <c r="P27" i="62"/>
  <c r="P26" i="62"/>
  <c r="P25" i="62"/>
  <c r="P24" i="62"/>
  <c r="P23" i="62"/>
  <c r="P22" i="62"/>
  <c r="P21" i="62"/>
  <c r="P20" i="62"/>
  <c r="P19" i="62"/>
  <c r="P18" i="62"/>
  <c r="P17" i="62"/>
  <c r="P16" i="62"/>
  <c r="P15" i="62"/>
  <c r="P14" i="62"/>
  <c r="P13" i="62"/>
  <c r="P12" i="62"/>
  <c r="P11" i="62"/>
  <c r="P10" i="62"/>
  <c r="P9" i="62"/>
  <c r="P8" i="62"/>
  <c r="AD13" i="32"/>
  <c r="AD14" i="32"/>
  <c r="AD15" i="32"/>
  <c r="AD16" i="32"/>
  <c r="AD17" i="32"/>
  <c r="AD18" i="32"/>
  <c r="AD19" i="32"/>
  <c r="AD20" i="32"/>
  <c r="AD21" i="32"/>
  <c r="AD22" i="32"/>
  <c r="AD23" i="32"/>
  <c r="AD24" i="32"/>
  <c r="AD12" i="32"/>
  <c r="L73" i="62"/>
  <c r="L72" i="62"/>
  <c r="L71" i="62"/>
  <c r="L70" i="62"/>
  <c r="L69" i="62"/>
  <c r="L68" i="62"/>
  <c r="L67" i="62"/>
  <c r="L66" i="62"/>
  <c r="L65" i="62"/>
  <c r="L64" i="62"/>
  <c r="L63" i="62"/>
  <c r="L62" i="62"/>
  <c r="L60" i="62"/>
  <c r="L59" i="62"/>
  <c r="L57" i="62"/>
  <c r="L56" i="62"/>
  <c r="L55" i="62"/>
  <c r="L54" i="62"/>
  <c r="L53" i="62"/>
  <c r="L52" i="62"/>
  <c r="L51" i="62"/>
  <c r="L50" i="62"/>
  <c r="L48" i="62"/>
  <c r="L46" i="62"/>
  <c r="L45" i="62"/>
  <c r="L44" i="62"/>
  <c r="L42" i="62"/>
  <c r="L41" i="62"/>
  <c r="L39" i="62"/>
  <c r="L38" i="62"/>
  <c r="L37" i="62"/>
  <c r="L36" i="62"/>
  <c r="L35" i="62"/>
  <c r="L34" i="62"/>
  <c r="L33" i="62"/>
  <c r="L32" i="62"/>
  <c r="L31" i="62"/>
  <c r="L30" i="62"/>
  <c r="L29" i="62"/>
  <c r="L28" i="62"/>
  <c r="L27" i="62"/>
  <c r="L26" i="62"/>
  <c r="L25" i="62"/>
  <c r="L24" i="62"/>
  <c r="L23" i="62"/>
  <c r="L22" i="62"/>
  <c r="L21" i="62"/>
  <c r="L20" i="62"/>
  <c r="L19" i="62"/>
  <c r="L18" i="62"/>
  <c r="L17" i="62"/>
  <c r="L16" i="62"/>
  <c r="L15" i="62"/>
  <c r="L14" i="62"/>
  <c r="L13" i="62"/>
  <c r="L12" i="62"/>
  <c r="L11" i="62"/>
  <c r="L10" i="62"/>
  <c r="L9" i="62"/>
  <c r="L8" i="62"/>
  <c r="K65" i="62"/>
  <c r="K61" i="62"/>
  <c r="K58" i="62"/>
  <c r="K49" i="62"/>
  <c r="K47" i="62"/>
  <c r="K43" i="62"/>
  <c r="K40" i="62"/>
  <c r="K36" i="62"/>
  <c r="K35" i="62"/>
  <c r="K32" i="62"/>
  <c r="E84" i="58"/>
  <c r="C84" i="58"/>
  <c r="B84" i="58"/>
  <c r="E83" i="58"/>
  <c r="C83" i="58"/>
  <c r="B83" i="58"/>
  <c r="E82" i="58"/>
  <c r="C82" i="58"/>
  <c r="B82" i="58"/>
  <c r="E81" i="58"/>
  <c r="C81" i="58"/>
  <c r="B81" i="58"/>
  <c r="E80" i="58"/>
  <c r="C80" i="58"/>
  <c r="B80" i="58"/>
  <c r="E77" i="58"/>
  <c r="C77" i="58"/>
  <c r="B77" i="58"/>
  <c r="E76" i="58"/>
  <c r="C76" i="58"/>
  <c r="B76" i="58"/>
  <c r="E75" i="58"/>
  <c r="C75" i="58"/>
  <c r="B75" i="58"/>
  <c r="E74" i="58"/>
  <c r="D74" i="58"/>
  <c r="C74" i="58"/>
  <c r="B74" i="58"/>
  <c r="E73" i="58"/>
  <c r="C73" i="58"/>
  <c r="B73" i="58"/>
  <c r="E72" i="58"/>
  <c r="C72" i="58"/>
  <c r="B72" i="58"/>
  <c r="E71" i="58"/>
  <c r="C71" i="58"/>
  <c r="B71" i="58"/>
  <c r="D70" i="58"/>
  <c r="C70" i="58"/>
  <c r="B70" i="58"/>
  <c r="E69" i="58"/>
  <c r="C69" i="58"/>
  <c r="B69" i="58"/>
  <c r="E68" i="58"/>
  <c r="C68" i="58"/>
  <c r="B68" i="58"/>
  <c r="D67" i="58"/>
  <c r="C67" i="58"/>
  <c r="B67" i="58"/>
  <c r="E66" i="58"/>
  <c r="C66" i="58"/>
  <c r="B66" i="58"/>
  <c r="E65" i="58"/>
  <c r="C65" i="58"/>
  <c r="B65" i="58"/>
  <c r="E64" i="58"/>
  <c r="C64" i="58"/>
  <c r="B64" i="58"/>
  <c r="E63" i="58"/>
  <c r="C63" i="58"/>
  <c r="B63" i="58"/>
  <c r="E62" i="58"/>
  <c r="C62" i="58"/>
  <c r="B62" i="58"/>
  <c r="E61" i="58"/>
  <c r="C61" i="58"/>
  <c r="B61" i="58"/>
  <c r="E60" i="58"/>
  <c r="C60" i="58"/>
  <c r="B60" i="58"/>
  <c r="E59" i="58"/>
  <c r="C59" i="58"/>
  <c r="B59" i="58"/>
  <c r="D56" i="58"/>
  <c r="C56" i="58"/>
  <c r="B56" i="58"/>
  <c r="E55" i="58"/>
  <c r="C55" i="58"/>
  <c r="B55" i="58"/>
  <c r="D54" i="58"/>
  <c r="C54" i="58"/>
  <c r="B54" i="58"/>
  <c r="E53" i="58"/>
  <c r="C53" i="58"/>
  <c r="B53" i="58"/>
  <c r="E52" i="58"/>
  <c r="C52" i="58"/>
  <c r="B52" i="58"/>
  <c r="E51" i="58"/>
  <c r="C51" i="58"/>
  <c r="B51" i="58"/>
  <c r="D50" i="58"/>
  <c r="C50" i="58"/>
  <c r="B50" i="58"/>
  <c r="E49" i="58"/>
  <c r="C49" i="58"/>
  <c r="B49" i="58"/>
  <c r="E48" i="58"/>
  <c r="C48" i="58"/>
  <c r="B48" i="58"/>
  <c r="D47" i="58"/>
  <c r="C47" i="58"/>
  <c r="B47" i="58"/>
  <c r="E46" i="58"/>
  <c r="C46" i="58"/>
  <c r="B46" i="58"/>
  <c r="E45" i="58"/>
  <c r="C45" i="58"/>
  <c r="B45" i="58"/>
  <c r="C42" i="58"/>
  <c r="B42" i="58"/>
  <c r="D41" i="58"/>
  <c r="C41" i="58"/>
  <c r="B41" i="58"/>
  <c r="D40" i="58"/>
  <c r="C40" i="58"/>
  <c r="B40"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D48" i="39"/>
  <c r="C48" i="39"/>
  <c r="D47" i="39"/>
  <c r="C47" i="39"/>
  <c r="E46" i="39"/>
  <c r="D46" i="39"/>
  <c r="C46" i="39"/>
  <c r="D45" i="39"/>
  <c r="C45" i="39"/>
  <c r="D44" i="39"/>
  <c r="C44" i="39"/>
  <c r="D43" i="39"/>
  <c r="C43" i="39"/>
  <c r="D42" i="39"/>
  <c r="C42" i="39"/>
  <c r="D41" i="39"/>
  <c r="C41" i="39"/>
  <c r="D40" i="39"/>
  <c r="C40" i="39"/>
  <c r="D39" i="39"/>
  <c r="C39" i="39"/>
  <c r="D38" i="39"/>
  <c r="C38" i="39"/>
  <c r="D37" i="39"/>
  <c r="C37" i="39"/>
  <c r="D36" i="39"/>
  <c r="C36" i="39"/>
  <c r="D35" i="39"/>
  <c r="C35" i="39"/>
  <c r="D34" i="39"/>
  <c r="C34" i="39"/>
  <c r="D33" i="39"/>
  <c r="C33" i="39"/>
  <c r="D32" i="39"/>
  <c r="C32" i="39"/>
  <c r="D31" i="39"/>
  <c r="C31" i="39"/>
  <c r="D30" i="39"/>
  <c r="C30" i="39"/>
  <c r="D29" i="39"/>
  <c r="C29" i="39"/>
  <c r="D28" i="39"/>
  <c r="C28" i="39"/>
  <c r="D27" i="39"/>
  <c r="C27" i="39"/>
  <c r="D26" i="39"/>
  <c r="C26" i="39"/>
  <c r="D25" i="39"/>
  <c r="C25" i="39"/>
  <c r="D24" i="39"/>
  <c r="C24" i="39"/>
  <c r="D23" i="39"/>
  <c r="C23" i="39"/>
  <c r="D22" i="39"/>
  <c r="C22" i="39"/>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N5" i="63" l="1"/>
  <c r="J28" i="63" l="1"/>
  <c r="K28" i="63"/>
  <c r="I28" i="63"/>
  <c r="H28" i="63"/>
  <c r="G28" i="63"/>
  <c r="I96" i="62"/>
  <c r="I95" i="62"/>
  <c r="I94" i="62"/>
  <c r="I93" i="62"/>
  <c r="I92" i="62"/>
  <c r="I91" i="62"/>
  <c r="I90" i="62"/>
  <c r="I89" i="62"/>
  <c r="I88" i="62"/>
  <c r="I87" i="62"/>
  <c r="I86" i="62"/>
  <c r="I85" i="62"/>
  <c r="I84" i="62"/>
  <c r="I83" i="62"/>
  <c r="I82" i="62"/>
  <c r="I81" i="62"/>
  <c r="I80" i="62"/>
  <c r="I79" i="62"/>
  <c r="I78" i="62"/>
  <c r="I77" i="62"/>
  <c r="I76" i="62"/>
  <c r="I75" i="62"/>
  <c r="I74" i="62"/>
  <c r="I73" i="62"/>
  <c r="I72" i="62"/>
  <c r="I71" i="62"/>
  <c r="I70" i="62"/>
  <c r="I69" i="62"/>
  <c r="I68" i="62"/>
  <c r="I67" i="62"/>
  <c r="I66" i="62"/>
  <c r="I65" i="62"/>
  <c r="I64" i="62"/>
  <c r="I63" i="62"/>
  <c r="I62" i="62"/>
  <c r="I61" i="62"/>
  <c r="I60" i="62"/>
  <c r="I59" i="62"/>
  <c r="I58" i="62"/>
  <c r="I57" i="62"/>
  <c r="I56" i="62"/>
  <c r="I55" i="62"/>
  <c r="I54" i="62"/>
  <c r="I53" i="62"/>
  <c r="I52" i="62"/>
  <c r="I51" i="62"/>
  <c r="I50" i="62"/>
  <c r="I49" i="62"/>
  <c r="I48" i="62"/>
  <c r="I47" i="62"/>
  <c r="I46" i="62"/>
  <c r="I45" i="62"/>
  <c r="I44" i="62"/>
  <c r="I43" i="62"/>
  <c r="I42" i="62"/>
  <c r="I41" i="62"/>
  <c r="I40" i="62"/>
  <c r="I39" i="62"/>
  <c r="I38" i="62"/>
  <c r="I37" i="62"/>
  <c r="I36" i="62"/>
  <c r="I35" i="62"/>
  <c r="I34" i="62"/>
  <c r="I33" i="62"/>
  <c r="I32" i="62"/>
  <c r="I31" i="62"/>
  <c r="I30" i="62"/>
  <c r="I29" i="62"/>
  <c r="I28" i="62"/>
  <c r="I27" i="62"/>
  <c r="I26" i="62"/>
  <c r="I25" i="62"/>
  <c r="I24" i="62"/>
  <c r="I23" i="62"/>
  <c r="I22" i="62"/>
  <c r="I21" i="62"/>
  <c r="I20" i="62"/>
  <c r="I19" i="62"/>
  <c r="I18" i="62"/>
  <c r="I17" i="62"/>
  <c r="I16" i="62"/>
  <c r="I15" i="62"/>
  <c r="I14" i="62"/>
  <c r="I13" i="62"/>
  <c r="I12" i="62"/>
  <c r="I11" i="62"/>
  <c r="I10" i="62"/>
  <c r="I9" i="62"/>
  <c r="I8" i="62"/>
  <c r="H8" i="62"/>
  <c r="H96" i="62"/>
  <c r="H95" i="62"/>
  <c r="H94" i="62"/>
  <c r="H93" i="62"/>
  <c r="H92" i="62"/>
  <c r="H91" i="62"/>
  <c r="H90" i="62"/>
  <c r="H89" i="62"/>
  <c r="H88" i="62"/>
  <c r="H87" i="62"/>
  <c r="H86" i="62"/>
  <c r="H85" i="62"/>
  <c r="H84" i="62"/>
  <c r="H83" i="62"/>
  <c r="H82" i="62"/>
  <c r="H81" i="62"/>
  <c r="H80" i="62"/>
  <c r="H79" i="62"/>
  <c r="H78" i="62"/>
  <c r="H77" i="62"/>
  <c r="H76" i="62"/>
  <c r="H75" i="62"/>
  <c r="H74" i="62"/>
  <c r="H73" i="62"/>
  <c r="H72" i="62"/>
  <c r="H71" i="62"/>
  <c r="H70" i="62"/>
  <c r="H69" i="62"/>
  <c r="H68" i="62"/>
  <c r="H67" i="62"/>
  <c r="H66" i="62"/>
  <c r="H65" i="62"/>
  <c r="H64" i="62"/>
  <c r="H63" i="62"/>
  <c r="H62" i="62"/>
  <c r="H61" i="62"/>
  <c r="H60" i="62"/>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H12" i="62"/>
  <c r="H11" i="62"/>
  <c r="H10" i="62"/>
  <c r="H9" i="62"/>
  <c r="K49" i="39"/>
  <c r="K48" i="39"/>
  <c r="K47" i="39"/>
  <c r="K46" i="39"/>
  <c r="K45" i="39"/>
  <c r="K44" i="39"/>
  <c r="K43" i="39"/>
  <c r="K42" i="39"/>
  <c r="K41" i="39"/>
  <c r="K40" i="39"/>
  <c r="K39" i="39"/>
  <c r="K38" i="39"/>
  <c r="K37" i="39"/>
  <c r="K36" i="39"/>
  <c r="K35" i="39"/>
  <c r="K34" i="39"/>
  <c r="K33" i="39"/>
  <c r="K32" i="39"/>
  <c r="K31" i="39"/>
  <c r="K30" i="39"/>
  <c r="K29" i="39"/>
  <c r="K28" i="39"/>
  <c r="K27" i="39"/>
  <c r="K26" i="39"/>
  <c r="K25" i="39"/>
  <c r="K24" i="39"/>
  <c r="K23" i="39"/>
  <c r="K22" i="39"/>
  <c r="J64" i="39"/>
  <c r="J63" i="39"/>
  <c r="J62" i="39"/>
  <c r="J61" i="39"/>
  <c r="J60" i="39"/>
  <c r="J59" i="39"/>
  <c r="J58" i="39"/>
  <c r="J57" i="39"/>
  <c r="J56" i="39"/>
  <c r="J55" i="39"/>
  <c r="J54" i="39"/>
  <c r="J53" i="39"/>
  <c r="J52" i="39"/>
  <c r="J51" i="39"/>
  <c r="J50" i="39"/>
  <c r="J49" i="39"/>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I64" i="39"/>
  <c r="I63" i="39"/>
  <c r="I62" i="39"/>
  <c r="I61" i="39"/>
  <c r="I60" i="39"/>
  <c r="I59" i="39"/>
  <c r="I58" i="39"/>
  <c r="I57" i="39"/>
  <c r="I56" i="39"/>
  <c r="I55" i="39"/>
  <c r="I54" i="39"/>
  <c r="I53" i="39"/>
  <c r="I52" i="39"/>
  <c r="I51" i="39"/>
  <c r="I50" i="39"/>
  <c r="I49" i="39"/>
  <c r="I46" i="39"/>
  <c r="X9" i="62" l="1"/>
  <c r="T13" i="62"/>
  <c r="S13" i="62"/>
  <c r="T61" i="62"/>
  <c r="R61" i="62"/>
  <c r="T11" i="62"/>
  <c r="S11" i="62"/>
  <c r="T19" i="62"/>
  <c r="S19" i="62"/>
  <c r="T27" i="62"/>
  <c r="S27" i="62"/>
  <c r="T35" i="62"/>
  <c r="S35" i="62"/>
  <c r="R35" i="62"/>
  <c r="T43" i="62"/>
  <c r="R43" i="62"/>
  <c r="T51" i="62"/>
  <c r="S51" i="62"/>
  <c r="T59" i="62"/>
  <c r="S59" i="62"/>
  <c r="T67" i="62"/>
  <c r="S67" i="62"/>
  <c r="S75" i="62"/>
  <c r="R75" i="62"/>
  <c r="S83" i="62"/>
  <c r="R83" i="62"/>
  <c r="S91" i="62"/>
  <c r="R91" i="62"/>
  <c r="T29" i="62"/>
  <c r="S29" i="62"/>
  <c r="S85" i="62"/>
  <c r="R85" i="62"/>
  <c r="T12" i="62"/>
  <c r="S12" i="62"/>
  <c r="T20" i="62"/>
  <c r="S20" i="62"/>
  <c r="T28" i="62"/>
  <c r="S28" i="62"/>
  <c r="R36" i="62"/>
  <c r="T36" i="62"/>
  <c r="S36" i="62"/>
  <c r="T44" i="62"/>
  <c r="S44" i="62"/>
  <c r="T52" i="62"/>
  <c r="S52" i="62"/>
  <c r="T60" i="62"/>
  <c r="S60" i="62"/>
  <c r="T68" i="62"/>
  <c r="S68" i="62"/>
  <c r="R76" i="62"/>
  <c r="S76" i="62"/>
  <c r="R84" i="62"/>
  <c r="S84" i="62"/>
  <c r="T53" i="62"/>
  <c r="S53" i="62"/>
  <c r="T14" i="62"/>
  <c r="S14" i="62"/>
  <c r="T22" i="62"/>
  <c r="S22" i="62"/>
  <c r="T30" i="62"/>
  <c r="S30" i="62"/>
  <c r="T38" i="62"/>
  <c r="S38" i="62"/>
  <c r="T46" i="62"/>
  <c r="S46" i="62"/>
  <c r="T54" i="62"/>
  <c r="S54" i="62"/>
  <c r="T62" i="62"/>
  <c r="S62" i="62"/>
  <c r="T70" i="62"/>
  <c r="S70" i="62"/>
  <c r="R78" i="62"/>
  <c r="S78" i="62"/>
  <c r="R86" i="62"/>
  <c r="S86" i="62"/>
  <c r="S94" i="62"/>
  <c r="R94" i="62"/>
  <c r="T45" i="62"/>
  <c r="S45" i="62"/>
  <c r="T15" i="62"/>
  <c r="S15" i="62"/>
  <c r="T23" i="62"/>
  <c r="S23" i="62"/>
  <c r="T31" i="62"/>
  <c r="S31" i="62"/>
  <c r="T39" i="62"/>
  <c r="S39" i="62"/>
  <c r="T47" i="62"/>
  <c r="R47" i="62"/>
  <c r="T55" i="62"/>
  <c r="S55" i="62"/>
  <c r="T63" i="62"/>
  <c r="S63" i="62"/>
  <c r="T71" i="62"/>
  <c r="S71" i="62"/>
  <c r="S79" i="62"/>
  <c r="R79" i="62"/>
  <c r="S87" i="62"/>
  <c r="R87" i="62"/>
  <c r="R95" i="62"/>
  <c r="S95" i="62"/>
  <c r="T37" i="62"/>
  <c r="S37" i="62"/>
  <c r="R93" i="62"/>
  <c r="S93" i="62"/>
  <c r="T16" i="62"/>
  <c r="S16" i="62"/>
  <c r="T24" i="62"/>
  <c r="S24" i="62"/>
  <c r="R32" i="62"/>
  <c r="T32" i="62"/>
  <c r="S32" i="62"/>
  <c r="R40" i="62"/>
  <c r="T40" i="62"/>
  <c r="T48" i="62"/>
  <c r="S48" i="62"/>
  <c r="T56" i="62"/>
  <c r="S56" i="62"/>
  <c r="T64" i="62"/>
  <c r="S64" i="62"/>
  <c r="T72" i="62"/>
  <c r="S72" i="62"/>
  <c r="R80" i="62"/>
  <c r="S80" i="62"/>
  <c r="R88" i="62"/>
  <c r="S88" i="62"/>
  <c r="S96" i="62"/>
  <c r="R96" i="62"/>
  <c r="T21" i="62"/>
  <c r="S21" i="62"/>
  <c r="S77" i="62"/>
  <c r="R77" i="62"/>
  <c r="T9" i="62"/>
  <c r="S9" i="62"/>
  <c r="T17" i="62"/>
  <c r="S17" i="62"/>
  <c r="T25" i="62"/>
  <c r="S25" i="62"/>
  <c r="T33" i="62"/>
  <c r="S33" i="62"/>
  <c r="T41" i="62"/>
  <c r="S41" i="62"/>
  <c r="T49" i="62"/>
  <c r="R49" i="62"/>
  <c r="T57" i="62"/>
  <c r="S57" i="62"/>
  <c r="T65" i="62"/>
  <c r="S65" i="62"/>
  <c r="R65" i="62"/>
  <c r="T73" i="62"/>
  <c r="S73" i="62"/>
  <c r="S81" i="62"/>
  <c r="R81" i="62"/>
  <c r="S89" i="62"/>
  <c r="R89" i="62"/>
  <c r="T69" i="62"/>
  <c r="S69" i="62"/>
  <c r="T10" i="62"/>
  <c r="S10" i="62"/>
  <c r="T18" i="62"/>
  <c r="S18" i="62"/>
  <c r="T26" i="62"/>
  <c r="S26" i="62"/>
  <c r="T34" i="62"/>
  <c r="S34" i="62"/>
  <c r="T42" i="62"/>
  <c r="S42" i="62"/>
  <c r="T50" i="62"/>
  <c r="S50" i="62"/>
  <c r="R58" i="62"/>
  <c r="T58" i="62"/>
  <c r="T66" i="62"/>
  <c r="S66" i="62"/>
  <c r="R74" i="62"/>
  <c r="S74" i="62"/>
  <c r="R82" i="62"/>
  <c r="S82" i="62"/>
  <c r="R90" i="62"/>
  <c r="S90" i="62"/>
  <c r="R92" i="62"/>
  <c r="S92" i="62"/>
  <c r="F11" i="44"/>
  <c r="N65" i="62" l="1"/>
  <c r="U65" i="62" s="1"/>
  <c r="N36" i="62"/>
  <c r="U36" i="62" s="1"/>
  <c r="N35" i="62"/>
  <c r="U35" i="62" s="1"/>
  <c r="N32" i="62"/>
  <c r="U32" i="62" s="1"/>
  <c r="G4" i="62"/>
  <c r="J96" i="62" s="1"/>
  <c r="T8" i="62" l="1"/>
  <c r="S8" i="62"/>
  <c r="J77" i="62"/>
  <c r="J81" i="62"/>
  <c r="J85" i="62"/>
  <c r="J89" i="62"/>
  <c r="J93" i="62"/>
  <c r="J74" i="62"/>
  <c r="J78" i="62"/>
  <c r="J82" i="62"/>
  <c r="J86" i="62"/>
  <c r="J90" i="62"/>
  <c r="J94" i="62"/>
  <c r="J75" i="62"/>
  <c r="J79" i="62"/>
  <c r="J83" i="62"/>
  <c r="J87" i="62"/>
  <c r="J91" i="62"/>
  <c r="J95" i="62"/>
  <c r="J76" i="62"/>
  <c r="J80" i="62"/>
  <c r="J84" i="62"/>
  <c r="J88" i="62"/>
  <c r="J92" i="62"/>
  <c r="G74" i="58"/>
  <c r="G41" i="58"/>
  <c r="G40" i="58"/>
  <c r="G32" i="58"/>
  <c r="C4" i="58"/>
  <c r="C103" i="58" s="1"/>
  <c r="L49" i="39"/>
  <c r="O23" i="39"/>
  <c r="D14" i="51"/>
  <c r="D11" i="51"/>
  <c r="F82" i="50"/>
  <c r="F81" i="50"/>
  <c r="F80" i="50"/>
  <c r="F79" i="50"/>
  <c r="F78" i="50"/>
  <c r="F76" i="50"/>
  <c r="F75" i="50"/>
  <c r="F74" i="50"/>
  <c r="F73" i="50"/>
  <c r="F72" i="50"/>
  <c r="F71" i="50"/>
  <c r="F70" i="50"/>
  <c r="F69" i="50"/>
  <c r="F68" i="50"/>
  <c r="F67" i="50"/>
  <c r="F66" i="50"/>
  <c r="F65" i="50"/>
  <c r="F64" i="50"/>
  <c r="F63" i="50"/>
  <c r="F62" i="50"/>
  <c r="F61" i="50"/>
  <c r="F60" i="50"/>
  <c r="F59" i="50"/>
  <c r="F58" i="50"/>
  <c r="F55" i="50"/>
  <c r="F54" i="50"/>
  <c r="F53" i="50"/>
  <c r="F52" i="50"/>
  <c r="F51" i="50"/>
  <c r="F50" i="50"/>
  <c r="F49" i="50"/>
  <c r="F48" i="50"/>
  <c r="F47" i="50"/>
  <c r="F46" i="50"/>
  <c r="F45" i="50"/>
  <c r="F44" i="50"/>
  <c r="F41" i="50"/>
  <c r="F40" i="50"/>
  <c r="F39"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56" i="32"/>
  <c r="G56" i="32" s="1"/>
  <c r="F48" i="32"/>
  <c r="G48" i="32" s="1"/>
  <c r="F45" i="32"/>
  <c r="G45" i="32" s="1"/>
  <c r="F43" i="32"/>
  <c r="G43" i="32" s="1"/>
  <c r="H34" i="32"/>
  <c r="G10" i="52"/>
  <c r="G9" i="52"/>
  <c r="S12" i="52"/>
  <c r="G11" i="51" s="1"/>
  <c r="T10" i="52"/>
  <c r="T9" i="52"/>
  <c r="R10" i="52"/>
  <c r="Q10" i="52" s="1"/>
  <c r="R9" i="52"/>
  <c r="Q9" i="52" s="1"/>
  <c r="J34" i="52"/>
  <c r="J33" i="52"/>
  <c r="J32" i="52"/>
  <c r="N29" i="52"/>
  <c r="N28" i="52"/>
  <c r="N20" i="52"/>
  <c r="N19" i="52"/>
  <c r="N9" i="52"/>
  <c r="J25" i="52"/>
  <c r="J24" i="52"/>
  <c r="J23" i="52"/>
  <c r="J15" i="52"/>
  <c r="E39" i="17"/>
  <c r="M28" i="49"/>
  <c r="N25" i="49"/>
  <c r="M85" i="49"/>
  <c r="M19" i="49"/>
  <c r="N16" i="49"/>
  <c r="N10" i="49"/>
  <c r="Q15" i="49"/>
  <c r="G49" i="49"/>
  <c r="G50" i="49"/>
  <c r="G52" i="49"/>
  <c r="G51" i="49"/>
  <c r="G37" i="49"/>
  <c r="G35" i="40"/>
  <c r="D35" i="40" s="1"/>
  <c r="G34" i="40"/>
  <c r="D34" i="40" s="1"/>
  <c r="G33" i="40"/>
  <c r="D33" i="40" s="1"/>
  <c r="K23" i="50" l="1"/>
  <c r="Q23" i="50"/>
  <c r="R23" i="50"/>
  <c r="L23" i="50"/>
  <c r="S23" i="50"/>
  <c r="M23" i="50"/>
  <c r="E14" i="51"/>
  <c r="E14" i="69"/>
  <c r="G76" i="50"/>
  <c r="M21" i="50" s="1"/>
  <c r="F51" i="76"/>
  <c r="I51" i="76" s="1"/>
  <c r="D38" i="49"/>
  <c r="K11" i="49" s="1"/>
  <c r="N11" i="49" s="1"/>
  <c r="G74" i="50"/>
  <c r="F49" i="76"/>
  <c r="I49" i="76" s="1"/>
  <c r="G75" i="50"/>
  <c r="F50" i="76"/>
  <c r="I50" i="76" s="1"/>
  <c r="D11" i="52"/>
  <c r="G41" i="50"/>
  <c r="F39" i="73"/>
  <c r="D42" i="58"/>
  <c r="G42" i="58" s="1"/>
  <c r="K37" i="62"/>
  <c r="L13" i="50"/>
  <c r="R22" i="50"/>
  <c r="L22" i="50"/>
  <c r="S22" i="50"/>
  <c r="M22" i="50"/>
  <c r="Q22" i="50"/>
  <c r="K22" i="50"/>
  <c r="M10" i="50"/>
  <c r="M8" i="50"/>
  <c r="M7" i="50"/>
  <c r="Q14" i="50"/>
  <c r="C102" i="58"/>
  <c r="C101" i="58"/>
  <c r="K68" i="62"/>
  <c r="D77" i="58"/>
  <c r="G77" i="58" s="1"/>
  <c r="K66" i="62"/>
  <c r="D75" i="58"/>
  <c r="G75" i="58" s="1"/>
  <c r="D76" i="58"/>
  <c r="G76" i="58" s="1"/>
  <c r="K67" i="62"/>
  <c r="S13" i="50"/>
  <c r="Q15" i="50"/>
  <c r="R14" i="50"/>
  <c r="L21" i="50"/>
  <c r="R21" i="50"/>
  <c r="R28" i="50" s="1"/>
  <c r="R13" i="50"/>
  <c r="C93" i="58"/>
  <c r="C109" i="58"/>
  <c r="C86" i="58"/>
  <c r="C100" i="58"/>
  <c r="C92" i="58"/>
  <c r="C108" i="58"/>
  <c r="C99" i="58"/>
  <c r="C91" i="58"/>
  <c r="C107" i="58"/>
  <c r="C98" i="58"/>
  <c r="C90" i="58"/>
  <c r="C106" i="58"/>
  <c r="C97" i="58"/>
  <c r="C89" i="58"/>
  <c r="C96" i="58"/>
  <c r="C88" i="58"/>
  <c r="C105" i="58"/>
  <c r="C95" i="58"/>
  <c r="C87" i="58"/>
  <c r="C104" i="58"/>
  <c r="C94" i="58"/>
  <c r="C110" i="58"/>
  <c r="S12" i="50"/>
  <c r="L14" i="50"/>
  <c r="Q21" i="50"/>
  <c r="Q28" i="50" s="1"/>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S28" i="50" s="1"/>
  <c r="D17" i="51"/>
  <c r="Y9" i="52"/>
  <c r="Y10" i="52"/>
  <c r="T12" i="52"/>
  <c r="H11" i="69" s="1"/>
  <c r="G38" i="49" l="1"/>
  <c r="R37" i="62"/>
  <c r="N37" i="62"/>
  <c r="U37" i="62" s="1"/>
  <c r="I39" i="73"/>
  <c r="R11" i="52"/>
  <c r="G11" i="52"/>
  <c r="L26" i="50"/>
  <c r="R26" i="50"/>
  <c r="Q26" i="50"/>
  <c r="R67" i="62"/>
  <c r="N67" i="62"/>
  <c r="U67" i="62" s="1"/>
  <c r="R66" i="62"/>
  <c r="N66" i="62"/>
  <c r="U66" i="62" s="1"/>
  <c r="R68" i="62"/>
  <c r="N68" i="62"/>
  <c r="U68" i="62" s="1"/>
  <c r="H11" i="51"/>
  <c r="Q11" i="52" l="1"/>
  <c r="Q12" i="52" s="1"/>
  <c r="Y11" i="52"/>
  <c r="R12" i="52"/>
  <c r="Q18" i="52"/>
  <c r="N69" i="49"/>
  <c r="F11" i="69" l="1"/>
  <c r="Y12" i="52"/>
  <c r="F11" i="51"/>
  <c r="E11" i="51"/>
  <c r="E11" i="69"/>
  <c r="D38" i="40"/>
  <c r="D43" i="49" s="1"/>
  <c r="G43" i="49" s="1"/>
  <c r="J37" i="14"/>
  <c r="K34" i="75" s="1"/>
  <c r="K33" i="75"/>
  <c r="D31" i="40"/>
  <c r="O28" i="10"/>
  <c r="P27" i="10"/>
  <c r="K20" i="10"/>
  <c r="L22" i="10" s="1"/>
  <c r="L15" i="10"/>
  <c r="L20" i="10" s="1"/>
  <c r="L23" i="10" s="1"/>
  <c r="P12" i="10"/>
  <c r="P15" i="10" s="1"/>
  <c r="L11" i="10"/>
  <c r="T8" i="10"/>
  <c r="I24" i="14"/>
  <c r="J29" i="75" s="1"/>
  <c r="I22" i="14"/>
  <c r="J30" i="75" s="1"/>
  <c r="I21" i="14"/>
  <c r="J11" i="75" s="1"/>
  <c r="I18" i="14"/>
  <c r="J16" i="75" s="1"/>
  <c r="I17" i="14"/>
  <c r="J14" i="75" s="1"/>
  <c r="I16" i="14"/>
  <c r="J19" i="75" s="1"/>
  <c r="I13" i="14"/>
  <c r="J18" i="75" s="1"/>
  <c r="I11" i="14"/>
  <c r="J23" i="75" s="1"/>
  <c r="E16" i="44"/>
  <c r="F38" i="44"/>
  <c r="F19" i="44"/>
  <c r="I19" i="14" s="1"/>
  <c r="J17" i="75" s="1"/>
  <c r="D36" i="49" l="1"/>
  <c r="G72" i="50"/>
  <c r="F47" i="76"/>
  <c r="I47" i="76" s="1"/>
  <c r="M11" i="51"/>
  <c r="M11" i="69"/>
  <c r="K24" i="49"/>
  <c r="F54" i="76"/>
  <c r="I54" i="76" s="1"/>
  <c r="G78" i="50"/>
  <c r="K64" i="62"/>
  <c r="D73" i="58"/>
  <c r="G73" i="58" s="1"/>
  <c r="D80" i="58"/>
  <c r="K69" i="62"/>
  <c r="P21" i="10"/>
  <c r="P22" i="10" s="1"/>
  <c r="K9" i="49" l="1"/>
  <c r="G36" i="49"/>
  <c r="J28" i="49"/>
  <c r="N24" i="49"/>
  <c r="J29" i="49"/>
  <c r="M27" i="49"/>
  <c r="J30" i="49"/>
  <c r="M13" i="50"/>
  <c r="R64" i="62"/>
  <c r="N64" i="62"/>
  <c r="U64" i="62" s="1"/>
  <c r="R69" i="62"/>
  <c r="N69" i="62"/>
  <c r="U69" i="62" s="1"/>
  <c r="G80" i="58"/>
  <c r="P28" i="10"/>
  <c r="P23" i="10"/>
  <c r="M18" i="49" l="1"/>
  <c r="J21" i="49"/>
  <c r="J20" i="49"/>
  <c r="J19" i="49"/>
  <c r="N9" i="49"/>
  <c r="P31" i="10"/>
  <c r="P30" i="10"/>
  <c r="F20" i="44" l="1"/>
  <c r="I20" i="14" s="1"/>
  <c r="J15" i="75" s="1"/>
  <c r="E23" i="44" l="1"/>
  <c r="F23" i="44" s="1"/>
  <c r="I23" i="14" s="1"/>
  <c r="J31" i="75" s="1"/>
  <c r="F14" i="44" l="1"/>
  <c r="I14" i="14" s="1"/>
  <c r="J20" i="75" s="1"/>
  <c r="F12" i="44" l="1"/>
  <c r="I12" i="14" s="1"/>
  <c r="J22" i="75" s="1"/>
  <c r="F15" i="44"/>
  <c r="I15" i="14" s="1"/>
  <c r="J21" i="75" s="1"/>
  <c r="F10" i="44"/>
  <c r="I10" i="14" s="1"/>
  <c r="J25" i="75" s="1"/>
  <c r="K31" i="14" l="1"/>
  <c r="N31" i="14" l="1"/>
  <c r="L12" i="75"/>
  <c r="E11" i="37"/>
  <c r="F88" i="58" s="1"/>
  <c r="O31" i="14" l="1"/>
  <c r="O12" i="75" s="1"/>
  <c r="N12" i="75"/>
  <c r="H44" i="73"/>
  <c r="N12" i="14"/>
  <c r="N22" i="75" s="1"/>
  <c r="F44" i="32"/>
  <c r="G44" i="32" s="1"/>
  <c r="D27" i="40"/>
  <c r="D9" i="40"/>
  <c r="D42" i="40"/>
  <c r="D41" i="40"/>
  <c r="D40" i="40"/>
  <c r="D39" i="40"/>
  <c r="D30" i="40"/>
  <c r="D29" i="40"/>
  <c r="E28" i="40"/>
  <c r="D26" i="40"/>
  <c r="E25" i="40"/>
  <c r="D24" i="40"/>
  <c r="D23" i="40"/>
  <c r="D22" i="40"/>
  <c r="D21" i="40"/>
  <c r="D20" i="40"/>
  <c r="D19" i="40"/>
  <c r="D18" i="40"/>
  <c r="D17" i="40"/>
  <c r="E14" i="40"/>
  <c r="D13" i="40"/>
  <c r="E12" i="40"/>
  <c r="D11" i="40"/>
  <c r="D10" i="40"/>
  <c r="E8" i="40"/>
  <c r="D7" i="40"/>
  <c r="D6" i="40"/>
  <c r="E5" i="40"/>
  <c r="D4" i="40"/>
  <c r="D3" i="40"/>
  <c r="H46" i="50" l="1"/>
  <c r="S15" i="50" s="1"/>
  <c r="E10" i="49"/>
  <c r="G21" i="76"/>
  <c r="D14" i="49"/>
  <c r="G50" i="50"/>
  <c r="F25" i="76"/>
  <c r="I25" i="76" s="1"/>
  <c r="D22" i="49"/>
  <c r="G58" i="50"/>
  <c r="M9" i="50" s="1"/>
  <c r="F33" i="76"/>
  <c r="I33" i="76" s="1"/>
  <c r="H66" i="50"/>
  <c r="S14" i="50" s="1"/>
  <c r="E30" i="49"/>
  <c r="G41" i="76"/>
  <c r="I41" i="76" s="1"/>
  <c r="D12" i="49"/>
  <c r="G48" i="50"/>
  <c r="F23" i="76"/>
  <c r="I23" i="76" s="1"/>
  <c r="D23" i="49"/>
  <c r="G59" i="50"/>
  <c r="M12" i="50" s="1"/>
  <c r="F34" i="76"/>
  <c r="I34" i="76" s="1"/>
  <c r="H49" i="50"/>
  <c r="E13" i="49"/>
  <c r="G24" i="76"/>
  <c r="I24" i="76" s="1"/>
  <c r="D24" i="49"/>
  <c r="G60" i="50"/>
  <c r="M11" i="50" s="1"/>
  <c r="F35" i="76"/>
  <c r="I35" i="76" s="1"/>
  <c r="E33" i="49"/>
  <c r="H69" i="50"/>
  <c r="S17" i="50" s="1"/>
  <c r="G44" i="76"/>
  <c r="I44" i="76" s="1"/>
  <c r="D32" i="49"/>
  <c r="G68" i="50"/>
  <c r="M17" i="50" s="1"/>
  <c r="F43" i="76"/>
  <c r="I43" i="76" s="1"/>
  <c r="D11" i="49"/>
  <c r="G47" i="50"/>
  <c r="F22" i="76"/>
  <c r="I22" i="76" s="1"/>
  <c r="D47" i="49"/>
  <c r="G82" i="50"/>
  <c r="F58" i="76"/>
  <c r="I58" i="76" s="1"/>
  <c r="D31" i="49"/>
  <c r="G67" i="50"/>
  <c r="M16" i="50" s="1"/>
  <c r="F42" i="76"/>
  <c r="I42" i="76" s="1"/>
  <c r="D15" i="49"/>
  <c r="G51" i="50"/>
  <c r="F26" i="76"/>
  <c r="I26" i="76" s="1"/>
  <c r="D25" i="49"/>
  <c r="G61" i="50"/>
  <c r="F36" i="76"/>
  <c r="I36" i="76" s="1"/>
  <c r="D34" i="49"/>
  <c r="G70" i="50"/>
  <c r="F45" i="76"/>
  <c r="I45" i="76" s="1"/>
  <c r="D16" i="49"/>
  <c r="G52" i="50"/>
  <c r="F27" i="76"/>
  <c r="I27" i="76" s="1"/>
  <c r="D35" i="49"/>
  <c r="G71" i="50"/>
  <c r="F46" i="76"/>
  <c r="I46" i="76" s="1"/>
  <c r="D8" i="49"/>
  <c r="G44" i="50"/>
  <c r="F19" i="76"/>
  <c r="I19" i="76" s="1"/>
  <c r="D27" i="49"/>
  <c r="G63" i="50"/>
  <c r="F38" i="76"/>
  <c r="I38" i="76" s="1"/>
  <c r="D44" i="49"/>
  <c r="G79" i="50"/>
  <c r="F55" i="76"/>
  <c r="I55" i="76" s="1"/>
  <c r="D26" i="49"/>
  <c r="G62" i="50"/>
  <c r="F37" i="76"/>
  <c r="I37" i="76" s="1"/>
  <c r="E17" i="49"/>
  <c r="H53" i="50"/>
  <c r="S18" i="50" s="1"/>
  <c r="G28" i="76"/>
  <c r="I28" i="76" s="1"/>
  <c r="D9" i="49"/>
  <c r="G45" i="50"/>
  <c r="F20" i="76"/>
  <c r="I20" i="76" s="1"/>
  <c r="D18" i="49"/>
  <c r="G54" i="50"/>
  <c r="M20" i="50" s="1"/>
  <c r="F29" i="76"/>
  <c r="I29" i="76" s="1"/>
  <c r="D28" i="49"/>
  <c r="G64" i="50"/>
  <c r="F39" i="76"/>
  <c r="I39" i="76" s="1"/>
  <c r="D45" i="49"/>
  <c r="G80" i="50"/>
  <c r="M19" i="50" s="1"/>
  <c r="F56" i="76"/>
  <c r="I56" i="76" s="1"/>
  <c r="E19" i="49"/>
  <c r="H55" i="50"/>
  <c r="S20" i="50" s="1"/>
  <c r="G30" i="76"/>
  <c r="I30" i="76" s="1"/>
  <c r="D29" i="49"/>
  <c r="G65" i="50"/>
  <c r="F40" i="76"/>
  <c r="I40" i="76" s="1"/>
  <c r="D46" i="49"/>
  <c r="G81" i="50"/>
  <c r="F57" i="76"/>
  <c r="I57" i="76" s="1"/>
  <c r="K42" i="62"/>
  <c r="D49" i="58"/>
  <c r="G49" i="58" s="1"/>
  <c r="K53" i="62"/>
  <c r="D62" i="58"/>
  <c r="G62" i="58" s="1"/>
  <c r="K63" i="62"/>
  <c r="D72" i="58"/>
  <c r="G72" i="58" s="1"/>
  <c r="D68" i="58"/>
  <c r="G68" i="58" s="1"/>
  <c r="K59" i="62"/>
  <c r="K60" i="62"/>
  <c r="D69" i="58"/>
  <c r="G69" i="58" s="1"/>
  <c r="K54" i="62"/>
  <c r="D63" i="58"/>
  <c r="G63" i="58" s="1"/>
  <c r="L47" i="62"/>
  <c r="E54" i="58"/>
  <c r="G54" i="58" s="1"/>
  <c r="K55" i="62"/>
  <c r="D64" i="58"/>
  <c r="G64" i="58" s="1"/>
  <c r="D81" i="58"/>
  <c r="G81" i="58" s="1"/>
  <c r="K70" i="62"/>
  <c r="D61" i="58"/>
  <c r="G61" i="58" s="1"/>
  <c r="K52" i="62"/>
  <c r="K45" i="62"/>
  <c r="D52" i="58"/>
  <c r="G52" i="58" s="1"/>
  <c r="K39" i="62"/>
  <c r="D46" i="58"/>
  <c r="G46" i="58" s="1"/>
  <c r="K71" i="62"/>
  <c r="D82" i="58"/>
  <c r="G82" i="58" s="1"/>
  <c r="D60" i="58"/>
  <c r="G60" i="58" s="1"/>
  <c r="K51" i="62"/>
  <c r="E50" i="58"/>
  <c r="G50" i="58" s="1"/>
  <c r="L43" i="62"/>
  <c r="K62" i="62"/>
  <c r="D71" i="58"/>
  <c r="G71" i="58" s="1"/>
  <c r="K38" i="62"/>
  <c r="D45" i="58"/>
  <c r="K56" i="62"/>
  <c r="D65" i="58"/>
  <c r="G65" i="58" s="1"/>
  <c r="L40" i="62"/>
  <c r="E47" i="58"/>
  <c r="L49" i="62"/>
  <c r="E56" i="58"/>
  <c r="G56" i="58" s="1"/>
  <c r="K57" i="62"/>
  <c r="D66" i="58"/>
  <c r="G66" i="58" s="1"/>
  <c r="D83" i="58"/>
  <c r="G83" i="58" s="1"/>
  <c r="K72" i="62"/>
  <c r="D51" i="58"/>
  <c r="G51" i="58" s="1"/>
  <c r="K44" i="62"/>
  <c r="E70" i="58"/>
  <c r="G70" i="58" s="1"/>
  <c r="L61" i="62"/>
  <c r="K46" i="62"/>
  <c r="D53" i="58"/>
  <c r="G53" i="58" s="1"/>
  <c r="K48" i="62"/>
  <c r="D55" i="58"/>
  <c r="G55" i="58" s="1"/>
  <c r="K41" i="62"/>
  <c r="D48" i="58"/>
  <c r="G48" i="58" s="1"/>
  <c r="K50" i="62"/>
  <c r="D59" i="58"/>
  <c r="G59" i="58" s="1"/>
  <c r="E67" i="58"/>
  <c r="G67" i="58" s="1"/>
  <c r="L58" i="62"/>
  <c r="K73" i="62"/>
  <c r="D84" i="58"/>
  <c r="G84" i="58" s="1"/>
  <c r="M34" i="32"/>
  <c r="X56" i="32"/>
  <c r="X64" i="32" s="1"/>
  <c r="P48" i="32"/>
  <c r="L44" i="32"/>
  <c r="L64" i="32" s="1"/>
  <c r="K43" i="32"/>
  <c r="K64" i="32" s="1"/>
  <c r="M14" i="50" l="1"/>
  <c r="L66" i="49"/>
  <c r="N66" i="49" s="1"/>
  <c r="G19" i="49"/>
  <c r="M15" i="50"/>
  <c r="K55" i="49"/>
  <c r="G8" i="49"/>
  <c r="K58" i="49"/>
  <c r="N58" i="49" s="1"/>
  <c r="G11" i="49"/>
  <c r="K33" i="49"/>
  <c r="G22" i="49"/>
  <c r="K78" i="49"/>
  <c r="N78" i="49" s="1"/>
  <c r="G45" i="49"/>
  <c r="K56" i="49"/>
  <c r="N56" i="49" s="1"/>
  <c r="G9" i="49"/>
  <c r="K45" i="49"/>
  <c r="N45" i="49" s="1"/>
  <c r="G34" i="49"/>
  <c r="K35" i="49"/>
  <c r="N35" i="49" s="1"/>
  <c r="G24" i="49"/>
  <c r="K62" i="49"/>
  <c r="N62" i="49" s="1"/>
  <c r="G15" i="49"/>
  <c r="K77" i="49"/>
  <c r="G44" i="49"/>
  <c r="K42" i="49"/>
  <c r="N42" i="49" s="1"/>
  <c r="G31" i="49"/>
  <c r="K59" i="49"/>
  <c r="N59" i="49" s="1"/>
  <c r="G12" i="49"/>
  <c r="M18" i="50"/>
  <c r="K40" i="49"/>
  <c r="N40" i="49" s="1"/>
  <c r="G29" i="49"/>
  <c r="K39" i="49"/>
  <c r="N39" i="49" s="1"/>
  <c r="G28" i="49"/>
  <c r="K46" i="49"/>
  <c r="N46" i="49" s="1"/>
  <c r="G35" i="49"/>
  <c r="K43" i="49"/>
  <c r="N43" i="49" s="1"/>
  <c r="G32" i="49"/>
  <c r="L60" i="49"/>
  <c r="N60" i="49" s="1"/>
  <c r="G13" i="49"/>
  <c r="K61" i="49"/>
  <c r="N61" i="49" s="1"/>
  <c r="G14" i="49"/>
  <c r="K79" i="49"/>
  <c r="N79" i="49" s="1"/>
  <c r="G46" i="49"/>
  <c r="K37" i="49"/>
  <c r="N37" i="49" s="1"/>
  <c r="G26" i="49"/>
  <c r="K34" i="49"/>
  <c r="N34" i="49" s="1"/>
  <c r="G23" i="49"/>
  <c r="L64" i="49"/>
  <c r="N64" i="49" s="1"/>
  <c r="G17" i="49"/>
  <c r="K36" i="49"/>
  <c r="N36" i="49" s="1"/>
  <c r="G25" i="49"/>
  <c r="L41" i="49"/>
  <c r="G30" i="49"/>
  <c r="I21" i="76"/>
  <c r="M9" i="76"/>
  <c r="L14" i="76"/>
  <c r="K38" i="49"/>
  <c r="N38" i="49" s="1"/>
  <c r="G27" i="49"/>
  <c r="K80" i="49"/>
  <c r="N80" i="49" s="1"/>
  <c r="G47" i="49"/>
  <c r="S26" i="50"/>
  <c r="L57" i="49"/>
  <c r="G10" i="49"/>
  <c r="K65" i="49"/>
  <c r="N65" i="49" s="1"/>
  <c r="G18" i="49"/>
  <c r="K63" i="49"/>
  <c r="N63" i="49" s="1"/>
  <c r="G16" i="49"/>
  <c r="L44" i="49"/>
  <c r="N44" i="49" s="1"/>
  <c r="G33" i="49"/>
  <c r="P64" i="32"/>
  <c r="R44" i="62"/>
  <c r="N44" i="62"/>
  <c r="U44" i="62" s="1"/>
  <c r="G47" i="58"/>
  <c r="L9" i="58"/>
  <c r="S43" i="62"/>
  <c r="N43" i="62"/>
  <c r="U43" i="62" s="1"/>
  <c r="R39" i="62"/>
  <c r="N39" i="62"/>
  <c r="U39" i="62" s="1"/>
  <c r="S40" i="62"/>
  <c r="N40" i="62"/>
  <c r="U40" i="62" s="1"/>
  <c r="R45" i="62"/>
  <c r="N45" i="62"/>
  <c r="U45" i="62" s="1"/>
  <c r="S47" i="62"/>
  <c r="N47" i="62"/>
  <c r="U47" i="62" s="1"/>
  <c r="R63" i="62"/>
  <c r="N63" i="62"/>
  <c r="U63" i="62" s="1"/>
  <c r="R50" i="62"/>
  <c r="N50" i="62"/>
  <c r="U50" i="62" s="1"/>
  <c r="S49" i="62"/>
  <c r="N49" i="62"/>
  <c r="U49" i="62" s="1"/>
  <c r="R41" i="62"/>
  <c r="N41" i="62"/>
  <c r="U41" i="62" s="1"/>
  <c r="R72" i="62"/>
  <c r="N72" i="62"/>
  <c r="U72" i="62" s="1"/>
  <c r="R51" i="62"/>
  <c r="N51" i="62"/>
  <c r="U51" i="62" s="1"/>
  <c r="R52" i="62"/>
  <c r="N52" i="62"/>
  <c r="U52" i="62" s="1"/>
  <c r="R62" i="62"/>
  <c r="N62" i="62"/>
  <c r="U62" i="62" s="1"/>
  <c r="R56" i="62"/>
  <c r="N56" i="62"/>
  <c r="U56" i="62" s="1"/>
  <c r="R54" i="62"/>
  <c r="N54" i="62"/>
  <c r="U54" i="62" s="1"/>
  <c r="R53" i="62"/>
  <c r="N53" i="62"/>
  <c r="U53" i="62" s="1"/>
  <c r="S61" i="62"/>
  <c r="N61" i="62"/>
  <c r="U61" i="62" s="1"/>
  <c r="R48" i="62"/>
  <c r="N48" i="62"/>
  <c r="U48" i="62" s="1"/>
  <c r="S58" i="62"/>
  <c r="N58" i="62"/>
  <c r="U58" i="62" s="1"/>
  <c r="G45" i="58"/>
  <c r="R70" i="62"/>
  <c r="N70" i="62"/>
  <c r="U70" i="62" s="1"/>
  <c r="R59" i="62"/>
  <c r="N59" i="62"/>
  <c r="U59" i="62" s="1"/>
  <c r="R55" i="62"/>
  <c r="N55" i="62"/>
  <c r="U55" i="62" s="1"/>
  <c r="R73" i="62"/>
  <c r="N73" i="62"/>
  <c r="U73" i="62" s="1"/>
  <c r="R46" i="62"/>
  <c r="N46" i="62"/>
  <c r="U46" i="62" s="1"/>
  <c r="R57" i="62"/>
  <c r="N57" i="62"/>
  <c r="U57" i="62" s="1"/>
  <c r="R38" i="62"/>
  <c r="N38" i="62"/>
  <c r="U38" i="62" s="1"/>
  <c r="R71" i="62"/>
  <c r="N71" i="62"/>
  <c r="U71" i="62" s="1"/>
  <c r="R60" i="62"/>
  <c r="N60" i="62"/>
  <c r="U60" i="62" s="1"/>
  <c r="R42" i="62"/>
  <c r="N42" i="62"/>
  <c r="U42" i="62" s="1"/>
  <c r="L46" i="39"/>
  <c r="S23" i="39"/>
  <c r="H24" i="69" s="1"/>
  <c r="M26" i="50" l="1"/>
  <c r="M49" i="49"/>
  <c r="J51" i="49"/>
  <c r="N33" i="49"/>
  <c r="M72" i="49"/>
  <c r="J74" i="49"/>
  <c r="J72" i="49"/>
  <c r="N57" i="49"/>
  <c r="M84" i="49"/>
  <c r="J87" i="49"/>
  <c r="N77" i="49"/>
  <c r="M71" i="49"/>
  <c r="J73" i="49"/>
  <c r="N55" i="49"/>
  <c r="M50" i="49"/>
  <c r="J52" i="49"/>
  <c r="J50" i="49"/>
  <c r="N41" i="49"/>
  <c r="AB9" i="62"/>
  <c r="E25" i="17"/>
  <c r="E24" i="17"/>
  <c r="E17" i="17"/>
  <c r="E16" i="17"/>
  <c r="I30" i="17"/>
  <c r="E30" i="17" s="1"/>
  <c r="G32" i="50" s="1"/>
  <c r="K21" i="50" s="1"/>
  <c r="I29" i="17"/>
  <c r="E29" i="17" s="1"/>
  <c r="I27" i="17"/>
  <c r="E27" i="17" s="1"/>
  <c r="I26" i="17"/>
  <c r="E26" i="17" s="1"/>
  <c r="I23" i="17"/>
  <c r="E23" i="1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E26" i="39"/>
  <c r="I26" i="39" s="1"/>
  <c r="L26" i="39" s="1"/>
  <c r="D14" i="32"/>
  <c r="K12" i="62"/>
  <c r="G23" i="50"/>
  <c r="F29" i="73"/>
  <c r="I29" i="73" s="1"/>
  <c r="K25" i="62"/>
  <c r="D25" i="58"/>
  <c r="G25" i="58" s="1"/>
  <c r="E39" i="39"/>
  <c r="D27" i="32"/>
  <c r="G19" i="50"/>
  <c r="F25" i="73"/>
  <c r="I25" i="73" s="1"/>
  <c r="K21" i="62"/>
  <c r="E35" i="39"/>
  <c r="I35" i="39" s="1"/>
  <c r="L35" i="39" s="1"/>
  <c r="D21" i="58"/>
  <c r="G21" i="58" s="1"/>
  <c r="D23" i="32"/>
  <c r="E17" i="37"/>
  <c r="F94" i="58" s="1"/>
  <c r="G24" i="50"/>
  <c r="F30" i="73"/>
  <c r="I30" i="73" s="1"/>
  <c r="K26" i="62"/>
  <c r="D26" i="58"/>
  <c r="G26" i="58" s="1"/>
  <c r="E40" i="39"/>
  <c r="D28" i="32"/>
  <c r="G26" i="50"/>
  <c r="F32" i="73"/>
  <c r="I32" i="73" s="1"/>
  <c r="D28" i="58"/>
  <c r="G28" i="58" s="1"/>
  <c r="E42" i="39"/>
  <c r="I42" i="39" s="1"/>
  <c r="L42" i="39" s="1"/>
  <c r="D30" i="32"/>
  <c r="K28" i="62"/>
  <c r="E18" i="37"/>
  <c r="F95" i="58" s="1"/>
  <c r="G25" i="50"/>
  <c r="F31" i="73"/>
  <c r="I31" i="73" s="1"/>
  <c r="K27" i="62"/>
  <c r="D27" i="58"/>
  <c r="G27" i="58" s="1"/>
  <c r="E41" i="39"/>
  <c r="I41" i="39" s="1"/>
  <c r="L41" i="39" s="1"/>
  <c r="D29" i="32"/>
  <c r="G27" i="50"/>
  <c r="F33" i="73"/>
  <c r="I33" i="73" s="1"/>
  <c r="D29" i="58"/>
  <c r="G29" i="58" s="1"/>
  <c r="E43" i="39"/>
  <c r="D31" i="32"/>
  <c r="H31" i="32" s="1"/>
  <c r="K29" i="62"/>
  <c r="G17" i="50"/>
  <c r="F23" i="73"/>
  <c r="I23" i="73" s="1"/>
  <c r="K19" i="62"/>
  <c r="D19" i="58"/>
  <c r="G19" i="58" s="1"/>
  <c r="E33" i="39"/>
  <c r="I33" i="39" s="1"/>
  <c r="L33" i="39" s="1"/>
  <c r="D21" i="32"/>
  <c r="G6" i="50"/>
  <c r="F12" i="73"/>
  <c r="K8" i="62"/>
  <c r="D8" i="58"/>
  <c r="G8" i="58" s="1"/>
  <c r="E22" i="39"/>
  <c r="I22" i="39" s="1"/>
  <c r="L22" i="39" s="1"/>
  <c r="D10" i="32"/>
  <c r="G14" i="50"/>
  <c r="F20" i="73"/>
  <c r="I20" i="73" s="1"/>
  <c r="K16" i="62"/>
  <c r="D16" i="58"/>
  <c r="G16" i="58" s="1"/>
  <c r="E30" i="39"/>
  <c r="I30" i="39" s="1"/>
  <c r="L30" i="39" s="1"/>
  <c r="D18" i="32"/>
  <c r="G29" i="50"/>
  <c r="F14" i="76"/>
  <c r="I14" i="76" s="1"/>
  <c r="D31" i="58"/>
  <c r="G31" i="58" s="1"/>
  <c r="E45" i="39"/>
  <c r="D33" i="32"/>
  <c r="K31" i="62"/>
  <c r="G28" i="50"/>
  <c r="F13" i="76"/>
  <c r="I13" i="76" s="1"/>
  <c r="D30" i="58"/>
  <c r="G30" i="58" s="1"/>
  <c r="E44" i="39"/>
  <c r="D32" i="32"/>
  <c r="K30" i="62"/>
  <c r="G7" i="50"/>
  <c r="F13" i="73"/>
  <c r="I13" i="73" s="1"/>
  <c r="K9" i="62"/>
  <c r="D9" i="58"/>
  <c r="G9" i="58" s="1"/>
  <c r="E23" i="39"/>
  <c r="I23" i="39" s="1"/>
  <c r="L23" i="39" s="1"/>
  <c r="D11" i="32"/>
  <c r="G15" i="50"/>
  <c r="F21" i="73"/>
  <c r="I21" i="73" s="1"/>
  <c r="K17" i="62"/>
  <c r="D17" i="58"/>
  <c r="G17" i="58" s="1"/>
  <c r="E31" i="39"/>
  <c r="I31" i="39" s="1"/>
  <c r="L31" i="39" s="1"/>
  <c r="D19" i="32"/>
  <c r="G31" i="50"/>
  <c r="F15" i="76"/>
  <c r="I15" i="76" s="1"/>
  <c r="K33" i="62"/>
  <c r="D33" i="58"/>
  <c r="G33" i="58" s="1"/>
  <c r="E47" i="39"/>
  <c r="D35" i="32"/>
  <c r="G12" i="50"/>
  <c r="F18" i="73"/>
  <c r="I18" i="73" s="1"/>
  <c r="D14" i="58"/>
  <c r="G14" i="58" s="1"/>
  <c r="E28" i="39"/>
  <c r="I28" i="39" s="1"/>
  <c r="L28" i="39" s="1"/>
  <c r="D16" i="32"/>
  <c r="K14" i="62"/>
  <c r="G13" i="50"/>
  <c r="F19" i="73"/>
  <c r="I19" i="73" s="1"/>
  <c r="D15" i="58"/>
  <c r="G15" i="58" s="1"/>
  <c r="E29" i="39"/>
  <c r="I29" i="39" s="1"/>
  <c r="L29" i="39" s="1"/>
  <c r="D17" i="32"/>
  <c r="K15" i="62"/>
  <c r="G8" i="50"/>
  <c r="F14" i="73"/>
  <c r="I14" i="73" s="1"/>
  <c r="K10" i="62"/>
  <c r="D12" i="32"/>
  <c r="D10" i="58"/>
  <c r="G10" i="58" s="1"/>
  <c r="E24" i="39"/>
  <c r="I24" i="39" s="1"/>
  <c r="L24" i="39" s="1"/>
  <c r="G16" i="50"/>
  <c r="K13" i="50" s="1"/>
  <c r="F22" i="73"/>
  <c r="I22" i="73" s="1"/>
  <c r="K18" i="62"/>
  <c r="D20" i="32"/>
  <c r="D18" i="58"/>
  <c r="G18" i="58" s="1"/>
  <c r="E32" i="39"/>
  <c r="I32" i="39" s="1"/>
  <c r="L32" i="39" s="1"/>
  <c r="G9" i="50"/>
  <c r="F15" i="73"/>
  <c r="I15" i="73" s="1"/>
  <c r="D11" i="58"/>
  <c r="G11" i="58" s="1"/>
  <c r="E25" i="39"/>
  <c r="I25" i="39" s="1"/>
  <c r="L25" i="39" s="1"/>
  <c r="D13" i="32"/>
  <c r="K11" i="62"/>
  <c r="G22" i="50"/>
  <c r="K14" i="50" s="1"/>
  <c r="F28" i="73"/>
  <c r="I28" i="73" s="1"/>
  <c r="K24" i="62"/>
  <c r="D24" i="58"/>
  <c r="G24" i="58" s="1"/>
  <c r="E38" i="39"/>
  <c r="I38" i="39" s="1"/>
  <c r="L38" i="39" s="1"/>
  <c r="D26" i="32"/>
  <c r="G18" i="50"/>
  <c r="F24" i="73"/>
  <c r="I24" i="73" s="1"/>
  <c r="D20" i="58"/>
  <c r="G20" i="58" s="1"/>
  <c r="E34" i="39"/>
  <c r="I34" i="39" s="1"/>
  <c r="L34" i="39" s="1"/>
  <c r="D22" i="32"/>
  <c r="K20" i="62"/>
  <c r="F17" i="76"/>
  <c r="E48" i="39"/>
  <c r="D36" i="32"/>
  <c r="K34" i="62"/>
  <c r="D34" i="58"/>
  <c r="E21" i="37"/>
  <c r="F98" i="58" s="1"/>
  <c r="E16" i="37"/>
  <c r="E19" i="37"/>
  <c r="F96" i="58" s="1"/>
  <c r="D23" i="37"/>
  <c r="F22" i="37"/>
  <c r="D22" i="37"/>
  <c r="D21" i="37"/>
  <c r="D20" i="37"/>
  <c r="F19" i="37"/>
  <c r="I20" i="65" s="1"/>
  <c r="M20" i="65" s="1"/>
  <c r="D19" i="37"/>
  <c r="F18" i="37"/>
  <c r="I19" i="65" s="1"/>
  <c r="M19" i="65" s="1"/>
  <c r="D18" i="37"/>
  <c r="G59" i="39" s="1"/>
  <c r="K59" i="39" s="1"/>
  <c r="L59" i="39" s="1"/>
  <c r="F17" i="37"/>
  <c r="I18" i="65" s="1"/>
  <c r="M18" i="65" s="1"/>
  <c r="D17" i="37"/>
  <c r="F16" i="37"/>
  <c r="I17" i="65" s="1"/>
  <c r="M17" i="65" s="1"/>
  <c r="D16" i="37"/>
  <c r="F15" i="37"/>
  <c r="D15" i="37"/>
  <c r="D14" i="37"/>
  <c r="F13" i="37"/>
  <c r="E13" i="37" s="1"/>
  <c r="F90" i="58" s="1"/>
  <c r="D13" i="37"/>
  <c r="D12" i="37"/>
  <c r="D11" i="37"/>
  <c r="F10" i="37"/>
  <c r="D10" i="37"/>
  <c r="F9" i="37"/>
  <c r="E9" i="37" s="1"/>
  <c r="F86" i="58" s="1"/>
  <c r="D9" i="37"/>
  <c r="F50" i="32" l="1"/>
  <c r="H50" i="73"/>
  <c r="I50" i="73" s="1"/>
  <c r="K19" i="50"/>
  <c r="K8" i="50"/>
  <c r="K18" i="50"/>
  <c r="F51" i="32"/>
  <c r="G51" i="32" s="1"/>
  <c r="N19" i="14"/>
  <c r="N17" i="75" s="1"/>
  <c r="H51" i="73"/>
  <c r="I51" i="73" s="1"/>
  <c r="N18" i="14"/>
  <c r="N16" i="75" s="1"/>
  <c r="R20" i="62"/>
  <c r="N20" i="62"/>
  <c r="U20" i="62" s="1"/>
  <c r="G19" i="32"/>
  <c r="H19" i="32"/>
  <c r="N19" i="32"/>
  <c r="H18" i="32"/>
  <c r="G18" i="32"/>
  <c r="N18" i="32"/>
  <c r="I40" i="39"/>
  <c r="L40" i="39" s="1"/>
  <c r="H40" i="39"/>
  <c r="H22" i="32"/>
  <c r="G22" i="32"/>
  <c r="O22" i="32"/>
  <c r="R24" i="62"/>
  <c r="N24" i="62"/>
  <c r="U24" i="62" s="1"/>
  <c r="R9" i="62"/>
  <c r="N9" i="62"/>
  <c r="U9" i="62" s="1"/>
  <c r="R8" i="62"/>
  <c r="N8" i="62"/>
  <c r="U8" i="62" s="1"/>
  <c r="R28" i="62"/>
  <c r="N28" i="62"/>
  <c r="U28" i="62" s="1"/>
  <c r="R21" i="62"/>
  <c r="N21" i="62"/>
  <c r="U21" i="62" s="1"/>
  <c r="H12" i="32"/>
  <c r="G12" i="32"/>
  <c r="J12" i="32"/>
  <c r="H35" i="32"/>
  <c r="G35" i="32"/>
  <c r="W35" i="32"/>
  <c r="R31" i="62"/>
  <c r="N31" i="62"/>
  <c r="U31" i="62" s="1"/>
  <c r="I12" i="73"/>
  <c r="R29" i="62"/>
  <c r="N29" i="62"/>
  <c r="U29" i="62" s="1"/>
  <c r="G29" i="32"/>
  <c r="H29" i="32"/>
  <c r="S29" i="32"/>
  <c r="H30" i="32"/>
  <c r="G30" i="32"/>
  <c r="T30" i="32"/>
  <c r="R26" i="62"/>
  <c r="N26" i="62"/>
  <c r="U26" i="62" s="1"/>
  <c r="R12" i="62"/>
  <c r="N12" i="62"/>
  <c r="U12" i="62" s="1"/>
  <c r="R10" i="62"/>
  <c r="N10" i="62"/>
  <c r="U10" i="62" s="1"/>
  <c r="I47" i="39"/>
  <c r="L47" i="39" s="1"/>
  <c r="H47" i="39"/>
  <c r="N17" i="62"/>
  <c r="U17" i="62" s="1"/>
  <c r="R17" i="62"/>
  <c r="K9" i="50"/>
  <c r="H33" i="32"/>
  <c r="G33" i="32"/>
  <c r="V33" i="32"/>
  <c r="R16" i="62"/>
  <c r="N16" i="62"/>
  <c r="U16" i="62" s="1"/>
  <c r="K7" i="50"/>
  <c r="G31" i="32"/>
  <c r="U31" i="32"/>
  <c r="G14" i="32"/>
  <c r="H14" i="32"/>
  <c r="L14" i="32"/>
  <c r="R11" i="62"/>
  <c r="N11" i="62"/>
  <c r="U11" i="62" s="1"/>
  <c r="G20" i="32"/>
  <c r="H20" i="32"/>
  <c r="N20" i="32"/>
  <c r="R14" i="62"/>
  <c r="N14" i="62"/>
  <c r="U14" i="62" s="1"/>
  <c r="R30" i="62"/>
  <c r="N30" i="62"/>
  <c r="U30" i="62" s="1"/>
  <c r="I45" i="39"/>
  <c r="L45" i="39" s="1"/>
  <c r="H45" i="39"/>
  <c r="G21" i="32"/>
  <c r="H21" i="32"/>
  <c r="O21" i="32"/>
  <c r="I43" i="39"/>
  <c r="L43" i="39" s="1"/>
  <c r="H43" i="39"/>
  <c r="G27" i="32"/>
  <c r="H27" i="32"/>
  <c r="Q27" i="32"/>
  <c r="G13" i="32"/>
  <c r="H13" i="32"/>
  <c r="K13" i="32"/>
  <c r="R18" i="62"/>
  <c r="N18" i="62"/>
  <c r="U18" i="62" s="1"/>
  <c r="H16" i="32"/>
  <c r="G16" i="32"/>
  <c r="M16" i="32"/>
  <c r="R33" i="62"/>
  <c r="N33" i="62"/>
  <c r="U33" i="62" s="1"/>
  <c r="H32" i="32"/>
  <c r="G32" i="32"/>
  <c r="V32" i="32"/>
  <c r="R27" i="62"/>
  <c r="N27" i="62"/>
  <c r="U27" i="62" s="1"/>
  <c r="I39" i="39"/>
  <c r="L39" i="39" s="1"/>
  <c r="H39" i="39"/>
  <c r="H26" i="32"/>
  <c r="G26" i="32"/>
  <c r="P26" i="32"/>
  <c r="R15" i="62"/>
  <c r="N15" i="62"/>
  <c r="U15" i="62" s="1"/>
  <c r="H11" i="32"/>
  <c r="G11" i="32"/>
  <c r="J11" i="32"/>
  <c r="I44" i="39"/>
  <c r="L44" i="39" s="1"/>
  <c r="H44" i="39"/>
  <c r="H10" i="32"/>
  <c r="G10" i="32"/>
  <c r="J10" i="32"/>
  <c r="F97" i="58"/>
  <c r="H53" i="73"/>
  <c r="I53" i="73" s="1"/>
  <c r="N21" i="14"/>
  <c r="N11" i="75" s="1"/>
  <c r="G23" i="32"/>
  <c r="H23" i="32"/>
  <c r="O23" i="32"/>
  <c r="H17" i="32"/>
  <c r="G17" i="32"/>
  <c r="N17" i="32"/>
  <c r="K20" i="50"/>
  <c r="R19" i="62"/>
  <c r="N19" i="62"/>
  <c r="U19" i="62" s="1"/>
  <c r="G28" i="32"/>
  <c r="H28" i="32"/>
  <c r="R28" i="32"/>
  <c r="R25" i="62"/>
  <c r="N25" i="62"/>
  <c r="U25" i="62" s="1"/>
  <c r="F93" i="58"/>
  <c r="G93" i="58" s="1"/>
  <c r="H49" i="73"/>
  <c r="I49" i="73" s="1"/>
  <c r="G16" i="37"/>
  <c r="H46" i="73"/>
  <c r="I46" i="73" s="1"/>
  <c r="N14" i="14"/>
  <c r="N20" i="75" s="1"/>
  <c r="H52" i="73"/>
  <c r="I52" i="73" s="1"/>
  <c r="N20" i="14"/>
  <c r="H42" i="73"/>
  <c r="N10" i="14"/>
  <c r="N17" i="14"/>
  <c r="H60" i="76"/>
  <c r="I60" i="76" s="1"/>
  <c r="N22" i="14"/>
  <c r="M83" i="62"/>
  <c r="N83" i="62" s="1"/>
  <c r="U83" i="62" s="1"/>
  <c r="I45" i="73"/>
  <c r="G53" i="39"/>
  <c r="K53" i="39" s="1"/>
  <c r="L53" i="39" s="1"/>
  <c r="M91" i="62"/>
  <c r="G89" i="58"/>
  <c r="M77" i="62"/>
  <c r="G95" i="58"/>
  <c r="I62" i="76"/>
  <c r="G64" i="39"/>
  <c r="M88" i="62"/>
  <c r="G100" i="58"/>
  <c r="I47" i="73"/>
  <c r="M82" i="62"/>
  <c r="N82" i="62" s="1"/>
  <c r="U82" i="62" s="1"/>
  <c r="I48" i="73"/>
  <c r="G56" i="39"/>
  <c r="K56" i="39" s="1"/>
  <c r="L56" i="39" s="1"/>
  <c r="M80" i="62"/>
  <c r="G92" i="58"/>
  <c r="G94" i="58"/>
  <c r="G58" i="39"/>
  <c r="K58" i="39" s="1"/>
  <c r="L58" i="39" s="1"/>
  <c r="G88" i="58"/>
  <c r="I44" i="73"/>
  <c r="G52" i="39"/>
  <c r="K52" i="39" s="1"/>
  <c r="L52" i="39" s="1"/>
  <c r="M76" i="62"/>
  <c r="I43" i="73"/>
  <c r="G51" i="39"/>
  <c r="K51" i="39" s="1"/>
  <c r="L51" i="39" s="1"/>
  <c r="M90" i="62"/>
  <c r="G87" i="58"/>
  <c r="M75" i="62"/>
  <c r="I17" i="76"/>
  <c r="L12" i="76"/>
  <c r="K9" i="76"/>
  <c r="R9" i="76" s="1"/>
  <c r="I48" i="39"/>
  <c r="H48" i="39"/>
  <c r="G34" i="58"/>
  <c r="G36" i="32"/>
  <c r="X36" i="32"/>
  <c r="R34" i="62"/>
  <c r="N34" i="62"/>
  <c r="U34" i="62" s="1"/>
  <c r="H36" i="32"/>
  <c r="G61" i="39"/>
  <c r="K61" i="39" s="1"/>
  <c r="L61" i="39" s="1"/>
  <c r="G60" i="39"/>
  <c r="G96" i="58"/>
  <c r="M84" i="62"/>
  <c r="F52" i="32"/>
  <c r="G57" i="39"/>
  <c r="M81" i="62"/>
  <c r="F49" i="32"/>
  <c r="G62" i="39"/>
  <c r="G98" i="58"/>
  <c r="M86" i="62"/>
  <c r="F54" i="32"/>
  <c r="G50" i="32"/>
  <c r="R50" i="32"/>
  <c r="R64" i="32" s="1"/>
  <c r="G55" i="39"/>
  <c r="K55" i="39" s="1"/>
  <c r="L55" i="39" s="1"/>
  <c r="M79" i="62"/>
  <c r="G91" i="58"/>
  <c r="F47" i="32"/>
  <c r="G47" i="32" s="1"/>
  <c r="G50" i="39"/>
  <c r="K50" i="39" s="1"/>
  <c r="G86" i="58"/>
  <c r="M74" i="62"/>
  <c r="F42" i="32"/>
  <c r="G54" i="39"/>
  <c r="K54" i="39" s="1"/>
  <c r="L54" i="39" s="1"/>
  <c r="M78" i="62"/>
  <c r="G90" i="58"/>
  <c r="F46" i="32"/>
  <c r="G63" i="39"/>
  <c r="M87" i="62"/>
  <c r="M85" i="62"/>
  <c r="F53" i="32"/>
  <c r="D22" i="10"/>
  <c r="S51" i="32" l="1"/>
  <c r="S64" i="32" s="1"/>
  <c r="P67" i="32"/>
  <c r="S67" i="32"/>
  <c r="M67" i="32"/>
  <c r="R67" i="32"/>
  <c r="R66" i="32"/>
  <c r="AI26" i="32"/>
  <c r="Q24" i="14" s="1"/>
  <c r="Q29" i="75" s="1"/>
  <c r="X66" i="32"/>
  <c r="F99" i="58"/>
  <c r="G99" i="58" s="1"/>
  <c r="K37" i="37"/>
  <c r="N15" i="75"/>
  <c r="N30" i="75"/>
  <c r="N14" i="75"/>
  <c r="N25" i="75"/>
  <c r="F27" i="60"/>
  <c r="T82" i="62"/>
  <c r="F55" i="32"/>
  <c r="G55" i="32" s="1"/>
  <c r="H61" i="76"/>
  <c r="I61" i="76" s="1"/>
  <c r="N23" i="14"/>
  <c r="N31" i="75" s="1"/>
  <c r="T83" i="62"/>
  <c r="H58" i="39"/>
  <c r="T77" i="62"/>
  <c r="N77" i="62"/>
  <c r="U77" i="62" s="1"/>
  <c r="T88" i="62"/>
  <c r="N88" i="62"/>
  <c r="U88" i="62" s="1"/>
  <c r="T90" i="62"/>
  <c r="N90" i="62"/>
  <c r="U90" i="62" s="1"/>
  <c r="K64" i="39"/>
  <c r="L64" i="39" s="1"/>
  <c r="H64" i="39"/>
  <c r="T91" i="62"/>
  <c r="N91" i="62"/>
  <c r="U91" i="62" s="1"/>
  <c r="N76" i="62"/>
  <c r="U76" i="62" s="1"/>
  <c r="T76" i="62"/>
  <c r="T75" i="62"/>
  <c r="N75" i="62"/>
  <c r="U75" i="62" s="1"/>
  <c r="T80" i="62"/>
  <c r="N80" i="62"/>
  <c r="U80" i="62" s="1"/>
  <c r="I42" i="73"/>
  <c r="O47" i="32"/>
  <c r="O64" i="32" s="1"/>
  <c r="L48" i="39"/>
  <c r="H61" i="39"/>
  <c r="L50" i="39"/>
  <c r="K63" i="39"/>
  <c r="L63" i="39" s="1"/>
  <c r="H63" i="39"/>
  <c r="G46" i="32"/>
  <c r="N46" i="32"/>
  <c r="N64" i="32" s="1"/>
  <c r="G54" i="32"/>
  <c r="V54" i="32"/>
  <c r="V64" i="32" s="1"/>
  <c r="T81" i="62"/>
  <c r="N81" i="62"/>
  <c r="U81" i="62" s="1"/>
  <c r="T86" i="62"/>
  <c r="N86" i="62"/>
  <c r="U86" i="62" s="1"/>
  <c r="K57" i="39"/>
  <c r="L57" i="39" s="1"/>
  <c r="H57" i="39"/>
  <c r="T78" i="62"/>
  <c r="N78" i="62"/>
  <c r="U78" i="62" s="1"/>
  <c r="K62" i="39"/>
  <c r="L62" i="39" s="1"/>
  <c r="H62" i="39"/>
  <c r="G52" i="32"/>
  <c r="T52" i="32"/>
  <c r="T64" i="32" s="1"/>
  <c r="G42" i="32"/>
  <c r="J42" i="32"/>
  <c r="T79" i="62"/>
  <c r="N79" i="62"/>
  <c r="U79" i="62" s="1"/>
  <c r="T84" i="62"/>
  <c r="N84" i="62"/>
  <c r="U84" i="62" s="1"/>
  <c r="T74" i="62"/>
  <c r="N74" i="62"/>
  <c r="U74" i="62" s="1"/>
  <c r="T87" i="62"/>
  <c r="N87" i="62"/>
  <c r="U87" i="62" s="1"/>
  <c r="G49" i="32"/>
  <c r="Q49" i="32"/>
  <c r="Q64" i="32" s="1"/>
  <c r="K60" i="39"/>
  <c r="L60" i="39" s="1"/>
  <c r="H60" i="39"/>
  <c r="G97" i="58"/>
  <c r="G53" i="32"/>
  <c r="U53" i="32"/>
  <c r="U64" i="32" s="1"/>
  <c r="T85" i="62"/>
  <c r="N85" i="62"/>
  <c r="U85" i="62" s="1"/>
  <c r="D25" i="10"/>
  <c r="D24" i="10"/>
  <c r="V66" i="32" l="1"/>
  <c r="T66" i="32"/>
  <c r="N66" i="32"/>
  <c r="S65" i="32"/>
  <c r="K66" i="32"/>
  <c r="W66" i="32"/>
  <c r="T65" i="32"/>
  <c r="T67" i="32"/>
  <c r="M66" i="32"/>
  <c r="M65" i="32"/>
  <c r="R65" i="32"/>
  <c r="J66" i="32"/>
  <c r="K65" i="32"/>
  <c r="K67" i="32"/>
  <c r="Q65" i="32"/>
  <c r="Q67" i="32"/>
  <c r="V65" i="32"/>
  <c r="V67" i="32"/>
  <c r="Q66" i="32"/>
  <c r="S66" i="32"/>
  <c r="N65" i="32"/>
  <c r="N67" i="32"/>
  <c r="U65" i="32"/>
  <c r="U67" i="32"/>
  <c r="X67" i="32"/>
  <c r="U66" i="32"/>
  <c r="P66" i="32"/>
  <c r="P65" i="32"/>
  <c r="N27" i="75"/>
  <c r="X10" i="75" s="1"/>
  <c r="X65" i="32"/>
  <c r="J64" i="32"/>
  <c r="W55" i="32"/>
  <c r="W64" i="32" s="1"/>
  <c r="N27" i="14"/>
  <c r="F17" i="60"/>
  <c r="T23" i="39"/>
  <c r="I24" i="69" s="1"/>
  <c r="E19" i="17"/>
  <c r="E18" i="17"/>
  <c r="H9" i="17"/>
  <c r="I9" i="17" s="1"/>
  <c r="E9" i="17" s="1"/>
  <c r="W65" i="32" l="1"/>
  <c r="W67" i="32"/>
  <c r="J65" i="32"/>
  <c r="J67" i="32"/>
  <c r="G20" i="50"/>
  <c r="K12" i="50" s="1"/>
  <c r="F26" i="73"/>
  <c r="I26" i="73" s="1"/>
  <c r="D22" i="58"/>
  <c r="G22" i="58" s="1"/>
  <c r="E36" i="39"/>
  <c r="I36" i="39" s="1"/>
  <c r="L36" i="39" s="1"/>
  <c r="D24" i="32"/>
  <c r="K22" i="62"/>
  <c r="G21" i="50"/>
  <c r="K16" i="50" s="1"/>
  <c r="F27" i="73"/>
  <c r="I27" i="73" s="1"/>
  <c r="D23" i="58"/>
  <c r="G23" i="58" s="1"/>
  <c r="E37" i="39"/>
  <c r="I37" i="39" s="1"/>
  <c r="L37" i="39" s="1"/>
  <c r="D25" i="32"/>
  <c r="K23" i="62"/>
  <c r="G11" i="50"/>
  <c r="F17" i="73"/>
  <c r="D13" i="58"/>
  <c r="D15" i="32"/>
  <c r="E27" i="39"/>
  <c r="I27" i="39" s="1"/>
  <c r="K13" i="62"/>
  <c r="K11" i="14"/>
  <c r="L23" i="75" s="1"/>
  <c r="K10" i="14"/>
  <c r="K17" i="14"/>
  <c r="L14" i="75" s="1"/>
  <c r="M23" i="14"/>
  <c r="K20" i="14"/>
  <c r="L15" i="75" s="1"/>
  <c r="M21" i="14"/>
  <c r="M18" i="14"/>
  <c r="K15" i="14"/>
  <c r="L21" i="75" s="1"/>
  <c r="M15" i="14"/>
  <c r="M10" i="14"/>
  <c r="K23" i="14"/>
  <c r="M13" i="14"/>
  <c r="K18" i="14"/>
  <c r="L16" i="75" s="1"/>
  <c r="M24" i="14"/>
  <c r="M12" i="14"/>
  <c r="K21" i="14"/>
  <c r="L11" i="75" s="1"/>
  <c r="M19" i="14"/>
  <c r="M20" i="14"/>
  <c r="M16" i="14"/>
  <c r="M22" i="14"/>
  <c r="K13" i="14"/>
  <c r="L18" i="75" s="1"/>
  <c r="K16" i="14"/>
  <c r="L19" i="75" s="1"/>
  <c r="K14" i="14"/>
  <c r="L20" i="75" s="1"/>
  <c r="M11" i="14"/>
  <c r="K24" i="14"/>
  <c r="M14" i="14"/>
  <c r="K12" i="14"/>
  <c r="L22" i="75" s="1"/>
  <c r="K19" i="14"/>
  <c r="L17" i="75" s="1"/>
  <c r="M17" i="14"/>
  <c r="K22" i="14"/>
  <c r="L30" i="75" s="1"/>
  <c r="H64" i="32"/>
  <c r="T27" i="10"/>
  <c r="T30" i="10" s="1"/>
  <c r="H10" i="10"/>
  <c r="H20" i="10"/>
  <c r="T19" i="10"/>
  <c r="H11" i="10"/>
  <c r="H21" i="10"/>
  <c r="T20" i="10"/>
  <c r="L22" i="14"/>
  <c r="S30" i="75" s="1"/>
  <c r="J33" i="14"/>
  <c r="K33" i="14"/>
  <c r="L33" i="14"/>
  <c r="M33" i="14"/>
  <c r="L31" i="75" l="1"/>
  <c r="J23" i="14"/>
  <c r="L23" i="14" s="1"/>
  <c r="S31" i="75" s="1"/>
  <c r="T23" i="50"/>
  <c r="N23" i="50"/>
  <c r="P16" i="14"/>
  <c r="R19" i="75" s="1"/>
  <c r="M14" i="75"/>
  <c r="P17" i="14"/>
  <c r="R14" i="75" s="1"/>
  <c r="O17" i="14"/>
  <c r="M20" i="75"/>
  <c r="O14" i="14"/>
  <c r="P14" i="14"/>
  <c r="R20" i="75" s="1"/>
  <c r="M15" i="75"/>
  <c r="O20" i="14"/>
  <c r="P20" i="14"/>
  <c r="R15" i="75" s="1"/>
  <c r="M25" i="75"/>
  <c r="M27" i="14"/>
  <c r="O10" i="14"/>
  <c r="P10" i="14"/>
  <c r="R25" i="75" s="1"/>
  <c r="L25" i="75"/>
  <c r="L27" i="75" s="1"/>
  <c r="K27" i="14"/>
  <c r="R23" i="62"/>
  <c r="N23" i="62"/>
  <c r="U23" i="62" s="1"/>
  <c r="J24" i="14"/>
  <c r="L29" i="75"/>
  <c r="M17" i="75"/>
  <c r="O19" i="14"/>
  <c r="P19" i="14"/>
  <c r="R17" i="75" s="1"/>
  <c r="M21" i="75"/>
  <c r="P15" i="14"/>
  <c r="R21" i="75" s="1"/>
  <c r="O15" i="14"/>
  <c r="H25" i="32"/>
  <c r="G25" i="32"/>
  <c r="O25" i="32"/>
  <c r="M23" i="75"/>
  <c r="P11" i="14"/>
  <c r="R23" i="75" s="1"/>
  <c r="O11" i="14"/>
  <c r="R13" i="62"/>
  <c r="N13" i="62"/>
  <c r="U13" i="62" s="1"/>
  <c r="P12" i="14"/>
  <c r="R22" i="75" s="1"/>
  <c r="M22" i="75"/>
  <c r="O12" i="14"/>
  <c r="P18" i="14"/>
  <c r="R16" i="75" s="1"/>
  <c r="M16" i="75"/>
  <c r="O18" i="14"/>
  <c r="L27" i="39"/>
  <c r="J70" i="39" s="1"/>
  <c r="U23" i="39" s="1"/>
  <c r="J24" i="69" s="1"/>
  <c r="K73" i="39"/>
  <c r="J73" i="39"/>
  <c r="X23" i="39" s="1"/>
  <c r="M24" i="69" s="1"/>
  <c r="K70" i="39"/>
  <c r="K72" i="39"/>
  <c r="K71" i="39"/>
  <c r="Q23" i="39"/>
  <c r="J72" i="39"/>
  <c r="W23" i="39" s="1"/>
  <c r="L24" i="69" s="1"/>
  <c r="J71" i="39"/>
  <c r="V23" i="39" s="1"/>
  <c r="K24" i="69" s="1"/>
  <c r="P24" i="14"/>
  <c r="R29" i="75" s="1"/>
  <c r="O24" i="14"/>
  <c r="M29" i="75"/>
  <c r="M11" i="75"/>
  <c r="O21" i="14"/>
  <c r="P21" i="14"/>
  <c r="R11" i="75" s="1"/>
  <c r="G15" i="32"/>
  <c r="H15" i="32"/>
  <c r="L15" i="32"/>
  <c r="G13" i="58"/>
  <c r="J9" i="58"/>
  <c r="Q9" i="58" s="1"/>
  <c r="M30" i="75"/>
  <c r="P22" i="14"/>
  <c r="R30" i="75" s="1"/>
  <c r="O22" i="14"/>
  <c r="M18" i="75"/>
  <c r="P13" i="14"/>
  <c r="R18" i="75" s="1"/>
  <c r="O13" i="14"/>
  <c r="M31" i="75"/>
  <c r="O23" i="14"/>
  <c r="P23" i="14"/>
  <c r="R31" i="75" s="1"/>
  <c r="I17" i="73"/>
  <c r="K9" i="73"/>
  <c r="L12" i="73"/>
  <c r="R22" i="62"/>
  <c r="N22" i="62"/>
  <c r="U22" i="62" s="1"/>
  <c r="O16" i="14"/>
  <c r="M19" i="75"/>
  <c r="K11" i="50"/>
  <c r="K26" i="50" s="1"/>
  <c r="T21" i="50"/>
  <c r="T28" i="50" s="1"/>
  <c r="N17" i="50"/>
  <c r="N7" i="50"/>
  <c r="N22" i="50"/>
  <c r="N18" i="50"/>
  <c r="T13" i="50"/>
  <c r="T14" i="50"/>
  <c r="N12" i="50"/>
  <c r="T12" i="50"/>
  <c r="T8" i="50"/>
  <c r="T15" i="50"/>
  <c r="N20" i="50"/>
  <c r="N9" i="50"/>
  <c r="N8" i="50"/>
  <c r="N13" i="50"/>
  <c r="T7" i="50"/>
  <c r="N19" i="50"/>
  <c r="T20" i="50"/>
  <c r="T19" i="50"/>
  <c r="N11" i="50"/>
  <c r="T22" i="50"/>
  <c r="N15" i="50"/>
  <c r="T11" i="50"/>
  <c r="T9" i="50"/>
  <c r="N21" i="50"/>
  <c r="T16" i="50"/>
  <c r="N14" i="50"/>
  <c r="T17" i="50"/>
  <c r="T18" i="50"/>
  <c r="T10" i="50"/>
  <c r="N10" i="50"/>
  <c r="N16" i="50"/>
  <c r="G24" i="32"/>
  <c r="H24" i="32"/>
  <c r="O24" i="32"/>
  <c r="T29" i="10"/>
  <c r="J41" i="14"/>
  <c r="L41" i="14"/>
  <c r="K41" i="14"/>
  <c r="M41" i="14"/>
  <c r="K31" i="75" l="1"/>
  <c r="AD25" i="32"/>
  <c r="M43" i="14"/>
  <c r="L11" i="58" s="1"/>
  <c r="O48" i="75"/>
  <c r="L38" i="75"/>
  <c r="L40" i="75" s="1"/>
  <c r="M38" i="75"/>
  <c r="O67" i="32"/>
  <c r="N26" i="50"/>
  <c r="O16" i="75"/>
  <c r="F21" i="60"/>
  <c r="M12" i="73"/>
  <c r="X9" i="75"/>
  <c r="O15" i="75"/>
  <c r="F23" i="60"/>
  <c r="R9" i="73"/>
  <c r="K5" i="73"/>
  <c r="O30" i="75"/>
  <c r="F24" i="60"/>
  <c r="F24" i="69"/>
  <c r="P23" i="39"/>
  <c r="O23" i="75"/>
  <c r="F12" i="60"/>
  <c r="O11" i="75"/>
  <c r="F9" i="60"/>
  <c r="T26" i="50"/>
  <c r="M27" i="75"/>
  <c r="O22" i="75"/>
  <c r="F31" i="60"/>
  <c r="F22" i="60"/>
  <c r="O17" i="75"/>
  <c r="O20" i="75"/>
  <c r="F26" i="60"/>
  <c r="O25" i="75"/>
  <c r="F8" i="60"/>
  <c r="O27" i="14"/>
  <c r="O31" i="75"/>
  <c r="F10" i="60"/>
  <c r="O19" i="75"/>
  <c r="F30" i="60"/>
  <c r="O29" i="75"/>
  <c r="F32" i="60"/>
  <c r="O14" i="75"/>
  <c r="F18" i="60"/>
  <c r="O18" i="75"/>
  <c r="F28" i="60"/>
  <c r="K29" i="75"/>
  <c r="J27" i="14"/>
  <c r="Z9" i="62"/>
  <c r="AG9" i="62" s="1"/>
  <c r="F13" i="60"/>
  <c r="O21" i="75"/>
  <c r="K43" i="14"/>
  <c r="K38" i="75" l="1"/>
  <c r="O46" i="75" s="1"/>
  <c r="M13" i="76"/>
  <c r="M44" i="14"/>
  <c r="M12" i="76"/>
  <c r="R23" i="39"/>
  <c r="G24" i="69" s="1"/>
  <c r="E24" i="69"/>
  <c r="M5" i="73"/>
  <c r="M40" i="75"/>
  <c r="M43" i="75" s="1"/>
  <c r="L65" i="32"/>
  <c r="L67" i="32"/>
  <c r="H62" i="32"/>
  <c r="O27" i="75"/>
  <c r="L66" i="32"/>
  <c r="H63" i="32"/>
  <c r="O66" i="32"/>
  <c r="O65" i="32"/>
  <c r="J11" i="58"/>
  <c r="L43" i="75"/>
  <c r="K44" i="14"/>
  <c r="C4" i="32"/>
  <c r="O50" i="75" l="1"/>
  <c r="X31" i="75"/>
  <c r="K40" i="75"/>
  <c r="X11" i="75"/>
  <c r="X12" i="75" s="1"/>
  <c r="O45" i="75"/>
  <c r="C57" i="32"/>
  <c r="C58" i="32"/>
  <c r="P27" i="14"/>
  <c r="C46" i="32"/>
  <c r="C53" i="32"/>
  <c r="C45" i="32"/>
  <c r="C52" i="32"/>
  <c r="C44" i="32"/>
  <c r="C51" i="32"/>
  <c r="C43" i="32"/>
  <c r="C54" i="32"/>
  <c r="C50" i="32"/>
  <c r="C42" i="32"/>
  <c r="C49" i="32"/>
  <c r="C55" i="32"/>
  <c r="C47" i="32"/>
  <c r="C56" i="32"/>
  <c r="C48" i="32"/>
  <c r="C4" i="49"/>
  <c r="J25" i="49" s="1"/>
  <c r="J27" i="49" s="1"/>
  <c r="C4" i="52"/>
  <c r="V61" i="32" l="1"/>
  <c r="AI24" i="32" s="1"/>
  <c r="Q22" i="14" s="1"/>
  <c r="Q30" i="75" s="1"/>
  <c r="U61" i="32"/>
  <c r="AI23" i="32" s="1"/>
  <c r="Q21" i="14" s="1"/>
  <c r="Q11" i="75" s="1"/>
  <c r="W61" i="32"/>
  <c r="AI25" i="32" s="1"/>
  <c r="Q23" i="14" s="1"/>
  <c r="Q31" i="75" s="1"/>
  <c r="Z61" i="32"/>
  <c r="Y61" i="32"/>
  <c r="AD35" i="32"/>
  <c r="P61" i="32"/>
  <c r="S61" i="32"/>
  <c r="Q61" i="32"/>
  <c r="L61" i="32"/>
  <c r="T61" i="32"/>
  <c r="R61" i="32"/>
  <c r="M61" i="32"/>
  <c r="J61" i="32"/>
  <c r="K61" i="32"/>
  <c r="N61" i="32"/>
  <c r="O61" i="32"/>
  <c r="AG28" i="32"/>
  <c r="AE28" i="32"/>
  <c r="AH28" i="32"/>
  <c r="AH27" i="32"/>
  <c r="AG27" i="32"/>
  <c r="AE27" i="32"/>
  <c r="AF27" i="32" s="1"/>
  <c r="AE12" i="32"/>
  <c r="AG15" i="32"/>
  <c r="AG19" i="32"/>
  <c r="AG23" i="32"/>
  <c r="AG12" i="32"/>
  <c r="AE16" i="32"/>
  <c r="AF16" i="32" s="1"/>
  <c r="AE20" i="32"/>
  <c r="AF20" i="32" s="1"/>
  <c r="AE24" i="32"/>
  <c r="AF24" i="32" s="1"/>
  <c r="AE13" i="32"/>
  <c r="AF13" i="32" s="1"/>
  <c r="AG16" i="32"/>
  <c r="AG20" i="32"/>
  <c r="AG24" i="32"/>
  <c r="AG13" i="32"/>
  <c r="AE17" i="32"/>
  <c r="AF17" i="32" s="1"/>
  <c r="AE21" i="32"/>
  <c r="AF21" i="32" s="1"/>
  <c r="AE25" i="32"/>
  <c r="AF25" i="32" s="1"/>
  <c r="AE15" i="32"/>
  <c r="AF15" i="32" s="1"/>
  <c r="AG26" i="32"/>
  <c r="AE23" i="32"/>
  <c r="AF23" i="32" s="1"/>
  <c r="AE14" i="32"/>
  <c r="AF14" i="32" s="1"/>
  <c r="AG17" i="32"/>
  <c r="AG21" i="32"/>
  <c r="AG25" i="32"/>
  <c r="AG18" i="32"/>
  <c r="AG22" i="32"/>
  <c r="AE19" i="32"/>
  <c r="AF19" i="32" s="1"/>
  <c r="AG14" i="32"/>
  <c r="AE18" i="32"/>
  <c r="AF18" i="32" s="1"/>
  <c r="AE22" i="32"/>
  <c r="AF22" i="32" s="1"/>
  <c r="AE26" i="32"/>
  <c r="J82" i="49"/>
  <c r="J69" i="49"/>
  <c r="J71" i="49" s="1"/>
  <c r="V12" i="49" s="1"/>
  <c r="J47" i="49"/>
  <c r="AH20" i="32"/>
  <c r="AH13" i="32"/>
  <c r="AH21" i="32"/>
  <c r="AH14" i="32"/>
  <c r="AH22" i="32"/>
  <c r="AH15" i="32"/>
  <c r="AH23" i="32"/>
  <c r="AH12" i="32"/>
  <c r="AH16" i="32"/>
  <c r="AH24" i="32"/>
  <c r="AH17" i="32"/>
  <c r="AH25" i="32"/>
  <c r="AH18" i="32"/>
  <c r="AH26" i="32"/>
  <c r="AH19" i="32"/>
  <c r="C51" i="49"/>
  <c r="J16" i="49"/>
  <c r="J18" i="49" s="1"/>
  <c r="V9" i="49" s="1"/>
  <c r="C49" i="49"/>
  <c r="C53" i="49"/>
  <c r="C50" i="49"/>
  <c r="C52" i="49"/>
  <c r="C15" i="52"/>
  <c r="J20" i="52" s="1"/>
  <c r="C14" i="52"/>
  <c r="J10" i="52" s="1"/>
  <c r="C16" i="52"/>
  <c r="J31" i="52" s="1"/>
  <c r="V11" i="52" s="1"/>
  <c r="Q32" i="14" s="1"/>
  <c r="Q13" i="75" s="1"/>
  <c r="J22" i="52"/>
  <c r="V10" i="52" s="1"/>
  <c r="Q31" i="14" s="1"/>
  <c r="Q12" i="75" s="1"/>
  <c r="J49" i="49" l="1"/>
  <c r="V11" i="49" s="1"/>
  <c r="Q38" i="14" s="1"/>
  <c r="Q32" i="75" s="1"/>
  <c r="AI22" i="32"/>
  <c r="Q20" i="14" s="1"/>
  <c r="Q15" i="75" s="1"/>
  <c r="AI16" i="32"/>
  <c r="Q14" i="14" s="1"/>
  <c r="Q20" i="75" s="1"/>
  <c r="AI14" i="32"/>
  <c r="Q12" i="14" s="1"/>
  <c r="Q22" i="75" s="1"/>
  <c r="AI13" i="32"/>
  <c r="Q11" i="14" s="1"/>
  <c r="Q23" i="75" s="1"/>
  <c r="AI19" i="32"/>
  <c r="Q17" i="14" s="1"/>
  <c r="Q14" i="75" s="1"/>
  <c r="AI12" i="32"/>
  <c r="Q10" i="14" s="1"/>
  <c r="Q25" i="75" s="1"/>
  <c r="AI21" i="32"/>
  <c r="Q19" i="14" s="1"/>
  <c r="Q17" i="75" s="1"/>
  <c r="AI15" i="32"/>
  <c r="Q13" i="14" s="1"/>
  <c r="Q18" i="75" s="1"/>
  <c r="AI18" i="32"/>
  <c r="Q16" i="14" s="1"/>
  <c r="Q19" i="75" s="1"/>
  <c r="AI20" i="32"/>
  <c r="Q18" i="14" s="1"/>
  <c r="Q16" i="75" s="1"/>
  <c r="AI27" i="32"/>
  <c r="Q25" i="14" s="1"/>
  <c r="Q10" i="75" s="1"/>
  <c r="AI17" i="32"/>
  <c r="Q15" i="14" s="1"/>
  <c r="Q21" i="75" s="1"/>
  <c r="AI28" i="32"/>
  <c r="Q26" i="14" s="1"/>
  <c r="Q9" i="75" s="1"/>
  <c r="AD38" i="32"/>
  <c r="AD37" i="32"/>
  <c r="AD36" i="32"/>
  <c r="AG29" i="32"/>
  <c r="AG30" i="32" s="1"/>
  <c r="AH29" i="32"/>
  <c r="AH30" i="32" s="1"/>
  <c r="AF12" i="32"/>
  <c r="AE29" i="32"/>
  <c r="AE30" i="32" s="1"/>
  <c r="AJ28" i="32"/>
  <c r="AL28" i="32"/>
  <c r="AF28" i="32"/>
  <c r="AK28" i="32"/>
  <c r="Q36" i="14"/>
  <c r="Q33" i="75" s="1"/>
  <c r="Q39" i="14"/>
  <c r="Q35" i="75" s="1"/>
  <c r="AI29" i="32"/>
  <c r="J8" i="51" s="1"/>
  <c r="Q27" i="14"/>
  <c r="AL27" i="32"/>
  <c r="AJ27" i="32"/>
  <c r="AK27" i="32"/>
  <c r="AK16" i="32"/>
  <c r="AK23" i="32"/>
  <c r="AK24" i="32"/>
  <c r="AK14" i="32"/>
  <c r="AK21" i="32"/>
  <c r="AK13" i="32"/>
  <c r="AK19" i="32"/>
  <c r="AK17" i="32"/>
  <c r="AK15" i="32"/>
  <c r="AK22" i="32"/>
  <c r="AL20" i="32"/>
  <c r="AJ20" i="32"/>
  <c r="AJ22" i="32"/>
  <c r="AL22" i="32"/>
  <c r="AK26" i="32"/>
  <c r="AL13" i="32"/>
  <c r="AJ13" i="32"/>
  <c r="AL15" i="32"/>
  <c r="AJ15" i="32"/>
  <c r="AJ18" i="32"/>
  <c r="AL18" i="32"/>
  <c r="AL14" i="32"/>
  <c r="AJ14" i="32"/>
  <c r="AJ12" i="32"/>
  <c r="AL12" i="32"/>
  <c r="AJ19" i="32"/>
  <c r="AL19" i="32"/>
  <c r="AK18" i="32"/>
  <c r="AJ21" i="32"/>
  <c r="AL21" i="32"/>
  <c r="AJ23" i="32"/>
  <c r="AL23" i="32"/>
  <c r="AJ26" i="32"/>
  <c r="AL26" i="32"/>
  <c r="AK25" i="32"/>
  <c r="AJ16" i="32"/>
  <c r="AL16" i="32"/>
  <c r="AK20" i="32"/>
  <c r="AL24" i="32"/>
  <c r="AJ24" i="32"/>
  <c r="AJ17" i="32"/>
  <c r="AL17" i="32"/>
  <c r="AK12" i="32"/>
  <c r="AJ25" i="32"/>
  <c r="AL25" i="32"/>
  <c r="AI30" i="32" l="1"/>
  <c r="J8" i="69"/>
  <c r="H8" i="51"/>
  <c r="H8" i="69"/>
  <c r="F8" i="51"/>
  <c r="F8" i="69"/>
  <c r="I8" i="51"/>
  <c r="I8" i="69"/>
  <c r="AK29" i="32"/>
  <c r="AL29" i="32"/>
  <c r="AJ29" i="32"/>
  <c r="AE38" i="32" l="1"/>
  <c r="AE37" i="32"/>
  <c r="AE36" i="32"/>
  <c r="AJ30" i="32"/>
  <c r="M8" i="51"/>
  <c r="M8" i="69"/>
  <c r="L8" i="51"/>
  <c r="L8" i="69"/>
  <c r="K8" i="51"/>
  <c r="K8" i="69"/>
  <c r="L24" i="14" l="1"/>
  <c r="J43" i="14"/>
  <c r="AD26" i="32"/>
  <c r="K43" i="75" l="1"/>
  <c r="L27" i="14"/>
  <c r="S29" i="75"/>
  <c r="S38" i="75" s="1"/>
  <c r="S40" i="75" s="1"/>
  <c r="AF26" i="32"/>
  <c r="AF29" i="32" s="1"/>
  <c r="G8" i="51" s="1"/>
  <c r="AD29" i="32"/>
  <c r="AD30" i="32" s="1"/>
  <c r="L43" i="14" l="1"/>
  <c r="AF30" i="32"/>
  <c r="G8" i="69"/>
  <c r="E8" i="51"/>
  <c r="E17" i="51" s="1"/>
  <c r="E19" i="51" s="1"/>
  <c r="E8" i="69"/>
  <c r="E17" i="69" s="1"/>
  <c r="E19" i="69" s="1"/>
  <c r="P31" i="14"/>
  <c r="R12" i="75" s="1"/>
  <c r="P30" i="14"/>
  <c r="R24" i="75" s="1"/>
  <c r="P32" i="14"/>
  <c r="R13" i="75" s="1"/>
  <c r="E31" i="37"/>
  <c r="N33" i="14"/>
  <c r="O33" i="14" s="1"/>
  <c r="E30" i="37"/>
  <c r="M89" i="62"/>
  <c r="T89" i="62" s="1"/>
  <c r="S43" i="75" l="1"/>
  <c r="F15" i="52"/>
  <c r="F104" i="58"/>
  <c r="G104" i="58" s="1"/>
  <c r="K38" i="37"/>
  <c r="K40" i="37" s="1"/>
  <c r="F14" i="52"/>
  <c r="F103" i="58"/>
  <c r="G103" i="58" s="1"/>
  <c r="F16" i="52"/>
  <c r="F105" i="58"/>
  <c r="G105" i="58" s="1"/>
  <c r="P33" i="14"/>
  <c r="H57" i="73"/>
  <c r="I57" i="73" s="1"/>
  <c r="H56" i="73"/>
  <c r="G102" i="58"/>
  <c r="N89" i="62"/>
  <c r="U89" i="62" s="1"/>
  <c r="U11" i="52" l="1"/>
  <c r="G16" i="52"/>
  <c r="M10" i="52"/>
  <c r="U9" i="52"/>
  <c r="G14" i="52"/>
  <c r="U10" i="52"/>
  <c r="G15" i="52"/>
  <c r="I56" i="73"/>
  <c r="O9" i="73" s="1"/>
  <c r="L16" i="73" s="1"/>
  <c r="Q27" i="75" s="1"/>
  <c r="X13" i="75" s="1"/>
  <c r="L13" i="73"/>
  <c r="L15" i="73" s="1"/>
  <c r="L27" i="60"/>
  <c r="L28" i="60" s="1"/>
  <c r="N9" i="73"/>
  <c r="M20" i="49"/>
  <c r="M29" i="49"/>
  <c r="M51" i="49"/>
  <c r="M73" i="49"/>
  <c r="M92" i="62"/>
  <c r="T92" i="62" s="1"/>
  <c r="N41" i="14"/>
  <c r="P41" i="14" s="1"/>
  <c r="G106" i="58"/>
  <c r="R12" i="49"/>
  <c r="S12" i="49" s="1"/>
  <c r="M94" i="62"/>
  <c r="N94" i="62" s="1"/>
  <c r="U94" i="62" s="1"/>
  <c r="U11" i="49"/>
  <c r="N5" i="73" l="1"/>
  <c r="X10" i="52"/>
  <c r="W10" i="52"/>
  <c r="V12" i="52"/>
  <c r="Q15" i="52"/>
  <c r="Q33" i="14" s="1"/>
  <c r="Q16" i="52"/>
  <c r="X9" i="52"/>
  <c r="W9" i="52"/>
  <c r="U12" i="52"/>
  <c r="Q17" i="52"/>
  <c r="J14" i="52"/>
  <c r="J13" i="52"/>
  <c r="N10" i="52"/>
  <c r="J12" i="52" s="1"/>
  <c r="V9" i="52" s="1"/>
  <c r="Q30" i="14" s="1"/>
  <c r="Q24" i="75" s="1"/>
  <c r="X11" i="52"/>
  <c r="W11" i="52"/>
  <c r="H63" i="76"/>
  <c r="I63" i="76" s="1"/>
  <c r="H67" i="76"/>
  <c r="I67" i="76" s="1"/>
  <c r="N43" i="14"/>
  <c r="K41" i="37" s="1"/>
  <c r="O41" i="14"/>
  <c r="H64" i="76"/>
  <c r="I64" i="76" s="1"/>
  <c r="H66" i="76"/>
  <c r="I66" i="76" s="1"/>
  <c r="H65" i="76"/>
  <c r="I65" i="76" s="1"/>
  <c r="P9" i="73"/>
  <c r="Q9" i="73"/>
  <c r="T12" i="49"/>
  <c r="Y12" i="49" s="1"/>
  <c r="G110" i="58"/>
  <c r="G108" i="58"/>
  <c r="T11" i="49"/>
  <c r="M93" i="62"/>
  <c r="N93" i="62" s="1"/>
  <c r="U93" i="62" s="1"/>
  <c r="R13" i="49"/>
  <c r="S13" i="49" s="1"/>
  <c r="R11" i="49"/>
  <c r="X11" i="49" s="1"/>
  <c r="U9" i="49"/>
  <c r="R9" i="49"/>
  <c r="S9" i="49" s="1"/>
  <c r="J85" i="49"/>
  <c r="M95" i="62"/>
  <c r="U13" i="49"/>
  <c r="R27" i="75"/>
  <c r="T27" i="75"/>
  <c r="G109" i="58"/>
  <c r="U12" i="49"/>
  <c r="X12" i="49" s="1"/>
  <c r="T94" i="62"/>
  <c r="M96" i="62"/>
  <c r="G53" i="49"/>
  <c r="T9" i="49"/>
  <c r="T10" i="49"/>
  <c r="N92" i="62"/>
  <c r="U92" i="62" s="1"/>
  <c r="R10" i="49"/>
  <c r="U10" i="49"/>
  <c r="T13" i="49"/>
  <c r="P43" i="14" l="1"/>
  <c r="O9" i="76"/>
  <c r="L16" i="76" s="1"/>
  <c r="Q38" i="75" s="1"/>
  <c r="X35" i="75" s="1"/>
  <c r="W12" i="52"/>
  <c r="X12" i="52"/>
  <c r="I11" i="51"/>
  <c r="I11" i="69"/>
  <c r="J11" i="51"/>
  <c r="J11" i="69"/>
  <c r="O43" i="14"/>
  <c r="J86" i="49"/>
  <c r="T93" i="62"/>
  <c r="X13" i="49"/>
  <c r="Y11" i="49"/>
  <c r="X9" i="49"/>
  <c r="W11" i="49"/>
  <c r="M86" i="49"/>
  <c r="N82" i="49"/>
  <c r="J84" i="49" s="1"/>
  <c r="V13" i="49" s="1"/>
  <c r="W12" i="49"/>
  <c r="N38" i="75"/>
  <c r="L13" i="76"/>
  <c r="L15" i="76" s="1"/>
  <c r="L19" i="76" s="1"/>
  <c r="S11" i="49"/>
  <c r="T95" i="62"/>
  <c r="N95" i="62"/>
  <c r="U95" i="62" s="1"/>
  <c r="X10" i="49"/>
  <c r="Q20" i="49"/>
  <c r="Y10" i="49"/>
  <c r="W10" i="49"/>
  <c r="N9" i="76"/>
  <c r="Q21" i="49"/>
  <c r="Y9" i="49"/>
  <c r="W9" i="49"/>
  <c r="T15" i="49"/>
  <c r="Q19" i="49"/>
  <c r="N96" i="62"/>
  <c r="U96" i="62" s="1"/>
  <c r="T96" i="62"/>
  <c r="AC9" i="62" s="1"/>
  <c r="W13" i="49"/>
  <c r="Y13" i="49"/>
  <c r="Q18" i="49"/>
  <c r="Q41" i="14" s="1"/>
  <c r="V15" i="49"/>
  <c r="U15" i="49"/>
  <c r="S10" i="49"/>
  <c r="R15" i="49"/>
  <c r="G107" i="58"/>
  <c r="N9" i="58" s="1"/>
  <c r="M9" i="58"/>
  <c r="X32" i="75" l="1"/>
  <c r="O38" i="75"/>
  <c r="O47" i="75" s="1"/>
  <c r="K42" i="37"/>
  <c r="M11" i="58"/>
  <c r="M14" i="76"/>
  <c r="L11" i="51"/>
  <c r="L11" i="69"/>
  <c r="K11" i="51"/>
  <c r="K11" i="69"/>
  <c r="AD9" i="62"/>
  <c r="N40" i="75"/>
  <c r="S15" i="49"/>
  <c r="G14" i="69" s="1"/>
  <c r="G17" i="69" s="1"/>
  <c r="G19" i="69" s="1"/>
  <c r="T38" i="75"/>
  <c r="R38" i="75"/>
  <c r="Q40" i="14"/>
  <c r="Q36" i="75" s="1"/>
  <c r="I14" i="51"/>
  <c r="I17" i="51" s="1"/>
  <c r="I14" i="69"/>
  <c r="I17" i="69" s="1"/>
  <c r="X15" i="49"/>
  <c r="P9" i="58"/>
  <c r="O9" i="58"/>
  <c r="N44" i="14"/>
  <c r="J14" i="51"/>
  <c r="J14" i="69"/>
  <c r="Y15" i="49"/>
  <c r="W15" i="49"/>
  <c r="H14" i="69"/>
  <c r="H17" i="69" s="1"/>
  <c r="H14" i="51"/>
  <c r="H17" i="51" s="1"/>
  <c r="AF9" i="62"/>
  <c r="AE9" i="62"/>
  <c r="Q43" i="14"/>
  <c r="J17" i="69"/>
  <c r="J17" i="51"/>
  <c r="Q9" i="76"/>
  <c r="P9" i="76"/>
  <c r="F14" i="69"/>
  <c r="F17" i="69" s="1"/>
  <c r="F19" i="69" s="1"/>
  <c r="F14" i="51"/>
  <c r="F17" i="51" s="1"/>
  <c r="F19" i="51" s="1"/>
  <c r="O40" i="75" l="1"/>
  <c r="O43" i="75" s="1"/>
  <c r="X33" i="75"/>
  <c r="X34" i="75" s="1"/>
  <c r="R40" i="75"/>
  <c r="N43" i="75"/>
  <c r="G14" i="51"/>
  <c r="G17" i="51" s="1"/>
  <c r="G19" i="51" s="1"/>
  <c r="L17" i="51"/>
  <c r="I19" i="51"/>
  <c r="K17" i="69"/>
  <c r="H19" i="69"/>
  <c r="M17" i="69"/>
  <c r="K14" i="69"/>
  <c r="K14" i="51"/>
  <c r="L14" i="51"/>
  <c r="L14" i="69"/>
  <c r="K17" i="51"/>
  <c r="M17" i="51"/>
  <c r="H19" i="51"/>
  <c r="M14" i="69"/>
  <c r="M14" i="51"/>
  <c r="L17" i="69"/>
  <c r="I19" i="69"/>
  <c r="G15" i="7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38" authorId="0" shapeId="0" xr:uid="{DE6B8698-9001-48BA-9B84-47022CC05361}">
      <text>
        <r>
          <rPr>
            <sz val="9"/>
            <color indexed="81"/>
            <rFont val="Tahoma"/>
            <family val="2"/>
          </rPr>
          <t xml:space="preserve">Includes recallable distributions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0" authorId="0" shapeId="0" xr:uid="{0C65EA05-CBC6-49D0-95FA-09E3E71DF2E0}">
      <text>
        <r>
          <rPr>
            <b/>
            <sz val="9"/>
            <color indexed="81"/>
            <rFont val="Tahoma"/>
            <family val="2"/>
          </rPr>
          <t xml:space="preserve">Dan: </t>
        </r>
        <r>
          <rPr>
            <sz val="9"/>
            <color indexed="81"/>
            <rFont val="Tahoma"/>
            <family val="2"/>
          </rPr>
          <t xml:space="preserve">we expect SDF's NAV to increase as some investments will be market up
</t>
        </r>
      </text>
    </comment>
  </commentList>
</comments>
</file>

<file path=xl/sharedStrings.xml><?xml version="1.0" encoding="utf-8"?>
<sst xmlns="http://schemas.openxmlformats.org/spreadsheetml/2006/main" count="2374" uniqueCount="560">
  <si>
    <t>Mena Mobile Inc</t>
  </si>
  <si>
    <t>North Summit Capital Fund</t>
  </si>
  <si>
    <t>Invested</t>
  </si>
  <si>
    <t>Value</t>
  </si>
  <si>
    <t>Comments</t>
  </si>
  <si>
    <t xml:space="preserve">Accounting entity </t>
  </si>
  <si>
    <t>Investment</t>
  </si>
  <si>
    <t>Payment date</t>
  </si>
  <si>
    <t xml:space="preserve">Description </t>
  </si>
  <si>
    <t>Mozn</t>
  </si>
  <si>
    <t>18/02/2020</t>
  </si>
  <si>
    <t>Heygears</t>
  </si>
  <si>
    <t>USD</t>
  </si>
  <si>
    <t>G42</t>
  </si>
  <si>
    <t>ONT</t>
  </si>
  <si>
    <t>Sinovation Disrupt Fund, L.P.</t>
  </si>
  <si>
    <t>18/11/2020</t>
  </si>
  <si>
    <t>1st Capital Call</t>
  </si>
  <si>
    <t>Partial return of the 1st Capital Call</t>
  </si>
  <si>
    <t>2nd Capital Calll</t>
  </si>
  <si>
    <t xml:space="preserve">Return of Capital fund </t>
  </si>
  <si>
    <t xml:space="preserve">Interest Catchup </t>
  </si>
  <si>
    <t>19/07/2019</t>
  </si>
  <si>
    <t>13/04/2020</t>
  </si>
  <si>
    <t>Jysan Technologies</t>
  </si>
  <si>
    <t>DriveNets</t>
  </si>
  <si>
    <t>31/12/2020</t>
  </si>
  <si>
    <t>GBP</t>
  </si>
  <si>
    <t>Comment</t>
  </si>
  <si>
    <t>Currency</t>
  </si>
  <si>
    <t>Instadeep</t>
  </si>
  <si>
    <t>New Space Capital</t>
  </si>
  <si>
    <t>IRR</t>
  </si>
  <si>
    <t>Status</t>
  </si>
  <si>
    <t>Exited</t>
  </si>
  <si>
    <t>vTv Therapeutics</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</si>
  <si>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</si>
  <si>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</si>
  <si>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</si>
  <si>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</si>
  <si>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</si>
  <si>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</si>
  <si>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</si>
  <si>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</si>
  <si>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</si>
  <si>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</si>
  <si>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</si>
  <si>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</si>
  <si>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</si>
  <si>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</si>
  <si>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</si>
  <si>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</si>
  <si>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</si>
  <si>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</si>
  <si>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</si>
  <si>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</si>
  <si>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</si>
  <si>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</si>
  <si>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</si>
  <si>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</si>
  <si>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</si>
  <si>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Additonal Upside</t>
  </si>
  <si>
    <t>Deals</t>
  </si>
  <si>
    <t>Fund</t>
  </si>
  <si>
    <t>%</t>
  </si>
  <si>
    <t>G42 Shares</t>
  </si>
  <si>
    <t>Fully Diluted</t>
  </si>
  <si>
    <t>FLYR</t>
  </si>
  <si>
    <t>% ownership</t>
  </si>
  <si>
    <t xml:space="preserve">LP </t>
  </si>
  <si>
    <t>Date of Investment</t>
  </si>
  <si>
    <t>Price per share</t>
  </si>
  <si>
    <t>USDAED</t>
  </si>
  <si>
    <t>GBPUSD</t>
  </si>
  <si>
    <t>Multiple</t>
  </si>
  <si>
    <t>Share Price (GBP)</t>
  </si>
  <si>
    <t>Total</t>
  </si>
  <si>
    <t>Post all transactions</t>
  </si>
  <si>
    <t>B = 599,769</t>
  </si>
  <si>
    <t>Ordinary =1,493,575</t>
  </si>
  <si>
    <t>Employee shares = 83,261</t>
  </si>
  <si>
    <t>Class A = 289,048</t>
  </si>
  <si>
    <t>LTIP shares</t>
  </si>
  <si>
    <t># shares to G42</t>
  </si>
  <si>
    <t xml:space="preserve"> Currency</t>
  </si>
  <si>
    <t>Share price</t>
  </si>
  <si>
    <t xml:space="preserve">Discount </t>
  </si>
  <si>
    <t>Carrying Value Mn</t>
  </si>
  <si>
    <t>NAV Date</t>
  </si>
  <si>
    <t>Offer Mn, GBP</t>
  </si>
  <si>
    <t># shares o/s</t>
  </si>
  <si>
    <t>Price per share | Oct 21</t>
  </si>
  <si>
    <t>Offer price per share</t>
  </si>
  <si>
    <t>Premium</t>
  </si>
  <si>
    <t>BNT Offer | 18Jul 2022</t>
  </si>
  <si>
    <t># shares</t>
  </si>
  <si>
    <t>Mena Mobile</t>
  </si>
  <si>
    <t>EsyaSoft, Equity</t>
  </si>
  <si>
    <t>EsyaSoft, Debt</t>
  </si>
  <si>
    <t>GP</t>
  </si>
  <si>
    <t>Lead</t>
  </si>
  <si>
    <t>Sushil</t>
  </si>
  <si>
    <t>Elaine</t>
  </si>
  <si>
    <t>Divyesh</t>
  </si>
  <si>
    <t>Anton</t>
  </si>
  <si>
    <t>Business Outlook</t>
  </si>
  <si>
    <t>Financial Outlook</t>
  </si>
  <si>
    <t>Valuation Outlook</t>
  </si>
  <si>
    <t xml:space="preserve">9.9% GP | Anchor </t>
  </si>
  <si>
    <t>Ignasi</t>
  </si>
  <si>
    <t>C Prefs</t>
  </si>
  <si>
    <t>B Prefs</t>
  </si>
  <si>
    <t>F Prefs</t>
  </si>
  <si>
    <t>X-fusion</t>
  </si>
  <si>
    <t>N/A</t>
  </si>
  <si>
    <t>Registered Capital</t>
  </si>
  <si>
    <t>C+ Prefs</t>
  </si>
  <si>
    <t>A Pref Units</t>
  </si>
  <si>
    <t>B-1,2 Prefs</t>
  </si>
  <si>
    <t xml:space="preserve">B Prefs </t>
  </si>
  <si>
    <t>Equity-TBC</t>
  </si>
  <si>
    <t>Unrealized</t>
  </si>
  <si>
    <t>To be Exited</t>
  </si>
  <si>
    <t>Realized</t>
  </si>
  <si>
    <t>Geography</t>
  </si>
  <si>
    <t>Representative</t>
  </si>
  <si>
    <t>In Liquidation</t>
  </si>
  <si>
    <t>USD, Million</t>
  </si>
  <si>
    <t>Held at cost.</t>
  </si>
  <si>
    <t>#</t>
  </si>
  <si>
    <t xml:space="preserve">Investments </t>
  </si>
  <si>
    <t>Current Shares/Units</t>
  </si>
  <si>
    <t>As per 3rd Party | Ardent Estimates</t>
  </si>
  <si>
    <t>ONT plc</t>
  </si>
  <si>
    <t>vTv Therapeutics Inc.</t>
  </si>
  <si>
    <t>Note:</t>
  </si>
  <si>
    <t>USD AED</t>
  </si>
  <si>
    <t>Contributions (in USD, Mn)</t>
  </si>
  <si>
    <t>Notes</t>
  </si>
  <si>
    <t>Remaining Value</t>
  </si>
  <si>
    <t xml:space="preserve"> (in USD, Mn)</t>
  </si>
  <si>
    <t>Contribution</t>
  </si>
  <si>
    <t>DPI</t>
  </si>
  <si>
    <t>RVPI</t>
  </si>
  <si>
    <t>Guy Harmelin (Independent Director)</t>
  </si>
  <si>
    <t>Viktor</t>
  </si>
  <si>
    <t>Tariq (Board), Talal (Observer)</t>
  </si>
  <si>
    <t>Peng Xiao, Elaine</t>
  </si>
  <si>
    <t xml:space="preserve">Peng Xiao </t>
  </si>
  <si>
    <t>Eric Xing</t>
  </si>
  <si>
    <t>None appointed</t>
  </si>
  <si>
    <t xml:space="preserve">Guy Harmelin </t>
  </si>
  <si>
    <t>1 Observer</t>
  </si>
  <si>
    <t>1 Board</t>
  </si>
  <si>
    <t>2 Board</t>
  </si>
  <si>
    <t>1 Board + 1 Observer</t>
  </si>
  <si>
    <t>New Space Capital SCSp</t>
  </si>
  <si>
    <t xml:space="preserve">Talal </t>
  </si>
  <si>
    <t xml:space="preserve"> 3rd Capital Call</t>
  </si>
  <si>
    <t>4th Capital Call</t>
  </si>
  <si>
    <t>16/11/2020</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</si>
  <si>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</si>
  <si>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</si>
  <si>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</si>
  <si>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</si>
  <si>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</si>
  <si>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</si>
  <si>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</si>
  <si>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</si>
  <si>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</si>
  <si>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</si>
  <si>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</si>
  <si>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</si>
  <si>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</si>
  <si>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</si>
  <si>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</si>
  <si>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</si>
  <si>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</si>
  <si>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</si>
  <si>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</si>
  <si>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</si>
  <si>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</si>
  <si>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</si>
  <si>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</si>
  <si>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</si>
  <si>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</si>
  <si>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</si>
  <si>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</si>
  <si>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</si>
  <si>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</si>
  <si>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</si>
  <si>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</si>
  <si>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</si>
  <si>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</si>
  <si>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</si>
  <si>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 xml:space="preserve">NR =No representation </t>
  </si>
  <si>
    <t>Confirm appoinment</t>
  </si>
  <si>
    <t>Seeking Exit</t>
  </si>
  <si>
    <t>Exercise Warrants</t>
  </si>
  <si>
    <t xml:space="preserve">Actions </t>
  </si>
  <si>
    <t>Color Code</t>
  </si>
  <si>
    <t>Synergies / JV</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</si>
  <si>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</si>
  <si>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</si>
  <si>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</si>
  <si>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</si>
  <si>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t>Exit plan in progress</t>
  </si>
  <si>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</si>
  <si>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</si>
  <si>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</si>
  <si>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</si>
  <si>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Shares</t>
  </si>
  <si>
    <t>% Ownership</t>
  </si>
  <si>
    <t>Source</t>
  </si>
  <si>
    <t>10Q report 15Aug</t>
  </si>
  <si>
    <t>Dan Kong</t>
  </si>
  <si>
    <t>Txn docs</t>
  </si>
  <si>
    <t>Pitchbook triangulation</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</si>
  <si>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</si>
  <si>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</si>
  <si>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</si>
  <si>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</si>
  <si>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</si>
  <si>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</si>
  <si>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</si>
  <si>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</si>
  <si>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</si>
  <si>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</si>
  <si>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</si>
  <si>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</si>
  <si>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</si>
  <si>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</si>
  <si>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</si>
  <si>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</si>
  <si>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</si>
  <si>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</si>
  <si>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</si>
  <si>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</si>
  <si>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</si>
  <si>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</si>
  <si>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</si>
  <si>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</si>
  <si>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</si>
  <si>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</si>
  <si>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</si>
  <si>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</si>
  <si>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</si>
  <si>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</si>
  <si>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</si>
  <si>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</si>
  <si>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</si>
  <si>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</si>
  <si>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</si>
  <si>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</si>
  <si>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</si>
  <si>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</si>
  <si>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</si>
  <si>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</si>
  <si>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</si>
  <si>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</si>
  <si>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</si>
  <si>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</si>
  <si>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</si>
  <si>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</si>
  <si>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</si>
  <si>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</si>
  <si>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Q3-2022</t>
  </si>
  <si>
    <t>Q4-2022</t>
  </si>
  <si>
    <t>Q1-2023</t>
  </si>
  <si>
    <t>Q2-2023</t>
  </si>
  <si>
    <t>Q3-2023</t>
  </si>
  <si>
    <t>Q4-2023</t>
  </si>
  <si>
    <t xml:space="preserve">No funding projected for North Summit Fund </t>
  </si>
  <si>
    <t>KEY PORTFOLIO IRR</t>
  </si>
  <si>
    <t>figures in USD Millions</t>
  </si>
  <si>
    <t>Portfolio 1</t>
  </si>
  <si>
    <t>Eliminated</t>
  </si>
  <si>
    <t xml:space="preserve">Distribution </t>
  </si>
  <si>
    <t>Gain</t>
  </si>
  <si>
    <t>TOP LOSERS</t>
  </si>
  <si>
    <t>TOP GAINERS</t>
  </si>
  <si>
    <t>TOTAL MOVEMENT</t>
  </si>
  <si>
    <t>ATTRIBUTION SUMMARY</t>
  </si>
  <si>
    <t xml:space="preserve">A T T R I B U T I O N    S U M M A R Y </t>
  </si>
  <si>
    <t>CASHFLOW REQUIREMENT</t>
  </si>
  <si>
    <t>CASH DEPLOYED OVER TIME…</t>
  </si>
  <si>
    <t>IRR - Debt</t>
  </si>
  <si>
    <t>IRR - FUNDS</t>
  </si>
  <si>
    <t>IRR - Equity (Individual Investments)</t>
  </si>
  <si>
    <t>IRR - Equity (Select Investments)</t>
  </si>
  <si>
    <t>Select Portfolio1 IRR</t>
  </si>
  <si>
    <t>Portfolio</t>
  </si>
  <si>
    <t>Vintage 2019 | Equity</t>
  </si>
  <si>
    <t>Vintage 2020 | Equity</t>
  </si>
  <si>
    <t>Vintage 2021 | Equity</t>
  </si>
  <si>
    <t>Vintage 2020 includes Esyasoft, BL, ONT, Heygears</t>
  </si>
  <si>
    <t>Vintage 2019 includes Jollychic, Mena Mobile, Flyr</t>
  </si>
  <si>
    <t>Vintage 2021 includes Endless, Instadeep</t>
  </si>
  <si>
    <t>Select Portfolio1 includes Jollychic, Mena Mobile, Flyr, Esyasoft, BL, ONT, Heygears, Endless, Instadeep</t>
  </si>
  <si>
    <t xml:space="preserve">Remaining </t>
  </si>
  <si>
    <t>Negative outlook</t>
  </si>
  <si>
    <t>% OWNERSHIP</t>
  </si>
  <si>
    <t>No particular view on this</t>
  </si>
  <si>
    <t>No action / under investigation</t>
  </si>
  <si>
    <t xml:space="preserve">Positive outlook </t>
  </si>
  <si>
    <t>No improvement or decline</t>
  </si>
  <si>
    <t>Geograhpy</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</si>
  <si>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</si>
  <si>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</si>
  <si>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</si>
  <si>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</si>
  <si>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</si>
  <si>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</si>
  <si>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</si>
  <si>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</si>
  <si>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</si>
  <si>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</si>
  <si>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</si>
  <si>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</si>
  <si>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</si>
  <si>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</si>
  <si>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</si>
  <si>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</si>
  <si>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</si>
  <si>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</si>
  <si>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</si>
  <si>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</si>
  <si>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t>Select Cashflow for</t>
  </si>
  <si>
    <t>Sector</t>
  </si>
  <si>
    <t>Geogrpahy</t>
  </si>
  <si>
    <t>Asset Class Type</t>
  </si>
  <si>
    <t>Count</t>
  </si>
  <si>
    <t>Middle East</t>
  </si>
  <si>
    <t>Equity Only</t>
  </si>
  <si>
    <t>Includes Equity, Debt, Funds</t>
  </si>
  <si>
    <t>IRR - Select (All Investments, includes Equity, Debt, Funds)</t>
  </si>
  <si>
    <t>Exited / or seeking exit</t>
  </si>
  <si>
    <t>Finance team</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</si>
  <si>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</si>
  <si>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</si>
  <si>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</si>
  <si>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</si>
  <si>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r>
      <rPr>
        <b/>
        <sz val="11"/>
        <color theme="1"/>
        <rFont val="Garamond"/>
        <family val="1"/>
      </rPr>
      <t>d) Acies Investments Fund I LP:</t>
    </r>
    <r>
      <rPr>
        <sz val="11"/>
        <color theme="1"/>
        <rFont val="Garamond"/>
        <family val="1"/>
      </rPr>
      <t xml:space="preserve"> Being the Anchor investor, entitled to 9.9% of the aggregate carried interest earned by the GP</t>
    </r>
  </si>
  <si>
    <t>Investment type</t>
  </si>
  <si>
    <r>
      <t>Quarterly (1</t>
    </r>
    <r>
      <rPr>
        <b/>
        <vertAlign val="superscript"/>
        <sz val="11"/>
        <color theme="1"/>
        <rFont val="Calibri"/>
        <family val="2"/>
      </rPr>
      <t>st</t>
    </r>
    <r>
      <rPr>
        <b/>
        <sz val="11"/>
        <color theme="1"/>
        <rFont val="Calibri"/>
        <family val="2"/>
      </rPr>
      <t xml:space="preserve"> April, July and October)</t>
    </r>
  </si>
  <si>
    <t>Listed securities on a recognised exchange</t>
  </si>
  <si>
    <t>1. Number of securities held, including:</t>
  </si>
  <si>
    <t>details of any movement in number of securities held</t>
  </si>
  <si>
    <t>exercise of conversion rights</t>
  </si>
  <si>
    <t>changes to the terms of the instrument</t>
  </si>
  <si>
    <t>amalgamation/ splitting of instrument classes</t>
  </si>
  <si>
    <t>bonus shares</t>
  </si>
  <si>
    <t>additional instruments subscribed</t>
  </si>
  <si>
    <t>dividend, etc.</t>
  </si>
  <si>
    <t xml:space="preserve">2. Fair value of the listed portfolio based on quoted stock exchange (MTM) price </t>
  </si>
  <si>
    <t>Unlisted corporate investments held</t>
  </si>
  <si>
    <t>2. Any events or conditions that indicate significant increase/ decrease in the fair value previously recorded for individual investments</t>
  </si>
  <si>
    <t>3. Refresh the valuation at which each investment in the portfolio is previously carried</t>
  </si>
  <si>
    <t>Investments in Funds (closed ended)</t>
  </si>
  <si>
    <t>1. Any events or conditions that indicate significant increase/ decrease in the fair value previously recorded for individual investments</t>
  </si>
  <si>
    <t>2. Fair value of investment in each Fund based on Fund Manager’s/ General Partner’s report for the previous quarter</t>
  </si>
  <si>
    <t>Changes during the Period</t>
  </si>
  <si>
    <t>At Series C PPS $18.75/share with 20% discount</t>
  </si>
  <si>
    <t>Held at cost (as per revised management guidance)</t>
  </si>
  <si>
    <t>Listed &amp; marked to market</t>
  </si>
  <si>
    <t>1a</t>
  </si>
  <si>
    <t>1b</t>
  </si>
  <si>
    <t>1c</t>
  </si>
  <si>
    <t>1d</t>
  </si>
  <si>
    <t xml:space="preserve">Opening </t>
  </si>
  <si>
    <t>Acquired</t>
  </si>
  <si>
    <t>Re-organisation</t>
  </si>
  <si>
    <t>Sale / Transfer</t>
  </si>
  <si>
    <t xml:space="preserve">Closing </t>
  </si>
  <si>
    <r>
      <t>Monthly (25</t>
    </r>
    <r>
      <rPr>
        <b/>
        <vertAlign val="superscript"/>
        <sz val="11"/>
        <color theme="1"/>
        <rFont val="Calibri"/>
        <family val="2"/>
      </rPr>
      <t>th</t>
    </r>
    <r>
      <rPr>
        <b/>
        <sz val="11"/>
        <color theme="1"/>
        <rFont val="Calibri"/>
        <family val="2"/>
      </rPr>
      <t xml:space="preserve"> of each month other than quarter-end)</t>
    </r>
  </si>
  <si>
    <r>
      <t>Annually (2</t>
    </r>
    <r>
      <rPr>
        <b/>
        <vertAlign val="superscript"/>
        <sz val="11"/>
        <color theme="1"/>
        <rFont val="Calibri"/>
        <family val="2"/>
      </rPr>
      <t>nd</t>
    </r>
    <r>
      <rPr>
        <b/>
        <sz val="11"/>
        <color theme="1"/>
        <rFont val="Calibri"/>
        <family val="2"/>
      </rPr>
      <t xml:space="preserve"> January following year-end)</t>
    </r>
  </si>
  <si>
    <t>Ref. to summary</t>
  </si>
  <si>
    <t>1b, 1c, 1d</t>
  </si>
  <si>
    <t>2. Any events or conditions that indicate significant decrease in the fair value previously recorded for individual investments</t>
  </si>
  <si>
    <r>
      <t xml:space="preserve">4. Obtain an external valuer’s report of fair value of each investment in the portfolio as at 30th September </t>
    </r>
    <r>
      <rPr>
        <b/>
        <sz val="11"/>
        <color theme="1"/>
        <rFont val="Calibri"/>
        <family val="2"/>
      </rPr>
      <t>(by 30</t>
    </r>
    <r>
      <rPr>
        <b/>
        <vertAlign val="superscript"/>
        <sz val="11"/>
        <color theme="1"/>
        <rFont val="Calibri"/>
        <family val="2"/>
      </rPr>
      <t>th</t>
    </r>
    <r>
      <rPr>
        <b/>
        <sz val="11"/>
        <color theme="1"/>
        <rFont val="Calibri"/>
        <family val="2"/>
      </rPr>
      <t xml:space="preserve"> November)</t>
    </r>
  </si>
  <si>
    <r>
      <t>5. Carry out an internal refresh as at 31</t>
    </r>
    <r>
      <rPr>
        <vertAlign val="superscript"/>
        <sz val="11"/>
        <color theme="1"/>
        <rFont val="Calibri"/>
        <family val="2"/>
      </rPr>
      <t>st</t>
    </r>
    <r>
      <rPr>
        <sz val="11"/>
        <color theme="1"/>
        <rFont val="Calibri"/>
        <family val="2"/>
      </rPr>
      <t xml:space="preserve"> December of the external valuer’s report of fair value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</si>
  <si>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r>
      <t xml:space="preserve">2. Fair value of investment in each Fund based on Fund Manager’s/ General Partner’s report for the previous quarter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</si>
  <si>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t>Dividend / Interest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</si>
  <si>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</si>
  <si>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</si>
  <si>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</si>
  <si>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</si>
  <si>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</si>
  <si>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</si>
  <si>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</si>
  <si>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</si>
  <si>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r>
      <t xml:space="preserve">G42 Investments AI Holding RSC Ltd (G42 Investments) has been issued 10.3 million shares representing c. 10% of vTv on a fully diluted basis. 50% of the consideration has been paid and the remaining 50% will be payable within next 12 months. The promissory note to pay the second US$12.5 million has been issued by G42 Investments with an equity commitment letter/guarantee in place between Group 42 Holdings Ltd and G42 Investments with Group 42 Holdings to stand behind G42 Investments obligations under the promissory note.   The agreements also provide for the potential issuance of US$ 30 million in additional shares of Class A Common Stock to G42 Investments (or cash in lieu of such issuance at the option of G42 Investments) if the United States Food and Drug Administration (the “FDA”) approves the marketing and sale of a pharmaceutical product containing TTP399 </t>
    </r>
    <r>
      <rPr>
        <i/>
        <sz val="11"/>
        <rFont val="Garamond"/>
        <family val="1"/>
      </rPr>
      <t>(Relevant documents to be perused by the consolidation / reporting team for details and corresponding implications, if any)</t>
    </r>
  </si>
  <si>
    <t>Drivenets</t>
  </si>
  <si>
    <t xml:space="preserve">Honor </t>
  </si>
  <si>
    <t>No. of securities held (Movement during the Period)</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</si>
  <si>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</si>
  <si>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</si>
  <si>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</si>
  <si>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</si>
  <si>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</si>
  <si>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</si>
  <si>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</si>
  <si>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</si>
  <si>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</si>
  <si>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Investment is marked down based on the inputs received from 3rd party.</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</si>
  <si>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</si>
  <si>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</si>
  <si>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</si>
  <si>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</si>
  <si>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17,18,19: no comments</t>
  </si>
  <si>
    <t>Mena Mobile (Debt)</t>
  </si>
  <si>
    <t>Esyasoft Holding (Debt)</t>
  </si>
  <si>
    <t>Ibid</t>
  </si>
  <si>
    <t>G42 negotiated conversion of €2.3m GP investment into LP investment to vote in favor of new LP proposal. Final details of conversion awaited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</si>
  <si>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</si>
  <si>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</si>
  <si>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</si>
  <si>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</si>
  <si>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</si>
  <si>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</si>
  <si>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Investment Amt (investee currency)</t>
  </si>
  <si>
    <t>Investment Amount (USD)</t>
  </si>
  <si>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</si>
  <si>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</si>
  <si>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</si>
  <si>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</si>
  <si>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</si>
  <si>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</si>
  <si>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</si>
  <si>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</si>
  <si>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</si>
  <si>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</si>
  <si>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</si>
  <si>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</si>
  <si>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</si>
  <si>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</si>
  <si>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</si>
  <si>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</si>
  <si>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</si>
  <si>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</si>
  <si>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</si>
  <si>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</si>
  <si>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</si>
  <si>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</si>
  <si>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</si>
  <si>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</si>
  <si>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</si>
  <si>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Date of Update: 22 Nov 22</t>
  </si>
  <si>
    <t>1) Updated the Board directorships info for VTVT and Honor</t>
  </si>
  <si>
    <t>3) Honor booked at $1.2B cost</t>
  </si>
  <si>
    <t>Date Log</t>
  </si>
  <si>
    <t>Update</t>
  </si>
  <si>
    <t>Funds</t>
  </si>
  <si>
    <t>IRR - G42 Investments</t>
  </si>
  <si>
    <t xml:space="preserve">IRR - Mozn Investments </t>
  </si>
  <si>
    <t xml:space="preserve"> Remaining Commitment</t>
  </si>
  <si>
    <t>$,m</t>
  </si>
  <si>
    <t>X</t>
  </si>
  <si>
    <t xml:space="preserve">eSpace </t>
  </si>
  <si>
    <t>SAFE note</t>
  </si>
  <si>
    <t>2) 10-Nov-2022 USD 3,388,275 Acies Investments capital call</t>
  </si>
  <si>
    <t>3) 27-Nov-2022 USD 15,000,000 eSpace SAFE</t>
  </si>
  <si>
    <t>Advisory Board</t>
  </si>
  <si>
    <t>Not yet appointed</t>
  </si>
  <si>
    <t>Definition:</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</si>
  <si>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</si>
  <si>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</si>
  <si>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</si>
  <si>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t>Investing Entities:</t>
  </si>
  <si>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</si>
  <si>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</si>
  <si>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</si>
  <si>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</si>
  <si>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</si>
  <si>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</si>
  <si>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</si>
  <si>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</si>
  <si>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</si>
  <si>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</si>
  <si>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</si>
  <si>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</si>
  <si>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</si>
  <si>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</si>
  <si>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Received an acquisition bid from BioNtech</t>
  </si>
  <si>
    <t>Exited at $5m (10th May) | Residual value = 0</t>
  </si>
  <si>
    <t>ONT Share price</t>
  </si>
  <si>
    <t>GBP USD</t>
  </si>
  <si>
    <t>VTVT Share price</t>
  </si>
  <si>
    <t>USD RMB</t>
  </si>
  <si>
    <t>xe.com</t>
  </si>
  <si>
    <t>source</t>
  </si>
  <si>
    <t>link</t>
  </si>
  <si>
    <t>Q3'22  reported</t>
  </si>
  <si>
    <t>4) Moved Jysan under Mozn</t>
  </si>
  <si>
    <t>Q3'22  at cost</t>
  </si>
  <si>
    <t>5) Revised carrying value of New Space Capital</t>
  </si>
  <si>
    <t>CHECKS</t>
  </si>
  <si>
    <t>Checks:</t>
  </si>
  <si>
    <t>For Notes, refer to Summary | 01</t>
  </si>
  <si>
    <t xml:space="preserve">Marty </t>
  </si>
  <si>
    <t>Gain till Dec 2021</t>
  </si>
  <si>
    <t>Tawasol</t>
  </si>
  <si>
    <t>MOZN Portfolio : Gains till Dec 2021</t>
  </si>
  <si>
    <t>G42 Portfolio : Gains till Dec 2021</t>
  </si>
  <si>
    <t>Gain till Nov 2022</t>
  </si>
  <si>
    <t>Delta Gain</t>
  </si>
  <si>
    <t>Invested in Q3 2022; During Dec 22, $250m was offloaded to another investor at cost</t>
  </si>
  <si>
    <r>
      <rPr>
        <sz val="11"/>
        <color theme="1"/>
        <rFont val="Calibri"/>
        <family val="2"/>
      </rPr>
      <t>•</t>
    </r>
    <r>
      <rPr>
        <sz val="11"/>
        <color theme="1"/>
        <rFont val="Garamond"/>
        <family val="1"/>
      </rPr>
      <t xml:space="preserve"> For estimating the NAV their listed share price for ONT and vTv Therapeutics is taken</t>
    </r>
  </si>
  <si>
    <t>Received payment of $470,784.65 ($411K+$59K)</t>
  </si>
  <si>
    <t>PIC</t>
  </si>
  <si>
    <t>RV</t>
  </si>
  <si>
    <t>Dist</t>
  </si>
  <si>
    <t>Investment Level Summary</t>
  </si>
  <si>
    <t>E Q U I T Y</t>
  </si>
  <si>
    <t>Checks</t>
  </si>
  <si>
    <t>MOZN</t>
  </si>
  <si>
    <t xml:space="preserve">Gain </t>
  </si>
  <si>
    <t>YTD Gains</t>
  </si>
  <si>
    <t>Gain FY21</t>
  </si>
  <si>
    <t>2) Sell down of $250m position in Honor (received 21-Dec)</t>
  </si>
  <si>
    <t>1) Esyasoft Loan Exit (received $471K on 07-Dec)</t>
  </si>
  <si>
    <t>3) New Space Capital restructuring ongoing</t>
  </si>
  <si>
    <t>4) Instadeep exit in progress</t>
  </si>
  <si>
    <t>October 22</t>
  </si>
  <si>
    <t>November 22</t>
  </si>
  <si>
    <t>December 22</t>
  </si>
  <si>
    <t xml:space="preserve"> Exchange Rate (RMB/USD)</t>
  </si>
  <si>
    <t>Updated as on:</t>
  </si>
  <si>
    <t xml:space="preserve">Held at cost. </t>
  </si>
  <si>
    <t>Held at original cost, adjusted for currency, and ownership</t>
  </si>
  <si>
    <t>Closing a new round at RMB 310B. Adjusted for currency.</t>
  </si>
  <si>
    <t>Adjusted for currency. Negotiating final terms of a new round at $1.5Bn pre</t>
  </si>
  <si>
    <t>Distribution | Actualization Interest</t>
  </si>
  <si>
    <t>Test</t>
  </si>
  <si>
    <t>TEST</t>
  </si>
  <si>
    <t>Q1 2023</t>
  </si>
  <si>
    <t>January 23</t>
  </si>
  <si>
    <t>2) Sinovation issued 6th Capital Call; funded 03-Feb</t>
  </si>
  <si>
    <t>3) Instadeep transaction 'completion' in progress</t>
  </si>
  <si>
    <t>Divyesh Mahajan</t>
  </si>
  <si>
    <t>Marty</t>
  </si>
  <si>
    <t>Investment in Esyasoft is in the form of Convertible Note which will convert to 21% interest on conversion on a fully diluted basis. As per Dec 2020 FS of Esyasoft, the CN was reflected as Debt
- Exit of US$ 2.5 Mn Convertible Note @ 2.0x (MoC) i.e. US$ 5 Mn in May 22
- US$ 0.4 Mn represents Working Capital Loan - fully exited in Dec 22</t>
  </si>
  <si>
    <t>1) Received EUR 12.5m from NewSpace Capital on 30-Jan (actualization interest); revised remaining commitment</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</si>
  <si>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</si>
  <si>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</si>
  <si>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</si>
  <si>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</si>
  <si>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</si>
  <si>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</si>
  <si>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</si>
  <si>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</si>
  <si>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</si>
  <si>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</si>
  <si>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</si>
  <si>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EURUSD</t>
  </si>
  <si>
    <t>Capital Committed</t>
  </si>
  <si>
    <t>in USD, Mn</t>
  </si>
  <si>
    <t>Capital Called</t>
  </si>
  <si>
    <t>Remaining</t>
  </si>
  <si>
    <t>source: distribution letter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</si>
</sst>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_-[$£-809]* #,##0.00_-;\-[$£-809]* #,##0.00_-;_-[$£-809]* &quot;-&quot;??_-;_-@_-"/>
    <numFmt numFmtId="168" formatCode="&quot;$&quot;#,##0_);[Red]\(&quot;$&quot;#,##0\)"/>
    <numFmt numFmtId="169" formatCode="0.00\x"/>
    <numFmt numFmtId="170" formatCode="0.0%"/>
    <numFmt numFmtId="171" formatCode="0.00%_);\(0.00%\);0.00%_);@_)"/>
    <numFmt numFmtId="172" formatCode="[$$-409]#,##0.0_);\([$$-409]#,##0.0\);[$$-409]#,##0.0_);@_)"/>
    <numFmt numFmtId="173" formatCode="[$$-409]#,##0_);\([$$-409]#,##0\);[$$-409]#,##0_);@_)"/>
    <numFmt numFmtId="174" formatCode="_(* #,##0_);_(* \(#,##0\);_(* &quot;-&quot;??_);_(@_)"/>
    <numFmt numFmtId="175" formatCode="0.0\x"/>
    <numFmt numFmtId="176" formatCode="&quot;$&quot;#,##0.0_);[Red]\(&quot;$&quot;#,##0.0\)"/>
    <numFmt numFmtId="177" formatCode="[$-14C09]d\ mmm\ yyyy;@"/>
    <numFmt numFmtId="178" formatCode="#,##0.000000;[Red]#,##0.000000"/>
    <numFmt numFmtId="179" formatCode="[$$-409]#,##0.00_);\([$$-409]#,##0.00\);[$$-409]#,##0.00_);@_)"/>
    <numFmt numFmtId="180" formatCode="[$£-809]#,##0;[Red][$£-809]#,##0"/>
    <numFmt numFmtId="181" formatCode="[$£-809]#,##0"/>
    <numFmt numFmtId="182" formatCode="&quot;€&quot;#,##0.000_);[Red]\(&quot;€&quot;#,##0.000\)"/>
    <numFmt numFmtId="183" formatCode="&quot;€&quot;#,##0.0_);[Red]\(&quot;€&quot;#,##0.0\)"/>
    <numFmt numFmtId="184" formatCode="#,##0.0;[Red]#,##0.0"/>
    <numFmt numFmtId="185" formatCode="#,##0.00\x"/>
    <numFmt numFmtId="186" formatCode="#,##0.00;[Red]#,##0.00"/>
    <numFmt numFmtId="187" formatCode="[$$-409]#,##0.00_ ;[Red]\-[$$-409]#,##0.00\ "/>
    <numFmt numFmtId="188" formatCode="&quot;AED&quot;#,##0.00"/>
    <numFmt numFmtId="189" formatCode="#,##0;[Red]#,##0"/>
    <numFmt numFmtId="190" formatCode="[$$-409]#,##0.00"/>
    <numFmt numFmtId="191" formatCode="[$$-409]#,##0.0"/>
    <numFmt numFmtId="192" formatCode="_ * #,##0.00_ ;_ * \-#,##0.00_ ;_ * &quot;-&quot;??_ ;_ @_ "/>
    <numFmt numFmtId="193" formatCode="0.0000%"/>
    <numFmt numFmtId="194" formatCode="0.00000"/>
    <numFmt numFmtId="195" formatCode="\$0.0;\-0.0;;@"/>
    <numFmt numFmtId="196" formatCode="&quot;n/a&quot;"/>
    <numFmt numFmtId="197" formatCode="_ * #,##0_ ;_ * \-#,##0_ ;_ * &quot;-&quot;??_ ;_ @_ "/>
    <numFmt numFmtId="198" formatCode="&quot;€&quot;#,##0.00_);[Red]\(&quot;€&quot;#,##0.00\)"/>
  </numFmts>
  <fonts count="85"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sz val="10"/>
      <color theme="1"/>
      <name val="Calibri"/>
      <family val="2"/>
      <scheme val="minor"/>
    </font>
    <font>
      <sz val="10"/>
      <color theme="0"/>
      <name val="Calibri"/>
      <family val="2"/>
      <scheme val="minor"/>
    </font>
    <font>
      <b/>
      <sz val="11"/>
      <color theme="2" tint="-9.9978637043366805E-2"/>
      <name val="Garamond"/>
      <family val="1"/>
    </font>
    <font>
      <u/>
      <sz val="11"/>
      <color theme="10"/>
      <name val="Calibri"/>
      <family val="2"/>
      <scheme val="minor"/>
    </font>
    <font>
      <b/>
      <sz val="10"/>
      <color rgb="FF0000CC"/>
      <name val="Calibri"/>
      <family val="2"/>
      <scheme val="minor"/>
    </font>
    <font>
      <sz val="10"/>
      <color theme="10"/>
      <name val="Calibri"/>
      <family val="2"/>
      <scheme val="minor"/>
    </font>
    <font>
      <sz val="10"/>
      <color rgb="FF000000"/>
      <name val="Calibri"/>
      <family val="2"/>
      <scheme val="minor"/>
    </font>
    <font>
      <b/>
      <sz val="10"/>
      <color theme="1"/>
      <name val="Calibri"/>
      <family val="2"/>
      <scheme val="minor"/>
    </font>
    <font>
      <b/>
      <u/>
      <sz val="10"/>
      <color theme="1"/>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sz val="11"/>
      <color theme="0"/>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sz val="11"/>
      <color theme="1" tint="0.34998626667073579"/>
      <name val="Garamond"/>
      <family val="1"/>
    </font>
    <font>
      <sz val="9"/>
      <color theme="1" tint="0.34998626667073579"/>
      <name val="Garamond"/>
      <family val="1"/>
    </font>
    <font>
      <sz val="10"/>
      <color theme="1" tint="0.34998626667073579"/>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b/>
      <vertAlign val="superscript"/>
      <sz val="11"/>
      <color theme="1"/>
      <name val="Calibri"/>
      <family val="2"/>
    </font>
    <font>
      <sz val="11"/>
      <color theme="1"/>
      <name val="Calibri"/>
      <family val="2"/>
    </font>
    <font>
      <sz val="11"/>
      <color theme="0" tint="-0.249977111117893"/>
      <name val="Garamond"/>
      <family val="1"/>
    </font>
    <font>
      <b/>
      <sz val="11"/>
      <color theme="0" tint="-0.249977111117893"/>
      <name val="Garamond"/>
      <family val="1"/>
    </font>
    <font>
      <sz val="11"/>
      <color theme="1"/>
      <name val="Garamond"/>
      <family val="2"/>
    </font>
    <font>
      <vertAlign val="superscript"/>
      <sz val="11"/>
      <color theme="1"/>
      <name val="Calibri"/>
      <family val="2"/>
    </font>
    <font>
      <b/>
      <sz val="11"/>
      <color rgb="FF0000FF"/>
      <name val="Garamond"/>
      <family val="1"/>
    </font>
    <font>
      <b/>
      <sz val="11"/>
      <color theme="7" tint="0.79998168889431442"/>
      <name val="Garamond"/>
      <family val="1"/>
    </font>
    <font>
      <sz val="11"/>
      <color theme="1" tint="0.499984740745262"/>
      <name val="Garamond"/>
      <family val="1"/>
    </font>
    <font>
      <i/>
      <sz val="11"/>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b/>
      <sz val="10"/>
      <color theme="7" tint="0.59999389629810485"/>
      <name val="Montserrat"/>
    </font>
    <font>
      <sz val="10"/>
      <color theme="0"/>
      <name val="Montserrat"/>
    </font>
    <font>
      <sz val="10"/>
      <color theme="1"/>
      <name val="Montserrat"/>
    </font>
    <font>
      <sz val="10"/>
      <color theme="7" tint="0.59999389629810485"/>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1"/>
      <color theme="1"/>
      <name val="Calibri"/>
      <family val="2"/>
      <scheme val="minor"/>
    </font>
    <font>
      <b/>
      <u/>
      <sz val="11"/>
      <color theme="1"/>
      <name val="Garamond"/>
      <family val="1"/>
    </font>
  </fonts>
  <fills count="28">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rgb="FFF8483A"/>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s>
  <borders count="46">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1" tint="0.499984740745262"/>
      </right>
      <top style="thin">
        <color theme="1" tint="0.499984740745262"/>
      </top>
      <bottom style="thin">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7"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67" fillId="0" borderId="0">
      <alignment vertical="center"/>
    </xf>
    <xf numFmtId="192" fontId="67" fillId="0" borderId="0" applyFont="0" applyFill="0" applyBorder="0" applyAlignment="0" applyProtection="0">
      <alignment vertical="center"/>
    </xf>
    <xf numFmtId="9" fontId="67" fillId="0" borderId="0" applyFont="0" applyFill="0" applyBorder="0" applyAlignment="0" applyProtection="0">
      <alignment vertical="center"/>
    </xf>
    <xf numFmtId="0" fontId="68" fillId="0" borderId="0" applyAlignment="0"/>
  </cellStyleXfs>
  <cellXfs count="675">
    <xf numFmtId="0" fontId="0" fillId="0" borderId="0" xfId="0"/>
    <xf numFmtId="0" fontId="2" fillId="2" borderId="0"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8" xfId="0" applyFont="1" applyBorder="1"/>
    <xf numFmtId="10" fontId="9" fillId="0" borderId="0" xfId="6" applyNumberFormat="1" applyFont="1" applyFill="1" applyBorder="1" applyAlignment="1">
      <alignment horizontal="center" vertical="center"/>
    </xf>
    <xf numFmtId="0" fontId="4" fillId="0" borderId="0" xfId="0" applyFont="1" applyBorder="1"/>
    <xf numFmtId="0" fontId="4" fillId="0" borderId="11" xfId="0" applyFont="1" applyBorder="1" applyAlignment="1">
      <alignment horizontal="left" wrapText="1"/>
    </xf>
    <xf numFmtId="3" fontId="11" fillId="0" borderId="11" xfId="0" applyNumberFormat="1" applyFont="1" applyBorder="1" applyAlignment="1">
      <alignment horizontal="right"/>
    </xf>
    <xf numFmtId="0" fontId="4" fillId="0" borderId="5" xfId="0" applyFont="1" applyBorder="1"/>
    <xf numFmtId="0" fontId="4" fillId="0" borderId="3" xfId="0" applyFont="1" applyBorder="1"/>
    <xf numFmtId="0" fontId="4" fillId="0" borderId="3" xfId="0" applyFont="1" applyBorder="1" applyAlignment="1">
      <alignment horizontal="center"/>
    </xf>
    <xf numFmtId="0" fontId="4" fillId="0" borderId="6" xfId="0" applyFont="1" applyBorder="1"/>
    <xf numFmtId="0" fontId="4" fillId="0" borderId="7" xfId="0" applyFont="1" applyBorder="1"/>
    <xf numFmtId="0" fontId="8" fillId="0" borderId="0" xfId="0" applyFont="1" applyBorder="1" applyAlignment="1">
      <alignment horizontal="left"/>
    </xf>
    <xf numFmtId="0" fontId="4" fillId="0" borderId="0" xfId="0" applyFont="1" applyBorder="1" applyAlignment="1">
      <alignment horizontal="center"/>
    </xf>
    <xf numFmtId="0" fontId="4" fillId="0" borderId="0" xfId="0" applyFont="1" applyBorder="1" applyAlignment="1">
      <alignment horizontal="right"/>
    </xf>
    <xf numFmtId="0" fontId="5" fillId="8" borderId="0" xfId="7" applyFont="1" applyFill="1" applyBorder="1" applyAlignment="1">
      <alignment horizontal="center" vertical="center" wrapText="1"/>
    </xf>
    <xf numFmtId="15" fontId="4" fillId="9" borderId="0" xfId="7" applyNumberFormat="1" applyFont="1" applyFill="1" applyBorder="1" applyAlignment="1">
      <alignment horizontal="center"/>
    </xf>
    <xf numFmtId="0" fontId="11" fillId="0" borderId="0" xfId="0" applyFont="1" applyBorder="1" applyAlignment="1">
      <alignment horizontal="left"/>
    </xf>
    <xf numFmtId="174" fontId="4" fillId="0" borderId="0" xfId="2" applyNumberFormat="1" applyFont="1" applyBorder="1"/>
    <xf numFmtId="3" fontId="4" fillId="0" borderId="0" xfId="0" applyNumberFormat="1" applyFont="1" applyFill="1" applyBorder="1" applyAlignment="1">
      <alignment horizontal="left" vertical="top"/>
    </xf>
    <xf numFmtId="3" fontId="11" fillId="0" borderId="0" xfId="0" applyNumberFormat="1" applyFont="1" applyFill="1" applyBorder="1" applyAlignment="1">
      <alignment horizontal="right"/>
    </xf>
    <xf numFmtId="0" fontId="10" fillId="0" borderId="0" xfId="0" applyFont="1" applyBorder="1" applyAlignment="1">
      <alignment horizontal="left" vertical="center"/>
    </xf>
    <xf numFmtId="3" fontId="4" fillId="0" borderId="0" xfId="0" applyNumberFormat="1" applyFont="1" applyBorder="1" applyAlignment="1">
      <alignment horizontal="center"/>
    </xf>
    <xf numFmtId="0" fontId="4" fillId="0" borderId="0" xfId="0" applyFont="1" applyFill="1" applyBorder="1" applyAlignment="1">
      <alignment horizontal="left"/>
    </xf>
    <xf numFmtId="164" fontId="4" fillId="0" borderId="0" xfId="0" applyNumberFormat="1" applyFont="1" applyBorder="1"/>
    <xf numFmtId="3" fontId="10" fillId="0" borderId="0" xfId="0" applyNumberFormat="1" applyFont="1" applyBorder="1" applyAlignment="1">
      <alignment horizontal="center" vertical="center"/>
    </xf>
    <xf numFmtId="0" fontId="4" fillId="0" borderId="0" xfId="0" applyFont="1" applyBorder="1" applyAlignment="1">
      <alignment horizontal="left"/>
    </xf>
    <xf numFmtId="171" fontId="4" fillId="0" borderId="0" xfId="0" applyNumberFormat="1" applyFont="1" applyBorder="1" applyAlignment="1">
      <alignment horizontal="center"/>
    </xf>
    <xf numFmtId="0" fontId="4" fillId="0" borderId="0" xfId="0" applyFont="1" applyFill="1" applyBorder="1" applyAlignment="1">
      <alignment horizontal="left" wrapText="1"/>
    </xf>
    <xf numFmtId="16" fontId="8" fillId="0" borderId="0" xfId="0" applyNumberFormat="1" applyFont="1" applyBorder="1" applyAlignment="1">
      <alignment horizontal="center"/>
    </xf>
    <xf numFmtId="0" fontId="8" fillId="0" borderId="0" xfId="0" applyFont="1" applyBorder="1" applyAlignment="1">
      <alignment horizontal="center"/>
    </xf>
    <xf numFmtId="9" fontId="4" fillId="0" borderId="0" xfId="0" applyNumberFormat="1" applyFont="1" applyBorder="1" applyAlignment="1">
      <alignment horizontal="center"/>
    </xf>
    <xf numFmtId="3" fontId="4" fillId="0" borderId="0" xfId="0" applyNumberFormat="1" applyFont="1" applyBorder="1" applyAlignment="1">
      <alignment horizontal="right"/>
    </xf>
    <xf numFmtId="172" fontId="4" fillId="0" borderId="0" xfId="0" applyNumberFormat="1" applyFont="1" applyBorder="1" applyAlignment="1">
      <alignment horizontal="center"/>
    </xf>
    <xf numFmtId="10" fontId="4" fillId="0" borderId="0" xfId="1" applyNumberFormat="1" applyFont="1" applyBorder="1" applyAlignment="1">
      <alignment horizontal="right"/>
    </xf>
    <xf numFmtId="0" fontId="11" fillId="0" borderId="0" xfId="0" applyFont="1" applyBorder="1" applyAlignment="1">
      <alignment horizontal="center"/>
    </xf>
    <xf numFmtId="16" fontId="11" fillId="0" borderId="0" xfId="0" applyNumberFormat="1" applyFont="1" applyBorder="1" applyAlignment="1">
      <alignment horizontal="center"/>
    </xf>
    <xf numFmtId="16" fontId="4" fillId="0" borderId="0" xfId="0" applyNumberFormat="1" applyFont="1" applyBorder="1" applyAlignment="1">
      <alignment horizontal="right"/>
    </xf>
    <xf numFmtId="173" fontId="4" fillId="9" borderId="0" xfId="7" applyNumberFormat="1" applyFont="1" applyFill="1" applyBorder="1" applyAlignment="1">
      <alignment horizontal="center"/>
    </xf>
    <xf numFmtId="173" fontId="4" fillId="9" borderId="0" xfId="4" applyNumberFormat="1" applyFont="1" applyFill="1" applyBorder="1" applyAlignment="1">
      <alignment horizontal="center"/>
    </xf>
    <xf numFmtId="0" fontId="12" fillId="0" borderId="0" xfId="0" applyFont="1" applyBorder="1"/>
    <xf numFmtId="169" fontId="4" fillId="0" borderId="0" xfId="0" applyNumberFormat="1" applyFont="1" applyBorder="1" applyAlignment="1">
      <alignment horizontal="center"/>
    </xf>
    <xf numFmtId="167" fontId="4" fillId="0" borderId="0" xfId="0" applyNumberFormat="1" applyFont="1" applyBorder="1" applyAlignment="1">
      <alignment horizontal="right"/>
    </xf>
    <xf numFmtId="174" fontId="4" fillId="0" borderId="0" xfId="2" applyNumberFormat="1" applyFont="1" applyBorder="1" applyAlignment="1">
      <alignment horizontal="right"/>
    </xf>
    <xf numFmtId="173" fontId="4" fillId="9" borderId="0" xfId="7" applyNumberFormat="1" applyFont="1" applyFill="1" applyBorder="1" applyAlignment="1">
      <alignment horizontal="right"/>
    </xf>
    <xf numFmtId="169" fontId="4" fillId="0" borderId="0" xfId="0" applyNumberFormat="1" applyFont="1" applyBorder="1" applyAlignment="1">
      <alignment horizontal="right"/>
    </xf>
    <xf numFmtId="173" fontId="4" fillId="9" borderId="0" xfId="4" applyNumberFormat="1" applyFont="1" applyFill="1" applyBorder="1" applyAlignment="1">
      <alignment horizontal="right"/>
    </xf>
    <xf numFmtId="15" fontId="4" fillId="0" borderId="0" xfId="0" applyNumberFormat="1" applyFont="1" applyBorder="1" applyAlignment="1">
      <alignment horizontal="center"/>
    </xf>
    <xf numFmtId="173" fontId="4" fillId="0" borderId="0" xfId="0" applyNumberFormat="1" applyFont="1" applyBorder="1" applyAlignment="1">
      <alignment horizontal="right"/>
    </xf>
    <xf numFmtId="0" fontId="4" fillId="0" borderId="9" xfId="0" applyFont="1" applyBorder="1"/>
    <xf numFmtId="0" fontId="4" fillId="0" borderId="4" xfId="0" applyFont="1" applyBorder="1"/>
    <xf numFmtId="0" fontId="4" fillId="0" borderId="4" xfId="0" applyFont="1" applyBorder="1" applyAlignment="1">
      <alignment horizontal="center"/>
    </xf>
    <xf numFmtId="0" fontId="4" fillId="0" borderId="10" xfId="0" applyFont="1" applyBorder="1"/>
    <xf numFmtId="0" fontId="4" fillId="0" borderId="4" xfId="0" applyFont="1" applyBorder="1" applyAlignment="1">
      <alignment horizontal="right"/>
    </xf>
    <xf numFmtId="165" fontId="13" fillId="0" borderId="2" xfId="0" applyNumberFormat="1" applyFont="1" applyFill="1" applyBorder="1" applyAlignment="1">
      <alignment horizontal="center" vertical="center"/>
    </xf>
    <xf numFmtId="0" fontId="2" fillId="2" borderId="0" xfId="0" applyFont="1" applyFill="1" applyBorder="1" applyAlignment="1">
      <alignment horizontal="left" vertical="center" wrapText="1"/>
    </xf>
    <xf numFmtId="165" fontId="14" fillId="0" borderId="2" xfId="0" applyNumberFormat="1" applyFont="1" applyFill="1" applyBorder="1" applyAlignment="1">
      <alignment horizontal="left" vertical="center"/>
    </xf>
    <xf numFmtId="165" fontId="14" fillId="0" borderId="0" xfId="0" applyNumberFormat="1" applyFont="1" applyFill="1" applyBorder="1" applyAlignment="1">
      <alignment horizontal="left" vertical="center"/>
    </xf>
    <xf numFmtId="1" fontId="13" fillId="0" borderId="2" xfId="2" applyNumberFormat="1" applyFont="1" applyFill="1" applyBorder="1" applyAlignment="1">
      <alignment horizontal="center" vertical="center"/>
    </xf>
    <xf numFmtId="165" fontId="13" fillId="0" borderId="0" xfId="0"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5" fontId="14" fillId="3" borderId="1" xfId="0" applyNumberFormat="1" applyFont="1" applyFill="1" applyBorder="1" applyAlignment="1">
      <alignment horizontal="center" vertical="center"/>
    </xf>
    <xf numFmtId="175" fontId="13" fillId="0" borderId="2" xfId="0" applyNumberFormat="1" applyFont="1" applyFill="1" applyBorder="1" applyAlignment="1">
      <alignment horizontal="center" vertical="center"/>
    </xf>
    <xf numFmtId="175" fontId="14" fillId="3" borderId="1" xfId="0" applyNumberFormat="1" applyFont="1" applyFill="1" applyBorder="1" applyAlignment="1">
      <alignment horizontal="center" vertical="center"/>
    </xf>
    <xf numFmtId="175" fontId="6" fillId="0" borderId="0" xfId="0" applyNumberFormat="1" applyFont="1" applyFill="1" applyBorder="1" applyAlignment="1">
      <alignment horizontal="center" vertical="center"/>
    </xf>
    <xf numFmtId="165" fontId="13" fillId="0" borderId="0" xfId="0" applyNumberFormat="1" applyFont="1" applyFill="1" applyBorder="1" applyAlignment="1">
      <alignment horizontal="left" vertical="center"/>
    </xf>
    <xf numFmtId="1" fontId="13" fillId="0" borderId="0" xfId="2" applyNumberFormat="1" applyFont="1" applyFill="1" applyBorder="1" applyAlignment="1">
      <alignment horizontal="center" vertical="center"/>
    </xf>
    <xf numFmtId="175" fontId="13" fillId="0" borderId="0" xfId="0" applyNumberFormat="1" applyFont="1" applyFill="1" applyBorder="1" applyAlignment="1">
      <alignment horizontal="center" vertical="center"/>
    </xf>
    <xf numFmtId="165" fontId="15" fillId="0" borderId="2" xfId="0" applyNumberFormat="1" applyFont="1" applyFill="1" applyBorder="1" applyAlignment="1">
      <alignment horizontal="left" vertical="center"/>
    </xf>
    <xf numFmtId="176" fontId="13" fillId="0" borderId="2" xfId="0" applyNumberFormat="1" applyFont="1" applyFill="1" applyBorder="1" applyAlignment="1">
      <alignment horizontal="center" vertical="center"/>
    </xf>
    <xf numFmtId="176" fontId="14" fillId="3" borderId="1" xfId="0" applyNumberFormat="1" applyFont="1" applyFill="1" applyBorder="1" applyAlignment="1">
      <alignment horizontal="center" vertical="center"/>
    </xf>
    <xf numFmtId="176" fontId="6" fillId="0" borderId="0" xfId="0" applyNumberFormat="1" applyFont="1" applyFill="1" applyBorder="1" applyAlignment="1">
      <alignment horizontal="center" vertical="center"/>
    </xf>
    <xf numFmtId="170" fontId="13" fillId="0" borderId="2" xfId="1" applyNumberFormat="1" applyFont="1" applyFill="1" applyBorder="1" applyAlignment="1">
      <alignment horizontal="center" vertical="center"/>
    </xf>
    <xf numFmtId="170" fontId="14" fillId="3" borderId="1" xfId="1" applyNumberFormat="1" applyFont="1" applyFill="1" applyBorder="1" applyAlignment="1">
      <alignment horizontal="center" vertical="center"/>
    </xf>
    <xf numFmtId="170" fontId="6" fillId="0" borderId="0" xfId="1" applyNumberFormat="1" applyFont="1" applyFill="1" applyBorder="1" applyAlignment="1">
      <alignment horizontal="center" vertical="center"/>
    </xf>
    <xf numFmtId="170" fontId="13" fillId="0" borderId="0" xfId="1" applyNumberFormat="1" applyFont="1" applyFill="1" applyBorder="1" applyAlignment="1">
      <alignment horizontal="center" vertical="center"/>
    </xf>
    <xf numFmtId="176" fontId="13" fillId="0" borderId="0" xfId="0" applyNumberFormat="1" applyFont="1" applyFill="1" applyBorder="1" applyAlignment="1">
      <alignment horizontal="center" vertical="center"/>
    </xf>
    <xf numFmtId="0" fontId="0" fillId="0" borderId="0" xfId="0" applyAlignment="1">
      <alignment horizontal="left"/>
    </xf>
    <xf numFmtId="0" fontId="16" fillId="0" borderId="0" xfId="0" applyFont="1"/>
    <xf numFmtId="0" fontId="16" fillId="0" borderId="0" xfId="0" applyFont="1" applyAlignment="1">
      <alignment horizontal="center"/>
    </xf>
    <xf numFmtId="3" fontId="14" fillId="0" borderId="0" xfId="0" applyNumberFormat="1" applyFont="1" applyFill="1" applyBorder="1" applyAlignment="1">
      <alignment horizontal="center" vertical="center"/>
    </xf>
    <xf numFmtId="0" fontId="17" fillId="0" borderId="0" xfId="0" applyFont="1"/>
    <xf numFmtId="14" fontId="17" fillId="6" borderId="0" xfId="3" applyNumberFormat="1" applyFont="1" applyFill="1"/>
    <xf numFmtId="177" fontId="17" fillId="6" borderId="0" xfId="3" applyNumberFormat="1" applyFont="1" applyFill="1" applyAlignment="1">
      <alignment horizontal="center"/>
    </xf>
    <xf numFmtId="14" fontId="17" fillId="11" borderId="0" xfId="3" applyNumberFormat="1" applyFont="1" applyFill="1"/>
    <xf numFmtId="177" fontId="17" fillId="11" borderId="0" xfId="3" applyNumberFormat="1" applyFont="1" applyFill="1" applyAlignment="1">
      <alignment horizontal="center"/>
    </xf>
    <xf numFmtId="0" fontId="17" fillId="0" borderId="0" xfId="0" applyFont="1" applyAlignment="1">
      <alignment horizontal="center"/>
    </xf>
    <xf numFmtId="14" fontId="17" fillId="6" borderId="0" xfId="3" applyNumberFormat="1" applyFont="1" applyFill="1" applyAlignment="1">
      <alignment horizontal="center"/>
    </xf>
    <xf numFmtId="14" fontId="17" fillId="11" borderId="0" xfId="3" applyNumberFormat="1" applyFont="1" applyFill="1" applyAlignment="1">
      <alignment horizontal="center"/>
    </xf>
    <xf numFmtId="0" fontId="17" fillId="0" borderId="0" xfId="0" applyFont="1" applyFill="1"/>
    <xf numFmtId="0" fontId="18" fillId="0" borderId="0" xfId="0" applyFont="1"/>
    <xf numFmtId="165" fontId="17" fillId="6" borderId="0" xfId="4" applyNumberFormat="1" applyFont="1" applyFill="1" applyAlignment="1">
      <alignment horizontal="center"/>
    </xf>
    <xf numFmtId="165" fontId="17" fillId="11" borderId="0" xfId="4" applyNumberFormat="1" applyFont="1" applyFill="1" applyAlignment="1">
      <alignment horizontal="center"/>
    </xf>
    <xf numFmtId="0" fontId="19" fillId="7" borderId="0" xfId="3" applyFont="1" applyFill="1" applyAlignment="1">
      <alignment vertical="center" wrapText="1"/>
    </xf>
    <xf numFmtId="177" fontId="19" fillId="7" borderId="0" xfId="3" applyNumberFormat="1" applyFont="1" applyFill="1" applyAlignment="1">
      <alignment horizontal="center" vertical="center" wrapText="1"/>
    </xf>
    <xf numFmtId="0" fontId="19" fillId="7" borderId="0" xfId="3" applyFont="1" applyFill="1" applyAlignment="1">
      <alignment horizontal="center" vertical="center" wrapText="1"/>
    </xf>
    <xf numFmtId="0" fontId="17" fillId="0" borderId="0" xfId="0" applyFont="1" applyAlignment="1">
      <alignment wrapText="1"/>
    </xf>
    <xf numFmtId="165" fontId="17" fillId="0" borderId="0" xfId="0" applyNumberFormat="1" applyFont="1" applyAlignment="1">
      <alignment horizontal="center"/>
    </xf>
    <xf numFmtId="169" fontId="17" fillId="0" borderId="0" xfId="0" applyNumberFormat="1" applyFont="1" applyAlignment="1">
      <alignment horizontal="center"/>
    </xf>
    <xf numFmtId="9" fontId="17" fillId="0" borderId="0" xfId="0" applyNumberFormat="1" applyFont="1" applyAlignment="1">
      <alignment horizontal="center"/>
    </xf>
    <xf numFmtId="49" fontId="13" fillId="0" borderId="2" xfId="1" applyNumberFormat="1" applyFont="1" applyFill="1" applyBorder="1" applyAlignment="1">
      <alignment horizontal="center" vertical="center"/>
    </xf>
    <xf numFmtId="49" fontId="14" fillId="3" borderId="1" xfId="1" applyNumberFormat="1" applyFont="1" applyFill="1" applyBorder="1" applyAlignment="1">
      <alignment horizontal="center" vertical="center"/>
    </xf>
    <xf numFmtId="165" fontId="6" fillId="0" borderId="0" xfId="0" applyNumberFormat="1" applyFont="1" applyFill="1" applyBorder="1" applyAlignment="1">
      <alignment horizontal="left" vertical="center"/>
    </xf>
    <xf numFmtId="165" fontId="13" fillId="0" borderId="2" xfId="0" applyNumberFormat="1" applyFont="1" applyFill="1" applyBorder="1" applyAlignment="1">
      <alignment horizontal="left" vertical="center"/>
    </xf>
    <xf numFmtId="49" fontId="13" fillId="0" borderId="2" xfId="1" applyNumberFormat="1" applyFont="1" applyFill="1" applyBorder="1" applyAlignment="1">
      <alignment horizontal="left" vertical="center"/>
    </xf>
    <xf numFmtId="49" fontId="14" fillId="3" borderId="1" xfId="1" applyNumberFormat="1" applyFont="1" applyFill="1" applyBorder="1" applyAlignment="1">
      <alignment horizontal="left" vertical="center"/>
    </xf>
    <xf numFmtId="170" fontId="6" fillId="0" borderId="0" xfId="1" applyNumberFormat="1" applyFont="1" applyFill="1" applyBorder="1" applyAlignment="1">
      <alignment horizontal="left" vertical="center"/>
    </xf>
    <xf numFmtId="170" fontId="13" fillId="0" borderId="2" xfId="1" applyNumberFormat="1" applyFont="1" applyFill="1" applyBorder="1" applyAlignment="1">
      <alignment horizontal="left" vertical="center"/>
    </xf>
    <xf numFmtId="170" fontId="14" fillId="3" borderId="1" xfId="1" applyNumberFormat="1" applyFont="1" applyFill="1" applyBorder="1" applyAlignment="1">
      <alignment horizontal="left" vertical="center"/>
    </xf>
    <xf numFmtId="49" fontId="21" fillId="0" borderId="2" xfId="1" applyNumberFormat="1" applyFont="1" applyFill="1" applyBorder="1" applyAlignment="1">
      <alignment horizontal="center" vertical="center"/>
    </xf>
    <xf numFmtId="0" fontId="22" fillId="7" borderId="0" xfId="3" applyFont="1" applyFill="1" applyAlignment="1">
      <alignment horizontal="center" vertical="center" wrapText="1"/>
    </xf>
    <xf numFmtId="0" fontId="22" fillId="7" borderId="0" xfId="3" applyFont="1" applyFill="1" applyAlignment="1">
      <alignment vertical="center" wrapText="1"/>
    </xf>
    <xf numFmtId="0" fontId="23" fillId="4" borderId="0" xfId="3" applyFont="1" applyFill="1" applyAlignment="1">
      <alignment wrapText="1"/>
    </xf>
    <xf numFmtId="0" fontId="23" fillId="15" borderId="0" xfId="3" applyFont="1" applyFill="1" applyAlignment="1">
      <alignment horizontal="center"/>
    </xf>
    <xf numFmtId="0" fontId="23" fillId="15" borderId="0" xfId="3" applyFont="1" applyFill="1"/>
    <xf numFmtId="176" fontId="23" fillId="15" borderId="0" xfId="4" applyNumberFormat="1" applyFont="1" applyFill="1" applyAlignment="1">
      <alignment horizontal="center"/>
    </xf>
    <xf numFmtId="0" fontId="23" fillId="4" borderId="0" xfId="3" applyFont="1" applyFill="1"/>
    <xf numFmtId="14" fontId="23" fillId="15" borderId="0" xfId="3" applyNumberFormat="1" applyFont="1" applyFill="1" applyAlignment="1">
      <alignment horizontal="center"/>
    </xf>
    <xf numFmtId="0" fontId="23" fillId="5" borderId="0" xfId="3" applyFont="1" applyFill="1" applyAlignment="1">
      <alignment horizontal="center"/>
    </xf>
    <xf numFmtId="0" fontId="23" fillId="5" borderId="0" xfId="3" applyFont="1" applyFill="1"/>
    <xf numFmtId="14" fontId="23" fillId="5" borderId="0" xfId="3" applyNumberFormat="1" applyFont="1" applyFill="1" applyAlignment="1">
      <alignment horizontal="center"/>
    </xf>
    <xf numFmtId="176" fontId="23" fillId="5" borderId="0" xfId="3" applyNumberFormat="1" applyFont="1" applyFill="1" applyAlignment="1">
      <alignment horizontal="center"/>
    </xf>
    <xf numFmtId="176" fontId="23" fillId="5" borderId="0" xfId="4" applyNumberFormat="1" applyFont="1" applyFill="1" applyAlignment="1">
      <alignment horizontal="center"/>
    </xf>
    <xf numFmtId="0" fontId="24" fillId="7" borderId="0" xfId="3" applyFont="1" applyFill="1" applyAlignment="1">
      <alignment vertical="center" wrapText="1"/>
    </xf>
    <xf numFmtId="177" fontId="24" fillId="7" borderId="0" xfId="3" applyNumberFormat="1" applyFont="1" applyFill="1" applyAlignment="1">
      <alignment horizontal="center" vertical="center" wrapText="1"/>
    </xf>
    <xf numFmtId="0" fontId="24" fillId="7" borderId="0" xfId="3" applyFont="1" applyFill="1" applyAlignment="1">
      <alignment horizontal="center" vertical="center" wrapText="1"/>
    </xf>
    <xf numFmtId="0" fontId="25" fillId="0" borderId="0" xfId="0" applyFont="1"/>
    <xf numFmtId="0" fontId="23" fillId="6" borderId="0" xfId="3" applyFont="1" applyFill="1"/>
    <xf numFmtId="14" fontId="23" fillId="6" borderId="0" xfId="3" applyNumberFormat="1" applyFont="1" applyFill="1"/>
    <xf numFmtId="177" fontId="23" fillId="6" borderId="0" xfId="3" applyNumberFormat="1" applyFont="1" applyFill="1" applyAlignment="1">
      <alignment horizontal="center"/>
    </xf>
    <xf numFmtId="0" fontId="23" fillId="6" borderId="0" xfId="3" applyFont="1" applyFill="1" applyAlignment="1">
      <alignment horizontal="center"/>
    </xf>
    <xf numFmtId="168" fontId="23" fillId="6" borderId="0" xfId="4" applyNumberFormat="1" applyFont="1" applyFill="1" applyAlignment="1">
      <alignment horizontal="center"/>
    </xf>
    <xf numFmtId="3" fontId="23" fillId="6" borderId="0" xfId="4" applyNumberFormat="1" applyFont="1" applyFill="1" applyAlignment="1">
      <alignment horizontal="center"/>
    </xf>
    <xf numFmtId="165" fontId="23" fillId="6" borderId="0" xfId="4" applyNumberFormat="1" applyFont="1" applyFill="1" applyAlignment="1">
      <alignment horizontal="center"/>
    </xf>
    <xf numFmtId="3" fontId="23" fillId="6" borderId="0" xfId="3" applyNumberFormat="1" applyFont="1" applyFill="1" applyAlignment="1">
      <alignment horizontal="center"/>
    </xf>
    <xf numFmtId="0" fontId="23" fillId="0" borderId="0" xfId="0" applyFont="1"/>
    <xf numFmtId="0" fontId="23" fillId="11" borderId="0" xfId="3" applyFont="1" applyFill="1"/>
    <xf numFmtId="14" fontId="23" fillId="11" borderId="0" xfId="3" applyNumberFormat="1" applyFont="1" applyFill="1"/>
    <xf numFmtId="177" fontId="23" fillId="11" borderId="0" xfId="3" applyNumberFormat="1" applyFont="1" applyFill="1" applyAlignment="1">
      <alignment horizontal="center"/>
    </xf>
    <xf numFmtId="0" fontId="23" fillId="11" borderId="0" xfId="3" applyFont="1" applyFill="1" applyAlignment="1">
      <alignment horizontal="center"/>
    </xf>
    <xf numFmtId="168" fontId="23" fillId="11" borderId="0" xfId="4" applyNumberFormat="1" applyFont="1" applyFill="1" applyAlignment="1">
      <alignment horizontal="center"/>
    </xf>
    <xf numFmtId="3" fontId="23" fillId="11" borderId="0" xfId="4" applyNumberFormat="1" applyFont="1" applyFill="1" applyAlignment="1">
      <alignment horizontal="center"/>
    </xf>
    <xf numFmtId="165" fontId="23" fillId="11" borderId="0" xfId="4" applyNumberFormat="1" applyFont="1" applyFill="1" applyAlignment="1">
      <alignment horizontal="center"/>
    </xf>
    <xf numFmtId="3" fontId="23" fillId="11" borderId="0" xfId="3" applyNumberFormat="1" applyFont="1" applyFill="1" applyAlignment="1">
      <alignment horizontal="center"/>
    </xf>
    <xf numFmtId="4" fontId="26" fillId="0" borderId="12" xfId="0" applyNumberFormat="1" applyFont="1" applyBorder="1" applyAlignment="1">
      <alignment horizontal="center" vertical="center" wrapText="1"/>
    </xf>
    <xf numFmtId="177" fontId="23" fillId="0" borderId="0" xfId="0" applyNumberFormat="1" applyFont="1"/>
    <xf numFmtId="49" fontId="23" fillId="0" borderId="0" xfId="0" applyNumberFormat="1" applyFont="1"/>
    <xf numFmtId="0" fontId="23" fillId="0" borderId="0" xfId="0" applyFont="1" applyAlignment="1">
      <alignment horizontal="center"/>
    </xf>
    <xf numFmtId="170" fontId="14" fillId="0" borderId="2" xfId="1" applyNumberFormat="1" applyFont="1" applyFill="1" applyBorder="1" applyAlignment="1">
      <alignment horizontal="left" vertical="center"/>
    </xf>
    <xf numFmtId="170" fontId="14" fillId="0" borderId="2" xfId="1" applyNumberFormat="1" applyFont="1" applyFill="1" applyBorder="1" applyAlignment="1">
      <alignment horizontal="center" vertical="center"/>
    </xf>
    <xf numFmtId="0" fontId="18" fillId="0" borderId="0" xfId="0" applyFont="1" applyAlignment="1">
      <alignment horizontal="left"/>
    </xf>
    <xf numFmtId="0" fontId="16" fillId="0" borderId="0" xfId="0" applyFont="1" applyAlignment="1">
      <alignment horizontal="left"/>
    </xf>
    <xf numFmtId="0" fontId="16" fillId="0" borderId="5" xfId="0" applyFont="1" applyBorder="1"/>
    <xf numFmtId="0" fontId="18" fillId="0" borderId="3" xfId="0" applyFont="1" applyBorder="1" applyAlignment="1">
      <alignment horizontal="left"/>
    </xf>
    <xf numFmtId="0" fontId="16" fillId="0" borderId="3" xfId="0" applyFont="1" applyBorder="1" applyAlignment="1">
      <alignment horizontal="center"/>
    </xf>
    <xf numFmtId="0" fontId="16" fillId="0" borderId="3" xfId="0" applyFont="1" applyBorder="1" applyAlignment="1">
      <alignment horizontal="left"/>
    </xf>
    <xf numFmtId="0" fontId="16" fillId="0" borderId="6" xfId="0" applyFont="1" applyBorder="1"/>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0" xfId="0" applyFont="1" applyAlignment="1">
      <alignment vertical="center" wrapText="1"/>
    </xf>
    <xf numFmtId="0" fontId="16" fillId="0" borderId="7" xfId="0" applyFont="1" applyFill="1" applyBorder="1"/>
    <xf numFmtId="0" fontId="16" fillId="0" borderId="8" xfId="0" applyFont="1" applyFill="1" applyBorder="1"/>
    <xf numFmtId="0" fontId="16" fillId="0" borderId="0" xfId="0" applyFont="1" applyFill="1"/>
    <xf numFmtId="0" fontId="16" fillId="0" borderId="7" xfId="0" applyFont="1" applyBorder="1"/>
    <xf numFmtId="0" fontId="16" fillId="0" borderId="8" xfId="0" applyFont="1" applyBorder="1"/>
    <xf numFmtId="0" fontId="13" fillId="0" borderId="7" xfId="0" applyFont="1" applyBorder="1"/>
    <xf numFmtId="0" fontId="13" fillId="0" borderId="8" xfId="0" applyFont="1" applyBorder="1"/>
    <xf numFmtId="0" fontId="13" fillId="0" borderId="0" xfId="0" applyFont="1"/>
    <xf numFmtId="0" fontId="16" fillId="0" borderId="9" xfId="0" applyFont="1" applyBorder="1"/>
    <xf numFmtId="0" fontId="18" fillId="0" borderId="4" xfId="0" applyFont="1" applyBorder="1" applyAlignment="1">
      <alignment horizontal="left"/>
    </xf>
    <xf numFmtId="170" fontId="16" fillId="0" borderId="4" xfId="0" applyNumberFormat="1" applyFont="1" applyBorder="1" applyAlignment="1">
      <alignment horizontal="center"/>
    </xf>
    <xf numFmtId="170" fontId="16" fillId="0" borderId="4" xfId="0" applyNumberFormat="1" applyFont="1" applyBorder="1" applyAlignment="1">
      <alignment horizontal="left"/>
    </xf>
    <xf numFmtId="0" fontId="16" fillId="0" borderId="10" xfId="0" applyFont="1" applyBorder="1"/>
    <xf numFmtId="170" fontId="16" fillId="0" borderId="0" xfId="0" applyNumberFormat="1" applyFont="1" applyAlignment="1">
      <alignment horizontal="center"/>
    </xf>
    <xf numFmtId="170" fontId="16" fillId="0" borderId="0" xfId="0" applyNumberFormat="1" applyFont="1" applyAlignment="1">
      <alignment horizontal="left"/>
    </xf>
    <xf numFmtId="0" fontId="16" fillId="0" borderId="0" xfId="0" applyFont="1" applyBorder="1"/>
    <xf numFmtId="0" fontId="16" fillId="16" borderId="0" xfId="0" applyFont="1" applyFill="1"/>
    <xf numFmtId="10" fontId="17" fillId="0" borderId="0" xfId="0" applyNumberFormat="1" applyFont="1" applyAlignment="1">
      <alignment horizontal="center"/>
    </xf>
    <xf numFmtId="179" fontId="4" fillId="9" borderId="0" xfId="4" applyNumberFormat="1" applyFont="1" applyFill="1" applyBorder="1" applyAlignment="1">
      <alignment horizontal="right"/>
    </xf>
    <xf numFmtId="179" fontId="4" fillId="9" borderId="0" xfId="7" applyNumberFormat="1" applyFont="1" applyFill="1" applyBorder="1" applyAlignment="1">
      <alignment horizontal="right"/>
    </xf>
    <xf numFmtId="180" fontId="23" fillId="11" borderId="0" xfId="4" applyNumberFormat="1" applyFont="1" applyFill="1" applyAlignment="1">
      <alignment horizontal="center"/>
    </xf>
    <xf numFmtId="181" fontId="23" fillId="6" borderId="0" xfId="4" applyNumberFormat="1" applyFont="1" applyFill="1" applyAlignment="1">
      <alignment horizontal="center"/>
    </xf>
    <xf numFmtId="182" fontId="23" fillId="6" borderId="0" xfId="3" applyNumberFormat="1" applyFont="1" applyFill="1" applyAlignment="1">
      <alignment horizontal="center"/>
    </xf>
    <xf numFmtId="183" fontId="23" fillId="6" borderId="0" xfId="3" applyNumberFormat="1" applyFont="1" applyFill="1" applyAlignment="1">
      <alignment horizontal="center"/>
    </xf>
    <xf numFmtId="165" fontId="6" fillId="0" borderId="14" xfId="0" applyNumberFormat="1" applyFont="1" applyFill="1" applyBorder="1" applyAlignment="1">
      <alignment horizontal="center" vertical="center"/>
    </xf>
    <xf numFmtId="175" fontId="6" fillId="0" borderId="14" xfId="0" applyNumberFormat="1" applyFont="1" applyFill="1" applyBorder="1" applyAlignment="1">
      <alignment horizontal="center" vertical="center"/>
    </xf>
    <xf numFmtId="175" fontId="13" fillId="16" borderId="13" xfId="0" applyNumberFormat="1" applyFont="1" applyFill="1" applyBorder="1" applyAlignment="1">
      <alignment horizontal="center" vertical="center"/>
    </xf>
    <xf numFmtId="175" fontId="13" fillId="17" borderId="13" xfId="0" applyNumberFormat="1" applyFont="1" applyFill="1" applyBorder="1" applyAlignment="1">
      <alignment horizontal="center" vertical="center"/>
    </xf>
    <xf numFmtId="175" fontId="13" fillId="10" borderId="13" xfId="0" applyNumberFormat="1" applyFont="1" applyFill="1" applyBorder="1" applyAlignment="1">
      <alignment horizontal="center" vertical="center"/>
    </xf>
    <xf numFmtId="165" fontId="20" fillId="0" borderId="2" xfId="0" applyNumberFormat="1" applyFont="1" applyFill="1" applyBorder="1" applyAlignment="1">
      <alignment horizontal="center" vertical="center"/>
    </xf>
    <xf numFmtId="0" fontId="24" fillId="8" borderId="0" xfId="3" applyFont="1" applyFill="1" applyAlignment="1">
      <alignment vertical="center"/>
    </xf>
    <xf numFmtId="0" fontId="24" fillId="8" borderId="0" xfId="3" applyFont="1" applyFill="1" applyAlignment="1">
      <alignment vertical="center" wrapText="1"/>
    </xf>
    <xf numFmtId="177" fontId="24" fillId="8" borderId="0" xfId="3" applyNumberFormat="1" applyFont="1" applyFill="1" applyAlignment="1">
      <alignment horizontal="center" vertical="center" wrapText="1"/>
    </xf>
    <xf numFmtId="0" fontId="24" fillId="8" borderId="0" xfId="3" applyFont="1" applyFill="1" applyAlignment="1">
      <alignment horizontal="center" vertical="center" wrapText="1"/>
    </xf>
    <xf numFmtId="169" fontId="16" fillId="0" borderId="0" xfId="0" applyNumberFormat="1" applyFont="1" applyAlignment="1">
      <alignment horizontal="center"/>
    </xf>
    <xf numFmtId="165" fontId="14" fillId="0" borderId="14" xfId="0" applyNumberFormat="1" applyFont="1" applyFill="1" applyBorder="1" applyAlignment="1">
      <alignment horizontal="left" vertical="center"/>
    </xf>
    <xf numFmtId="170" fontId="13" fillId="0" borderId="13" xfId="1" applyNumberFormat="1" applyFont="1" applyFill="1" applyBorder="1" applyAlignment="1">
      <alignment horizontal="center" vertical="center"/>
    </xf>
    <xf numFmtId="0" fontId="28" fillId="2" borderId="0" xfId="0" applyFont="1" applyFill="1" applyBorder="1" applyAlignment="1">
      <alignment horizontal="center" vertical="center" wrapText="1"/>
    </xf>
    <xf numFmtId="169" fontId="16" fillId="0" borderId="16" xfId="0" applyNumberFormat="1" applyFont="1" applyBorder="1" applyAlignment="1">
      <alignment horizontal="center"/>
    </xf>
    <xf numFmtId="0" fontId="16" fillId="0" borderId="18" xfId="0" applyFont="1" applyBorder="1"/>
    <xf numFmtId="0" fontId="16" fillId="0" borderId="19" xfId="0" applyFont="1" applyBorder="1"/>
    <xf numFmtId="169" fontId="16" fillId="0" borderId="0" xfId="0" applyNumberFormat="1" applyFont="1" applyBorder="1" applyAlignment="1">
      <alignment horizontal="center"/>
    </xf>
    <xf numFmtId="169" fontId="16" fillId="0" borderId="21" xfId="0" applyNumberFormat="1" applyFont="1" applyBorder="1" applyAlignment="1">
      <alignment horizontal="center"/>
    </xf>
    <xf numFmtId="0" fontId="16" fillId="0" borderId="15" xfId="0" applyFont="1" applyBorder="1"/>
    <xf numFmtId="0" fontId="18" fillId="0" borderId="16" xfId="0" applyFont="1" applyBorder="1" applyAlignment="1">
      <alignment horizontal="left"/>
    </xf>
    <xf numFmtId="0" fontId="16" fillId="0" borderId="16" xfId="0" applyFont="1" applyBorder="1"/>
    <xf numFmtId="0" fontId="16" fillId="0" borderId="17" xfId="0" applyFont="1" applyBorder="1"/>
    <xf numFmtId="0" fontId="18" fillId="0" borderId="18" xfId="0" applyFont="1" applyBorder="1" applyAlignment="1">
      <alignment vertical="center" wrapText="1"/>
    </xf>
    <xf numFmtId="0" fontId="18" fillId="0" borderId="19" xfId="0" applyFont="1" applyBorder="1" applyAlignment="1">
      <alignment vertical="center" wrapText="1"/>
    </xf>
    <xf numFmtId="0" fontId="16" fillId="0" borderId="18" xfId="0" applyFont="1" applyFill="1" applyBorder="1"/>
    <xf numFmtId="0" fontId="16" fillId="0" borderId="19" xfId="0" applyFont="1" applyFill="1" applyBorder="1"/>
    <xf numFmtId="0" fontId="13" fillId="0" borderId="18" xfId="0" applyFont="1" applyBorder="1"/>
    <xf numFmtId="0" fontId="13" fillId="0" borderId="19" xfId="0" applyFont="1" applyBorder="1"/>
    <xf numFmtId="0" fontId="16" fillId="0" borderId="20" xfId="0" applyFont="1" applyBorder="1"/>
    <xf numFmtId="0" fontId="18" fillId="0" borderId="21" xfId="0" applyFont="1" applyBorder="1" applyAlignment="1">
      <alignment horizontal="left"/>
    </xf>
    <xf numFmtId="0" fontId="16" fillId="0" borderId="21" xfId="0" applyFont="1" applyBorder="1"/>
    <xf numFmtId="0" fontId="16" fillId="0" borderId="22" xfId="0" applyFont="1" applyBorder="1"/>
    <xf numFmtId="165" fontId="14" fillId="18" borderId="1" xfId="0" applyNumberFormat="1" applyFont="1" applyFill="1" applyBorder="1" applyAlignment="1">
      <alignment horizontal="center" vertical="center"/>
    </xf>
    <xf numFmtId="170" fontId="14" fillId="18" borderId="1" xfId="1" applyNumberFormat="1" applyFont="1" applyFill="1" applyBorder="1" applyAlignment="1">
      <alignment horizontal="center" vertical="center"/>
    </xf>
    <xf numFmtId="176" fontId="14" fillId="18" borderId="1" xfId="0" applyNumberFormat="1" applyFont="1" applyFill="1" applyBorder="1" applyAlignment="1">
      <alignment horizontal="center" vertical="center"/>
    </xf>
    <xf numFmtId="175" fontId="14" fillId="18" borderId="1" xfId="0" applyNumberFormat="1" applyFont="1" applyFill="1" applyBorder="1" applyAlignment="1">
      <alignment horizontal="center" vertical="center"/>
    </xf>
    <xf numFmtId="165" fontId="31" fillId="0" borderId="2" xfId="0" applyNumberFormat="1" applyFont="1" applyFill="1" applyBorder="1" applyAlignment="1">
      <alignment horizontal="center" vertical="center"/>
    </xf>
    <xf numFmtId="165" fontId="33" fillId="18" borderId="1" xfId="0" applyNumberFormat="1" applyFont="1" applyFill="1" applyBorder="1" applyAlignment="1">
      <alignment horizontal="center" vertical="center"/>
    </xf>
    <xf numFmtId="165" fontId="33" fillId="0" borderId="0" xfId="0" applyNumberFormat="1" applyFont="1" applyFill="1" applyBorder="1" applyAlignment="1">
      <alignment horizontal="center" vertical="center"/>
    </xf>
    <xf numFmtId="170" fontId="31" fillId="0" borderId="2" xfId="1" applyNumberFormat="1" applyFont="1" applyFill="1" applyBorder="1" applyAlignment="1">
      <alignment horizontal="center" vertical="center"/>
    </xf>
    <xf numFmtId="170" fontId="33" fillId="18" borderId="1" xfId="1" applyNumberFormat="1" applyFont="1" applyFill="1" applyBorder="1" applyAlignment="1">
      <alignment horizontal="center" vertical="center"/>
    </xf>
    <xf numFmtId="170" fontId="33" fillId="0" borderId="0" xfId="1" applyNumberFormat="1" applyFont="1" applyFill="1" applyBorder="1" applyAlignment="1">
      <alignment horizontal="center" vertical="center"/>
    </xf>
    <xf numFmtId="170" fontId="33" fillId="3" borderId="1" xfId="1" applyNumberFormat="1" applyFont="1" applyFill="1" applyBorder="1" applyAlignment="1">
      <alignment horizontal="center" vertical="center"/>
    </xf>
    <xf numFmtId="165" fontId="14" fillId="10" borderId="0" xfId="0" applyNumberFormat="1" applyFont="1" applyFill="1" applyBorder="1" applyAlignment="1">
      <alignment horizontal="left" vertical="center"/>
    </xf>
    <xf numFmtId="1" fontId="13" fillId="10" borderId="0" xfId="2" applyNumberFormat="1" applyFont="1" applyFill="1" applyBorder="1" applyAlignment="1">
      <alignment horizontal="center" vertical="center"/>
    </xf>
    <xf numFmtId="170" fontId="13" fillId="10" borderId="0" xfId="1" applyNumberFormat="1" applyFont="1" applyFill="1" applyBorder="1" applyAlignment="1">
      <alignment horizontal="center" vertical="center"/>
    </xf>
    <xf numFmtId="176" fontId="13" fillId="10" borderId="0" xfId="0" applyNumberFormat="1" applyFont="1" applyFill="1" applyBorder="1" applyAlignment="1">
      <alignment horizontal="center" vertical="center"/>
    </xf>
    <xf numFmtId="0" fontId="18" fillId="0" borderId="0" xfId="0" applyFont="1" applyAlignment="1">
      <alignment horizontal="center"/>
    </xf>
    <xf numFmtId="0" fontId="18" fillId="0" borderId="3" xfId="0" applyFont="1" applyBorder="1" applyAlignment="1">
      <alignment horizontal="center"/>
    </xf>
    <xf numFmtId="165" fontId="14" fillId="0" borderId="14" xfId="0" applyNumberFormat="1" applyFont="1" applyFill="1" applyBorder="1" applyAlignment="1">
      <alignment horizontal="center" vertical="center"/>
    </xf>
    <xf numFmtId="165" fontId="15" fillId="0" borderId="2" xfId="0" applyNumberFormat="1" applyFont="1" applyFill="1" applyBorder="1" applyAlignment="1">
      <alignment horizontal="center" vertical="center"/>
    </xf>
    <xf numFmtId="0" fontId="18" fillId="0" borderId="4" xfId="0" applyFont="1" applyBorder="1" applyAlignment="1">
      <alignment horizontal="center"/>
    </xf>
    <xf numFmtId="3" fontId="14" fillId="0" borderId="2" xfId="0" applyNumberFormat="1" applyFont="1" applyFill="1" applyBorder="1" applyAlignment="1">
      <alignment horizontal="center" vertical="center"/>
    </xf>
    <xf numFmtId="3" fontId="14" fillId="3" borderId="1" xfId="0" applyNumberFormat="1" applyFont="1" applyFill="1" applyBorder="1" applyAlignment="1">
      <alignment horizontal="center" vertical="center"/>
    </xf>
    <xf numFmtId="3" fontId="15" fillId="0" borderId="2" xfId="0" applyNumberFormat="1" applyFont="1" applyFill="1" applyBorder="1" applyAlignment="1">
      <alignment horizontal="center" vertical="center"/>
    </xf>
    <xf numFmtId="170" fontId="14" fillId="0" borderId="0" xfId="1" applyNumberFormat="1" applyFont="1" applyFill="1" applyBorder="1" applyAlignment="1">
      <alignment horizontal="center" vertical="center"/>
    </xf>
    <xf numFmtId="170" fontId="15" fillId="0" borderId="2" xfId="1" applyNumberFormat="1" applyFont="1" applyFill="1" applyBorder="1" applyAlignment="1">
      <alignment horizontal="center" vertical="center"/>
    </xf>
    <xf numFmtId="3" fontId="0" fillId="0" borderId="0" xfId="0" applyNumberFormat="1"/>
    <xf numFmtId="3" fontId="16" fillId="0" borderId="0" xfId="0" applyNumberFormat="1" applyFont="1"/>
    <xf numFmtId="3" fontId="14" fillId="13" borderId="2" xfId="0" applyNumberFormat="1" applyFont="1" applyFill="1" applyBorder="1" applyAlignment="1">
      <alignment horizontal="center" vertical="center"/>
    </xf>
    <xf numFmtId="0" fontId="34" fillId="2" borderId="0" xfId="0" applyFont="1" applyFill="1" applyBorder="1" applyAlignment="1">
      <alignment horizontal="center" vertical="center" wrapText="1"/>
    </xf>
    <xf numFmtId="165" fontId="13" fillId="3" borderId="1" xfId="0" applyNumberFormat="1" applyFont="1" applyFill="1" applyBorder="1" applyAlignment="1">
      <alignment horizontal="center" vertical="center"/>
    </xf>
    <xf numFmtId="0" fontId="16" fillId="0" borderId="4" xfId="0" applyFont="1" applyBorder="1" applyAlignment="1">
      <alignment horizontal="center"/>
    </xf>
    <xf numFmtId="0" fontId="35" fillId="0" borderId="0" xfId="0" applyFont="1" applyAlignment="1">
      <alignment horizontal="center"/>
    </xf>
    <xf numFmtId="0" fontId="35" fillId="0" borderId="3" xfId="0" applyFont="1" applyBorder="1" applyAlignment="1">
      <alignment horizontal="center"/>
    </xf>
    <xf numFmtId="165" fontId="21" fillId="0" borderId="0" xfId="0" applyNumberFormat="1" applyFont="1" applyFill="1" applyBorder="1" applyAlignment="1">
      <alignment horizontal="center" vertical="center"/>
    </xf>
    <xf numFmtId="165" fontId="36" fillId="0" borderId="2" xfId="0" applyNumberFormat="1" applyFont="1" applyFill="1" applyBorder="1" applyAlignment="1">
      <alignment horizontal="center" vertical="center"/>
    </xf>
    <xf numFmtId="165" fontId="21" fillId="0" borderId="2" xfId="0" applyNumberFormat="1" applyFont="1" applyFill="1" applyBorder="1" applyAlignment="1">
      <alignment horizontal="center" vertical="center"/>
    </xf>
    <xf numFmtId="165" fontId="21" fillId="3" borderId="1" xfId="0" applyNumberFormat="1" applyFont="1" applyFill="1" applyBorder="1" applyAlignment="1">
      <alignment horizontal="center" vertical="center"/>
    </xf>
    <xf numFmtId="170" fontId="21" fillId="0" borderId="0" xfId="1" applyNumberFormat="1" applyFont="1" applyFill="1" applyBorder="1" applyAlignment="1">
      <alignment horizontal="center" vertical="center"/>
    </xf>
    <xf numFmtId="170" fontId="36" fillId="0" borderId="0" xfId="1" applyNumberFormat="1" applyFont="1" applyFill="1" applyBorder="1" applyAlignment="1">
      <alignment horizontal="center" vertical="center"/>
    </xf>
    <xf numFmtId="170" fontId="21" fillId="3" borderId="0" xfId="1" applyNumberFormat="1" applyFont="1" applyFill="1" applyBorder="1" applyAlignment="1">
      <alignment horizontal="center" vertical="center"/>
    </xf>
    <xf numFmtId="0" fontId="35" fillId="0" borderId="4" xfId="0" applyFont="1" applyBorder="1" applyAlignment="1">
      <alignment horizontal="center"/>
    </xf>
    <xf numFmtId="176" fontId="23" fillId="0" borderId="0" xfId="4" applyNumberFormat="1" applyFont="1" applyFill="1" applyAlignment="1">
      <alignment horizontal="center"/>
    </xf>
    <xf numFmtId="176" fontId="23" fillId="0" borderId="0" xfId="0" applyNumberFormat="1" applyFont="1"/>
    <xf numFmtId="165" fontId="37" fillId="0" borderId="2" xfId="0" applyNumberFormat="1" applyFont="1" applyFill="1" applyBorder="1" applyAlignment="1">
      <alignment horizontal="left" vertical="center"/>
    </xf>
    <xf numFmtId="176" fontId="39" fillId="0" borderId="2" xfId="0" applyNumberFormat="1" applyFont="1" applyFill="1" applyBorder="1" applyAlignment="1">
      <alignment horizontal="center" vertical="center"/>
    </xf>
    <xf numFmtId="165" fontId="40" fillId="0" borderId="2" xfId="0" applyNumberFormat="1" applyFont="1" applyFill="1" applyBorder="1" applyAlignment="1">
      <alignment horizontal="left" vertical="center"/>
    </xf>
    <xf numFmtId="184" fontId="23" fillId="0" borderId="0" xfId="0" applyNumberFormat="1" applyFont="1"/>
    <xf numFmtId="9" fontId="23" fillId="0" borderId="0" xfId="0" applyNumberFormat="1" applyFont="1"/>
    <xf numFmtId="0" fontId="25" fillId="13" borderId="23" xfId="3" applyFont="1" applyFill="1" applyBorder="1"/>
    <xf numFmtId="0" fontId="25" fillId="13" borderId="25" xfId="0" applyFont="1" applyFill="1" applyBorder="1"/>
    <xf numFmtId="0" fontId="25" fillId="13" borderId="27" xfId="0" applyFont="1" applyFill="1" applyBorder="1"/>
    <xf numFmtId="0" fontId="25" fillId="0" borderId="0" xfId="0" applyFont="1" applyAlignment="1">
      <alignment vertical="center"/>
    </xf>
    <xf numFmtId="0" fontId="25" fillId="19" borderId="0" xfId="0" applyFont="1" applyFill="1"/>
    <xf numFmtId="170" fontId="38" fillId="0" borderId="0" xfId="1" applyNumberFormat="1" applyFont="1" applyFill="1" applyBorder="1" applyAlignment="1">
      <alignment horizontal="center" vertical="center"/>
    </xf>
    <xf numFmtId="176" fontId="39" fillId="0" borderId="0" xfId="0" applyNumberFormat="1" applyFont="1" applyFill="1" applyBorder="1" applyAlignment="1">
      <alignment horizontal="center" vertical="center"/>
    </xf>
    <xf numFmtId="0" fontId="23" fillId="0" borderId="11" xfId="0" applyFont="1" applyBorder="1"/>
    <xf numFmtId="165" fontId="40" fillId="0" borderId="0" xfId="0" applyNumberFormat="1" applyFont="1" applyFill="1" applyBorder="1" applyAlignment="1">
      <alignment horizontal="center" vertical="center"/>
    </xf>
    <xf numFmtId="176" fontId="23" fillId="0" borderId="11" xfId="0" applyNumberFormat="1" applyFont="1" applyBorder="1" applyAlignment="1">
      <alignment horizontal="center"/>
    </xf>
    <xf numFmtId="185" fontId="39" fillId="0" borderId="2" xfId="0" applyNumberFormat="1" applyFont="1" applyFill="1" applyBorder="1" applyAlignment="1">
      <alignment horizontal="center" vertical="center"/>
    </xf>
    <xf numFmtId="185" fontId="39" fillId="0" borderId="11" xfId="0" applyNumberFormat="1" applyFont="1" applyFill="1" applyBorder="1" applyAlignment="1">
      <alignment horizontal="center" vertical="center"/>
    </xf>
    <xf numFmtId="9" fontId="23" fillId="13" borderId="24" xfId="0" applyNumberFormat="1" applyFont="1" applyFill="1" applyBorder="1" applyAlignment="1">
      <alignment horizontal="center"/>
    </xf>
    <xf numFmtId="185" fontId="23" fillId="13" borderId="26" xfId="0" applyNumberFormat="1" applyFont="1" applyFill="1" applyBorder="1" applyAlignment="1">
      <alignment horizontal="center"/>
    </xf>
    <xf numFmtId="185" fontId="23" fillId="13" borderId="28" xfId="0" applyNumberFormat="1" applyFont="1" applyFill="1" applyBorder="1" applyAlignment="1">
      <alignment horizontal="center"/>
    </xf>
    <xf numFmtId="9" fontId="25" fillId="13" borderId="24" xfId="0" applyNumberFormat="1" applyFont="1" applyFill="1" applyBorder="1" applyAlignment="1">
      <alignment horizontal="center"/>
    </xf>
    <xf numFmtId="185" fontId="25" fillId="13" borderId="26" xfId="0" applyNumberFormat="1" applyFont="1" applyFill="1" applyBorder="1" applyAlignment="1">
      <alignment horizontal="center"/>
    </xf>
    <xf numFmtId="185" fontId="25" fillId="13" borderId="28" xfId="0" applyNumberFormat="1" applyFont="1" applyFill="1" applyBorder="1" applyAlignment="1">
      <alignment horizontal="center"/>
    </xf>
    <xf numFmtId="15" fontId="25" fillId="19" borderId="29" xfId="0" applyNumberFormat="1" applyFont="1" applyFill="1" applyBorder="1"/>
    <xf numFmtId="9" fontId="39" fillId="0" borderId="2" xfId="0" applyNumberFormat="1" applyFont="1" applyFill="1" applyBorder="1" applyAlignment="1">
      <alignment horizontal="center" vertical="center"/>
    </xf>
    <xf numFmtId="9" fontId="39" fillId="0" borderId="11" xfId="0" applyNumberFormat="1" applyFont="1" applyFill="1" applyBorder="1" applyAlignment="1">
      <alignment horizontal="center" vertical="center"/>
    </xf>
    <xf numFmtId="170" fontId="39" fillId="0" borderId="2" xfId="0" applyNumberFormat="1" applyFont="1" applyFill="1" applyBorder="1" applyAlignment="1">
      <alignment horizontal="center" vertical="center"/>
    </xf>
    <xf numFmtId="0" fontId="25" fillId="10" borderId="0" xfId="0" applyFont="1" applyFill="1"/>
    <xf numFmtId="0" fontId="25" fillId="10" borderId="0" xfId="0" applyFont="1" applyFill="1" applyAlignment="1">
      <alignment horizontal="center"/>
    </xf>
    <xf numFmtId="0" fontId="23" fillId="10" borderId="0" xfId="0" applyFont="1" applyFill="1"/>
    <xf numFmtId="0" fontId="41" fillId="0" borderId="0" xfId="0" applyFont="1"/>
    <xf numFmtId="0" fontId="25" fillId="0" borderId="0" xfId="0" applyFont="1" applyFill="1"/>
    <xf numFmtId="15" fontId="25" fillId="0" borderId="0" xfId="0" applyNumberFormat="1" applyFont="1" applyFill="1" applyBorder="1"/>
    <xf numFmtId="0" fontId="23" fillId="0" borderId="0" xfId="0" applyFont="1" applyFill="1"/>
    <xf numFmtId="9" fontId="42" fillId="13" borderId="24" xfId="0" applyNumberFormat="1" applyFont="1" applyFill="1" applyBorder="1" applyAlignment="1">
      <alignment horizontal="center"/>
    </xf>
    <xf numFmtId="0" fontId="19" fillId="0" borderId="0" xfId="3" applyFont="1" applyFill="1" applyAlignment="1">
      <alignment horizontal="center" vertical="center" wrapText="1"/>
    </xf>
    <xf numFmtId="165" fontId="17" fillId="0" borderId="0" xfId="4" applyNumberFormat="1" applyFont="1" applyFill="1" applyAlignment="1">
      <alignment horizontal="center"/>
    </xf>
    <xf numFmtId="0" fontId="43" fillId="0" borderId="0" xfId="0" applyFont="1"/>
    <xf numFmtId="0" fontId="17" fillId="0" borderId="0" xfId="0" applyFont="1" applyFill="1" applyAlignment="1">
      <alignment horizontal="center"/>
    </xf>
    <xf numFmtId="165" fontId="37" fillId="0" borderId="0" xfId="0" applyNumberFormat="1" applyFont="1" applyFill="1" applyBorder="1" applyAlignment="1">
      <alignment horizontal="left" vertical="center"/>
    </xf>
    <xf numFmtId="0" fontId="17" fillId="15" borderId="0" xfId="3" applyFont="1" applyFill="1"/>
    <xf numFmtId="0" fontId="17" fillId="15" borderId="0" xfId="3" applyFont="1" applyFill="1" applyAlignment="1">
      <alignment horizontal="center"/>
    </xf>
    <xf numFmtId="14" fontId="17" fillId="15" borderId="0" xfId="3" applyNumberFormat="1" applyFont="1" applyFill="1" applyAlignment="1">
      <alignment horizontal="center"/>
    </xf>
    <xf numFmtId="176" fontId="17" fillId="15" borderId="0" xfId="4" applyNumberFormat="1" applyFont="1" applyFill="1" applyAlignment="1">
      <alignment horizontal="center"/>
    </xf>
    <xf numFmtId="0" fontId="17" fillId="5" borderId="0" xfId="3" applyFont="1" applyFill="1"/>
    <xf numFmtId="0" fontId="17" fillId="5" borderId="0" xfId="3" applyFont="1" applyFill="1" applyAlignment="1">
      <alignment horizontal="center"/>
    </xf>
    <xf numFmtId="14" fontId="17" fillId="5" borderId="0" xfId="3" applyNumberFormat="1" applyFont="1" applyFill="1" applyAlignment="1">
      <alignment horizontal="center"/>
    </xf>
    <xf numFmtId="176" fontId="17" fillId="5" borderId="0" xfId="4" applyNumberFormat="1" applyFont="1" applyFill="1" applyAlignment="1">
      <alignment horizontal="center"/>
    </xf>
    <xf numFmtId="182" fontId="17" fillId="6" borderId="0" xfId="3" applyNumberFormat="1" applyFont="1" applyFill="1" applyAlignment="1">
      <alignment horizontal="center"/>
    </xf>
    <xf numFmtId="0" fontId="19" fillId="7" borderId="0" xfId="0" applyFont="1" applyFill="1"/>
    <xf numFmtId="0" fontId="19" fillId="7" borderId="0" xfId="0" applyFont="1" applyFill="1" applyAlignment="1">
      <alignment horizontal="center"/>
    </xf>
    <xf numFmtId="0" fontId="17" fillId="0" borderId="11" xfId="0" applyFont="1" applyBorder="1"/>
    <xf numFmtId="176" fontId="17" fillId="0" borderId="11" xfId="0" applyNumberFormat="1" applyFont="1" applyBorder="1" applyAlignment="1">
      <alignment horizontal="center"/>
    </xf>
    <xf numFmtId="0" fontId="18" fillId="0" borderId="5" xfId="0" applyFont="1" applyBorder="1"/>
    <xf numFmtId="0" fontId="16" fillId="0" borderId="3" xfId="0" applyFont="1" applyBorder="1"/>
    <xf numFmtId="0" fontId="16" fillId="0" borderId="0" xfId="0" applyFont="1" applyBorder="1" applyAlignment="1">
      <alignment horizontal="center"/>
    </xf>
    <xf numFmtId="177" fontId="24" fillId="7" borderId="0" xfId="3" applyNumberFormat="1" applyFont="1" applyFill="1" applyBorder="1" applyAlignment="1">
      <alignment horizontal="center" vertical="center" wrapText="1"/>
    </xf>
    <xf numFmtId="0" fontId="24" fillId="7" borderId="0" xfId="3" applyFont="1" applyFill="1" applyBorder="1" applyAlignment="1">
      <alignment horizontal="center" vertical="center" wrapText="1"/>
    </xf>
    <xf numFmtId="0" fontId="18" fillId="0" borderId="9" xfId="0" applyFont="1" applyBorder="1"/>
    <xf numFmtId="0" fontId="18" fillId="0" borderId="4" xfId="0" applyFont="1" applyBorder="1"/>
    <xf numFmtId="0" fontId="18" fillId="0" borderId="10" xfId="0" applyFont="1" applyBorder="1"/>
    <xf numFmtId="0" fontId="16" fillId="0" borderId="4" xfId="0" applyFont="1" applyBorder="1"/>
    <xf numFmtId="0" fontId="16" fillId="0" borderId="0" xfId="0" applyFont="1" applyBorder="1" applyAlignment="1">
      <alignment horizontal="left"/>
    </xf>
    <xf numFmtId="1" fontId="23" fillId="0" borderId="11" xfId="0" applyNumberFormat="1" applyFont="1" applyBorder="1" applyAlignment="1">
      <alignment horizontal="center"/>
    </xf>
    <xf numFmtId="1" fontId="16" fillId="0" borderId="0" xfId="0" applyNumberFormat="1" applyFont="1" applyBorder="1" applyAlignment="1">
      <alignment horizontal="center"/>
    </xf>
    <xf numFmtId="0" fontId="35" fillId="0" borderId="0" xfId="0" applyFont="1"/>
    <xf numFmtId="0" fontId="44" fillId="0" borderId="0" xfId="0" applyFont="1" applyAlignment="1">
      <alignment horizontal="center"/>
    </xf>
    <xf numFmtId="165" fontId="16" fillId="0" borderId="0" xfId="0" applyNumberFormat="1" applyFont="1" applyBorder="1"/>
    <xf numFmtId="170" fontId="17" fillId="0" borderId="0" xfId="0" applyNumberFormat="1" applyFont="1" applyAlignment="1">
      <alignment horizontal="center"/>
    </xf>
    <xf numFmtId="186" fontId="16" fillId="0" borderId="0" xfId="0" applyNumberFormat="1" applyFont="1" applyBorder="1"/>
    <xf numFmtId="170" fontId="16" fillId="0" borderId="0" xfId="0" applyNumberFormat="1" applyFont="1" applyBorder="1"/>
    <xf numFmtId="169" fontId="16" fillId="0" borderId="0" xfId="0" applyNumberFormat="1" applyFont="1" applyBorder="1"/>
    <xf numFmtId="185" fontId="39" fillId="9" borderId="11" xfId="0" applyNumberFormat="1" applyFont="1" applyFill="1" applyBorder="1" applyAlignment="1">
      <alignment horizontal="center" vertical="center"/>
    </xf>
    <xf numFmtId="177" fontId="24" fillId="0" borderId="0" xfId="3" applyNumberFormat="1" applyFont="1" applyFill="1" applyAlignment="1">
      <alignment horizontal="center" vertical="center" wrapText="1"/>
    </xf>
    <xf numFmtId="165" fontId="14" fillId="10" borderId="11" xfId="0" applyNumberFormat="1" applyFont="1" applyFill="1" applyBorder="1" applyAlignment="1">
      <alignment horizontal="left" vertical="center"/>
    </xf>
    <xf numFmtId="165" fontId="13" fillId="10" borderId="11" xfId="0" applyNumberFormat="1" applyFont="1" applyFill="1" applyBorder="1" applyAlignment="1">
      <alignment horizontal="center" vertical="center"/>
    </xf>
    <xf numFmtId="176" fontId="14" fillId="10" borderId="11" xfId="0" applyNumberFormat="1" applyFont="1" applyFill="1" applyBorder="1" applyAlignment="1">
      <alignment horizontal="center" vertical="center"/>
    </xf>
    <xf numFmtId="0" fontId="24" fillId="7" borderId="0" xfId="3" applyFont="1" applyFill="1" applyBorder="1" applyAlignment="1">
      <alignment horizontal="left" vertical="center"/>
    </xf>
    <xf numFmtId="0" fontId="24" fillId="7" borderId="0" xfId="3" applyFont="1" applyFill="1" applyBorder="1" applyAlignment="1">
      <alignment horizontal="center" vertical="center"/>
    </xf>
    <xf numFmtId="0" fontId="18" fillId="10" borderId="0" xfId="0" applyFont="1" applyFill="1" applyBorder="1" applyAlignment="1">
      <alignment horizontal="left"/>
    </xf>
    <xf numFmtId="0" fontId="16" fillId="10" borderId="0" xfId="0" applyFont="1" applyFill="1" applyBorder="1"/>
    <xf numFmtId="0" fontId="18" fillId="0" borderId="7" xfId="0" applyFont="1" applyBorder="1"/>
    <xf numFmtId="0" fontId="18" fillId="0" borderId="8" xfId="0" applyFont="1" applyBorder="1"/>
    <xf numFmtId="0" fontId="45" fillId="19" borderId="0" xfId="0" applyFont="1" applyFill="1" applyAlignment="1">
      <alignment horizontal="left"/>
    </xf>
    <xf numFmtId="0" fontId="16" fillId="19" borderId="0" xfId="0" applyFont="1" applyFill="1"/>
    <xf numFmtId="0" fontId="16" fillId="0" borderId="0" xfId="0" applyFont="1" applyFill="1" applyAlignment="1">
      <alignment horizontal="center"/>
    </xf>
    <xf numFmtId="169" fontId="16" fillId="0" borderId="0" xfId="0" applyNumberFormat="1" applyFont="1" applyFill="1" applyAlignment="1">
      <alignment horizontal="center"/>
    </xf>
    <xf numFmtId="0" fontId="18" fillId="0" borderId="0" xfId="0" applyFont="1" applyFill="1" applyAlignment="1">
      <alignment horizontal="left" vertical="center"/>
    </xf>
    <xf numFmtId="0" fontId="16" fillId="0" borderId="0" xfId="0" applyFont="1" applyFill="1" applyAlignment="1">
      <alignment horizontal="center" vertical="center"/>
    </xf>
    <xf numFmtId="169" fontId="16" fillId="0" borderId="3" xfId="0" applyNumberFormat="1" applyFont="1" applyBorder="1" applyAlignment="1">
      <alignment horizontal="center"/>
    </xf>
    <xf numFmtId="0" fontId="16" fillId="0" borderId="0" xfId="0" applyFont="1" applyFill="1" applyBorder="1"/>
    <xf numFmtId="0" fontId="16" fillId="19" borderId="0" xfId="0" applyFont="1" applyFill="1" applyAlignment="1">
      <alignment horizontal="center"/>
    </xf>
    <xf numFmtId="0" fontId="17" fillId="20" borderId="0" xfId="0" applyFont="1" applyFill="1"/>
    <xf numFmtId="1" fontId="46" fillId="0" borderId="0" xfId="0" applyNumberFormat="1" applyFont="1" applyFill="1" applyAlignment="1">
      <alignment horizontal="center"/>
    </xf>
    <xf numFmtId="1" fontId="47" fillId="0" borderId="0" xfId="0" applyNumberFormat="1" applyFont="1" applyAlignment="1">
      <alignment horizontal="center"/>
    </xf>
    <xf numFmtId="1" fontId="48" fillId="0" borderId="0" xfId="0" applyNumberFormat="1" applyFont="1" applyAlignment="1">
      <alignment horizontal="center"/>
    </xf>
    <xf numFmtId="1" fontId="48" fillId="0" borderId="0" xfId="3" applyNumberFormat="1" applyFont="1" applyFill="1" applyAlignment="1">
      <alignment horizontal="center" vertical="center" wrapText="1"/>
    </xf>
    <xf numFmtId="1" fontId="48" fillId="0" borderId="2" xfId="0" applyNumberFormat="1" applyFont="1" applyFill="1" applyBorder="1" applyAlignment="1">
      <alignment horizontal="center" vertical="center"/>
    </xf>
    <xf numFmtId="0" fontId="35" fillId="0" borderId="0" xfId="0" applyFont="1" applyAlignment="1">
      <alignment horizontal="left"/>
    </xf>
    <xf numFmtId="49" fontId="21" fillId="13" borderId="2" xfId="1" applyNumberFormat="1" applyFont="1" applyFill="1" applyBorder="1" applyAlignment="1">
      <alignment horizontal="center" vertical="center"/>
    </xf>
    <xf numFmtId="49" fontId="49" fillId="3" borderId="1" xfId="1" applyNumberFormat="1" applyFont="1" applyFill="1" applyBorder="1" applyAlignment="1">
      <alignment horizontal="center" vertical="center"/>
    </xf>
    <xf numFmtId="170" fontId="50" fillId="0" borderId="0" xfId="1" applyNumberFormat="1" applyFont="1" applyFill="1" applyBorder="1" applyAlignment="1">
      <alignment horizontal="center" vertical="center"/>
    </xf>
    <xf numFmtId="170" fontId="21" fillId="0" borderId="2" xfId="1" applyNumberFormat="1" applyFont="1" applyFill="1" applyBorder="1" applyAlignment="1">
      <alignment horizontal="center" vertical="center"/>
    </xf>
    <xf numFmtId="170" fontId="49" fillId="3" borderId="1" xfId="1" applyNumberFormat="1" applyFont="1" applyFill="1" applyBorder="1" applyAlignment="1">
      <alignment horizontal="center" vertical="center"/>
    </xf>
    <xf numFmtId="170" fontId="49" fillId="0" borderId="2" xfId="1" applyNumberFormat="1" applyFont="1" applyFill="1" applyBorder="1" applyAlignment="1">
      <alignment horizontal="center" vertical="center"/>
    </xf>
    <xf numFmtId="170" fontId="13" fillId="0" borderId="30" xfId="1" applyNumberFormat="1" applyFont="1" applyFill="1" applyBorder="1" applyAlignment="1">
      <alignment horizontal="center" vertical="center"/>
    </xf>
    <xf numFmtId="175" fontId="13" fillId="0" borderId="31" xfId="0" applyNumberFormat="1" applyFont="1" applyFill="1" applyBorder="1" applyAlignment="1">
      <alignment horizontal="center" vertical="center"/>
    </xf>
    <xf numFmtId="0" fontId="16" fillId="16" borderId="31" xfId="0" applyFont="1" applyFill="1" applyBorder="1"/>
    <xf numFmtId="175" fontId="13" fillId="17" borderId="31" xfId="0" applyNumberFormat="1" applyFont="1" applyFill="1" applyBorder="1" applyAlignment="1">
      <alignment horizontal="center" vertical="center"/>
    </xf>
    <xf numFmtId="175" fontId="13" fillId="10" borderId="31" xfId="0" applyNumberFormat="1" applyFont="1" applyFill="1" applyBorder="1" applyAlignment="1">
      <alignment horizontal="center" vertical="center"/>
    </xf>
    <xf numFmtId="175" fontId="13" fillId="16" borderId="31" xfId="0" applyNumberFormat="1" applyFont="1" applyFill="1" applyBorder="1" applyAlignment="1">
      <alignment horizontal="center" vertical="center"/>
    </xf>
    <xf numFmtId="175" fontId="13" fillId="21" borderId="31" xfId="0" applyNumberFormat="1" applyFont="1" applyFill="1" applyBorder="1" applyAlignment="1">
      <alignment horizontal="center" vertical="center"/>
    </xf>
    <xf numFmtId="0" fontId="16" fillId="0" borderId="31" xfId="0" applyFont="1" applyFill="1" applyBorder="1"/>
    <xf numFmtId="0" fontId="16" fillId="22" borderId="31" xfId="0" applyFont="1" applyFill="1" applyBorder="1"/>
    <xf numFmtId="15" fontId="25" fillId="19" borderId="0" xfId="0" applyNumberFormat="1" applyFont="1" applyFill="1" applyBorder="1"/>
    <xf numFmtId="0" fontId="23" fillId="0" borderId="0" xfId="0" applyFont="1" applyAlignment="1">
      <alignment vertical="center"/>
    </xf>
    <xf numFmtId="1" fontId="17" fillId="6" borderId="0" xfId="3" applyNumberFormat="1" applyFont="1" applyFill="1" applyAlignment="1">
      <alignment horizontal="center"/>
    </xf>
    <xf numFmtId="1" fontId="17" fillId="11" borderId="0" xfId="3" applyNumberFormat="1" applyFont="1" applyFill="1" applyAlignment="1">
      <alignment horizontal="center"/>
    </xf>
    <xf numFmtId="1" fontId="17" fillId="15" borderId="0" xfId="3" applyNumberFormat="1" applyFont="1" applyFill="1" applyAlignment="1">
      <alignment horizontal="center"/>
    </xf>
    <xf numFmtId="1" fontId="17" fillId="5" borderId="0" xfId="3" applyNumberFormat="1" applyFont="1" applyFill="1" applyAlignment="1">
      <alignment horizontal="center"/>
    </xf>
    <xf numFmtId="3" fontId="37" fillId="0" borderId="0" xfId="0" applyNumberFormat="1" applyFont="1" applyFill="1" applyBorder="1" applyAlignment="1">
      <alignment horizontal="center" vertical="center"/>
    </xf>
    <xf numFmtId="170" fontId="16" fillId="0" borderId="0" xfId="0" applyNumberFormat="1" applyFont="1" applyBorder="1" applyAlignment="1">
      <alignment horizontal="center"/>
    </xf>
    <xf numFmtId="8" fontId="23" fillId="0" borderId="0" xfId="0" applyNumberFormat="1" applyFont="1"/>
    <xf numFmtId="187" fontId="23" fillId="15" borderId="0" xfId="3" applyNumberFormat="1" applyFont="1" applyFill="1" applyAlignment="1">
      <alignment horizontal="center"/>
    </xf>
    <xf numFmtId="0" fontId="22" fillId="7" borderId="0" xfId="0" applyFont="1" applyFill="1" applyAlignment="1">
      <alignment vertical="center" wrapText="1"/>
    </xf>
    <xf numFmtId="0" fontId="22" fillId="7" borderId="0" xfId="0" applyFont="1" applyFill="1" applyAlignment="1">
      <alignment horizontal="center" vertical="center" wrapText="1"/>
    </xf>
    <xf numFmtId="0" fontId="23" fillId="0" borderId="0" xfId="0" applyFont="1" applyAlignment="1">
      <alignment horizontal="left"/>
    </xf>
    <xf numFmtId="187" fontId="23" fillId="0" borderId="0" xfId="0" applyNumberFormat="1" applyFont="1"/>
    <xf numFmtId="0" fontId="16" fillId="6" borderId="0" xfId="0" applyFont="1" applyFill="1"/>
    <xf numFmtId="0" fontId="18" fillId="6" borderId="0" xfId="0" applyFont="1" applyFill="1"/>
    <xf numFmtId="165" fontId="14" fillId="3" borderId="0" xfId="0" applyNumberFormat="1" applyFont="1" applyFill="1" applyBorder="1" applyAlignment="1">
      <alignment horizontal="center" vertical="center"/>
    </xf>
    <xf numFmtId="170" fontId="33" fillId="3" borderId="0" xfId="1" applyNumberFormat="1" applyFont="1" applyFill="1" applyBorder="1" applyAlignment="1">
      <alignment horizontal="center" vertical="center"/>
    </xf>
    <xf numFmtId="176" fontId="14" fillId="3" borderId="0" xfId="0" applyNumberFormat="1" applyFont="1" applyFill="1" applyBorder="1" applyAlignment="1">
      <alignment horizontal="center" vertical="center"/>
    </xf>
    <xf numFmtId="175" fontId="14" fillId="3" borderId="0" xfId="0" applyNumberFormat="1" applyFont="1" applyFill="1" applyBorder="1" applyAlignment="1">
      <alignment horizontal="center" vertical="center"/>
    </xf>
    <xf numFmtId="170" fontId="14" fillId="3" borderId="0" xfId="1" applyNumberFormat="1" applyFont="1" applyFill="1" applyBorder="1" applyAlignment="1">
      <alignment horizontal="center" vertical="center"/>
    </xf>
    <xf numFmtId="165" fontId="14" fillId="0" borderId="0" xfId="0" applyNumberFormat="1" applyFont="1" applyFill="1" applyBorder="1" applyAlignment="1">
      <alignment horizontal="center" vertical="center"/>
    </xf>
    <xf numFmtId="176" fontId="14" fillId="0" borderId="0" xfId="0" applyNumberFormat="1" applyFont="1" applyFill="1" applyBorder="1" applyAlignment="1">
      <alignment horizontal="center" vertical="center"/>
    </xf>
    <xf numFmtId="175" fontId="14" fillId="0" borderId="0" xfId="0" applyNumberFormat="1" applyFont="1" applyFill="1" applyBorder="1" applyAlignment="1">
      <alignment horizontal="center" vertical="center"/>
    </xf>
    <xf numFmtId="165" fontId="14" fillId="3" borderId="0" xfId="0" applyNumberFormat="1" applyFont="1" applyFill="1" applyBorder="1" applyAlignment="1">
      <alignment horizontal="left" vertical="center"/>
    </xf>
    <xf numFmtId="0" fontId="18" fillId="19" borderId="0" xfId="0" applyFont="1" applyFill="1"/>
    <xf numFmtId="15" fontId="18" fillId="19" borderId="29" xfId="0" applyNumberFormat="1" applyFont="1" applyFill="1" applyBorder="1"/>
    <xf numFmtId="0" fontId="13" fillId="0" borderId="7" xfId="0" applyFont="1" applyFill="1" applyBorder="1"/>
    <xf numFmtId="0" fontId="13" fillId="0" borderId="8" xfId="0" applyFont="1" applyFill="1" applyBorder="1"/>
    <xf numFmtId="0" fontId="13" fillId="0" borderId="0" xfId="0" applyFont="1" applyFill="1"/>
    <xf numFmtId="0" fontId="18" fillId="10" borderId="0" xfId="0" applyFont="1" applyFill="1"/>
    <xf numFmtId="0" fontId="16" fillId="0" borderId="0" xfId="0" applyFont="1" applyFill="1" applyAlignment="1">
      <alignment horizontal="left"/>
    </xf>
    <xf numFmtId="178" fontId="16" fillId="0" borderId="0" xfId="0" applyNumberFormat="1" applyFont="1" applyAlignment="1">
      <alignment horizontal="center"/>
    </xf>
    <xf numFmtId="0" fontId="18" fillId="0" borderId="0" xfId="0" applyFont="1" applyFill="1" applyAlignment="1">
      <alignment horizontal="left"/>
    </xf>
    <xf numFmtId="14" fontId="17" fillId="15" borderId="0" xfId="3" applyNumberFormat="1" applyFont="1" applyFill="1"/>
    <xf numFmtId="170" fontId="40" fillId="9" borderId="11" xfId="0" applyNumberFormat="1" applyFont="1" applyFill="1" applyBorder="1" applyAlignment="1">
      <alignment horizontal="center" vertical="center"/>
    </xf>
    <xf numFmtId="170" fontId="18" fillId="0" borderId="0" xfId="0" applyNumberFormat="1" applyFont="1" applyBorder="1"/>
    <xf numFmtId="170" fontId="18" fillId="0" borderId="4" xfId="0" applyNumberFormat="1" applyFont="1" applyBorder="1"/>
    <xf numFmtId="170" fontId="18" fillId="0" borderId="0" xfId="0" applyNumberFormat="1" applyFont="1"/>
    <xf numFmtId="170" fontId="18" fillId="0" borderId="3" xfId="0" applyNumberFormat="1" applyFont="1" applyBorder="1"/>
    <xf numFmtId="170" fontId="24" fillId="7" borderId="0" xfId="3" applyNumberFormat="1" applyFont="1" applyFill="1" applyBorder="1" applyAlignment="1">
      <alignment horizontal="center" vertical="center" wrapText="1"/>
    </xf>
    <xf numFmtId="170" fontId="16" fillId="0" borderId="0" xfId="0" applyNumberFormat="1" applyFont="1"/>
    <xf numFmtId="170" fontId="16" fillId="0" borderId="4" xfId="0" applyNumberFormat="1" applyFont="1" applyBorder="1"/>
    <xf numFmtId="0" fontId="43" fillId="0" borderId="0" xfId="0" applyFont="1" applyBorder="1" applyAlignment="1">
      <alignment horizontal="center"/>
    </xf>
    <xf numFmtId="170" fontId="39" fillId="0" borderId="11" xfId="0" applyNumberFormat="1" applyFont="1" applyFill="1" applyBorder="1" applyAlignment="1">
      <alignment horizontal="center" vertical="center"/>
    </xf>
    <xf numFmtId="0" fontId="51" fillId="0" borderId="4" xfId="0" applyFont="1" applyBorder="1"/>
    <xf numFmtId="0" fontId="52" fillId="0" borderId="0" xfId="0" applyFont="1"/>
    <xf numFmtId="4" fontId="52" fillId="0" borderId="0" xfId="0" applyNumberFormat="1" applyFont="1"/>
    <xf numFmtId="165" fontId="14" fillId="0" borderId="2" xfId="0" applyNumberFormat="1" applyFont="1" applyFill="1" applyBorder="1" applyAlignment="1">
      <alignment horizontal="center" vertical="center"/>
    </xf>
    <xf numFmtId="0" fontId="53" fillId="0" borderId="29" xfId="0" applyFont="1" applyBorder="1" applyAlignment="1">
      <alignment vertical="center"/>
    </xf>
    <xf numFmtId="0" fontId="53" fillId="0" borderId="32" xfId="0" applyFont="1" applyBorder="1" applyAlignment="1">
      <alignment vertical="center" wrapText="1"/>
    </xf>
    <xf numFmtId="0" fontId="55" fillId="0" borderId="8" xfId="0" applyFont="1" applyBorder="1" applyAlignment="1">
      <alignment horizontal="left" vertical="center" wrapText="1"/>
    </xf>
    <xf numFmtId="0" fontId="0" fillId="0" borderId="10" xfId="0" applyBorder="1" applyAlignment="1">
      <alignment vertical="top" wrapText="1"/>
    </xf>
    <xf numFmtId="165" fontId="56" fillId="0" borderId="2" xfId="0" applyNumberFormat="1" applyFont="1" applyFill="1" applyBorder="1" applyAlignment="1">
      <alignment horizontal="center" vertical="center"/>
    </xf>
    <xf numFmtId="165" fontId="57" fillId="18" borderId="1" xfId="0" applyNumberFormat="1" applyFont="1" applyFill="1" applyBorder="1" applyAlignment="1">
      <alignment horizontal="center" vertical="center"/>
    </xf>
    <xf numFmtId="165" fontId="57" fillId="0" borderId="0" xfId="0" applyNumberFormat="1" applyFont="1" applyFill="1" applyBorder="1" applyAlignment="1">
      <alignment horizontal="center" vertical="center"/>
    </xf>
    <xf numFmtId="177" fontId="23" fillId="15" borderId="0" xfId="3" applyNumberFormat="1" applyFont="1" applyFill="1" applyAlignment="1">
      <alignment horizontal="center"/>
    </xf>
    <xf numFmtId="177" fontId="23" fillId="5" borderId="0" xfId="3" applyNumberFormat="1" applyFont="1" applyFill="1" applyAlignment="1">
      <alignment horizontal="center"/>
    </xf>
    <xf numFmtId="4" fontId="14" fillId="0" borderId="0" xfId="0" applyNumberFormat="1" applyFont="1" applyFill="1" applyBorder="1" applyAlignment="1">
      <alignment horizontal="center" vertical="center"/>
    </xf>
    <xf numFmtId="0" fontId="18" fillId="16" borderId="0" xfId="0" applyFont="1" applyFill="1"/>
    <xf numFmtId="15" fontId="18" fillId="16" borderId="0" xfId="0" applyNumberFormat="1" applyFont="1" applyFill="1" applyAlignment="1">
      <alignment horizontal="center"/>
    </xf>
    <xf numFmtId="0" fontId="18" fillId="16" borderId="0" xfId="0" applyFont="1" applyFill="1" applyAlignment="1">
      <alignment horizontal="center"/>
    </xf>
    <xf numFmtId="0" fontId="18" fillId="16" borderId="0" xfId="0" applyFont="1" applyFill="1" applyAlignment="1">
      <alignment horizontal="left" indent="1"/>
    </xf>
    <xf numFmtId="0" fontId="2" fillId="2" borderId="0" xfId="0" applyFont="1" applyFill="1" applyBorder="1" applyAlignment="1">
      <alignment horizontal="left" vertical="center" wrapText="1" indent="1"/>
    </xf>
    <xf numFmtId="165" fontId="14" fillId="10" borderId="0" xfId="0" applyNumberFormat="1" applyFont="1" applyFill="1" applyBorder="1" applyAlignment="1">
      <alignment horizontal="center" vertical="center"/>
    </xf>
    <xf numFmtId="165" fontId="14" fillId="10" borderId="0" xfId="0" applyNumberFormat="1" applyFont="1" applyFill="1" applyBorder="1" applyAlignment="1">
      <alignment horizontal="left" vertical="center" indent="1"/>
    </xf>
    <xf numFmtId="165" fontId="49" fillId="1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xf>
    <xf numFmtId="165" fontId="15" fillId="0" borderId="0" xfId="0" applyNumberFormat="1" applyFont="1" applyFill="1" applyBorder="1" applyAlignment="1">
      <alignment horizontal="center" vertical="center"/>
    </xf>
    <xf numFmtId="4" fontId="15" fillId="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indent="1"/>
    </xf>
    <xf numFmtId="165" fontId="13" fillId="0" borderId="0" xfId="0" applyNumberFormat="1" applyFont="1" applyFill="1" applyBorder="1" applyAlignment="1">
      <alignment horizontal="left" vertical="center" indent="1"/>
    </xf>
    <xf numFmtId="165" fontId="14" fillId="14" borderId="0" xfId="0" applyNumberFormat="1" applyFont="1" applyFill="1" applyBorder="1" applyAlignment="1">
      <alignment horizontal="center" vertical="center"/>
    </xf>
    <xf numFmtId="165" fontId="14" fillId="3" borderId="1" xfId="0" applyNumberFormat="1" applyFont="1" applyFill="1" applyBorder="1" applyAlignment="1">
      <alignment horizontal="left" vertical="center" indent="1"/>
    </xf>
    <xf numFmtId="165" fontId="14" fillId="0" borderId="0" xfId="0" applyNumberFormat="1" applyFont="1" applyFill="1" applyBorder="1" applyAlignment="1">
      <alignment horizontal="left" vertical="center" indent="1"/>
    </xf>
    <xf numFmtId="0" fontId="16" fillId="0" borderId="0" xfId="0" applyFont="1" applyAlignment="1">
      <alignment horizontal="left" indent="1"/>
    </xf>
    <xf numFmtId="0" fontId="58" fillId="0" borderId="0" xfId="0" applyFont="1"/>
    <xf numFmtId="0" fontId="53" fillId="0" borderId="37" xfId="0" applyFont="1" applyBorder="1" applyAlignment="1">
      <alignment vertical="center" wrapText="1"/>
    </xf>
    <xf numFmtId="0" fontId="53" fillId="0" borderId="36" xfId="0" applyFont="1" applyFill="1" applyBorder="1" applyAlignment="1">
      <alignment vertical="center"/>
    </xf>
    <xf numFmtId="0" fontId="55" fillId="0" borderId="0" xfId="0" applyFont="1" applyBorder="1" applyAlignment="1">
      <alignment horizontal="left" vertical="center" wrapText="1"/>
    </xf>
    <xf numFmtId="0" fontId="55" fillId="0" borderId="36" xfId="0" applyFont="1" applyFill="1" applyBorder="1" applyAlignment="1">
      <alignment horizontal="center" vertical="center"/>
    </xf>
    <xf numFmtId="0" fontId="55" fillId="23" borderId="8" xfId="0" applyFont="1" applyFill="1" applyBorder="1" applyAlignment="1">
      <alignment horizontal="left" vertical="center" wrapText="1"/>
    </xf>
    <xf numFmtId="0" fontId="55" fillId="0" borderId="10" xfId="0" applyFont="1" applyBorder="1" applyAlignment="1">
      <alignment horizontal="left" vertical="center" wrapText="1"/>
    </xf>
    <xf numFmtId="0" fontId="0" fillId="0" borderId="4" xfId="0" applyBorder="1" applyAlignment="1">
      <alignment vertical="top" wrapText="1"/>
    </xf>
    <xf numFmtId="0" fontId="0" fillId="0" borderId="36" xfId="0" applyBorder="1"/>
    <xf numFmtId="0" fontId="0" fillId="0" borderId="8" xfId="0" applyBorder="1" applyAlignment="1">
      <alignment vertical="top" wrapText="1"/>
    </xf>
    <xf numFmtId="0" fontId="55" fillId="0" borderId="8" xfId="0" applyFont="1" applyBorder="1" applyAlignment="1">
      <alignment vertical="center" wrapText="1"/>
    </xf>
    <xf numFmtId="0" fontId="55" fillId="0" borderId="4" xfId="0" applyFont="1" applyBorder="1" applyAlignment="1">
      <alignment vertical="center" wrapText="1"/>
    </xf>
    <xf numFmtId="0" fontId="0" fillId="0" borderId="36" xfId="0" applyBorder="1" applyAlignment="1">
      <alignment horizontal="center" vertical="top"/>
    </xf>
    <xf numFmtId="0" fontId="18" fillId="0" borderId="0" xfId="0" applyFont="1" applyBorder="1" applyAlignment="1">
      <alignment horizontal="left"/>
    </xf>
    <xf numFmtId="0" fontId="18" fillId="5" borderId="36" xfId="0" applyFont="1" applyFill="1" applyBorder="1" applyAlignment="1">
      <alignment horizontal="center" vertical="center" wrapText="1"/>
    </xf>
    <xf numFmtId="0" fontId="18" fillId="5" borderId="36" xfId="0" applyFont="1" applyFill="1" applyBorder="1" applyAlignment="1">
      <alignment horizontal="center" vertical="top"/>
    </xf>
    <xf numFmtId="0" fontId="18" fillId="5" borderId="36" xfId="0" applyFont="1" applyFill="1" applyBorder="1" applyAlignment="1">
      <alignment horizontal="center" wrapText="1"/>
    </xf>
    <xf numFmtId="15" fontId="18" fillId="5" borderId="39" xfId="0" applyNumberFormat="1" applyFont="1" applyFill="1" applyBorder="1" applyAlignment="1">
      <alignment horizontal="center" vertical="top"/>
    </xf>
    <xf numFmtId="164" fontId="62" fillId="0" borderId="2" xfId="2" applyNumberFormat="1" applyFont="1" applyFill="1" applyBorder="1" applyAlignment="1">
      <alignment horizontal="center" vertical="center"/>
    </xf>
    <xf numFmtId="189" fontId="60" fillId="0" borderId="0" xfId="0" applyNumberFormat="1" applyFont="1" applyFill="1" applyBorder="1" applyAlignment="1">
      <alignment horizontal="center" vertical="center"/>
    </xf>
    <xf numFmtId="189" fontId="60" fillId="0" borderId="2" xfId="0" applyNumberFormat="1" applyFont="1" applyFill="1" applyBorder="1" applyAlignment="1">
      <alignment horizontal="center" vertical="center"/>
    </xf>
    <xf numFmtId="189" fontId="60" fillId="18" borderId="1" xfId="0" applyNumberFormat="1" applyFont="1" applyFill="1" applyBorder="1" applyAlignment="1">
      <alignment horizontal="center" vertical="center"/>
    </xf>
    <xf numFmtId="189" fontId="60" fillId="3" borderId="0" xfId="0" applyNumberFormat="1" applyFont="1" applyFill="1" applyBorder="1" applyAlignment="1">
      <alignment horizontal="center" vertical="center"/>
    </xf>
    <xf numFmtId="0" fontId="60" fillId="0" borderId="0" xfId="0" applyFont="1" applyAlignment="1">
      <alignment horizontal="center"/>
    </xf>
    <xf numFmtId="0" fontId="61" fillId="2" borderId="3" xfId="0" applyFont="1" applyFill="1" applyBorder="1" applyAlignment="1">
      <alignment horizontal="centerContinuous" vertical="center"/>
    </xf>
    <xf numFmtId="0" fontId="60" fillId="0" borderId="0" xfId="0" applyFont="1" applyAlignment="1">
      <alignment horizontal="center" vertical="center"/>
    </xf>
    <xf numFmtId="0" fontId="18" fillId="0" borderId="0" xfId="0" applyFont="1" applyAlignment="1">
      <alignment horizontal="left" vertical="center"/>
    </xf>
    <xf numFmtId="188" fontId="18" fillId="5" borderId="38" xfId="0" applyNumberFormat="1" applyFont="1" applyFill="1" applyBorder="1" applyAlignment="1">
      <alignment horizontal="center" vertical="center" wrapText="1"/>
    </xf>
    <xf numFmtId="165" fontId="60" fillId="11" borderId="0" xfId="0" applyNumberFormat="1" applyFont="1" applyFill="1" applyBorder="1" applyAlignment="1">
      <alignment horizontal="center" vertical="center"/>
    </xf>
    <xf numFmtId="0" fontId="18" fillId="0" borderId="0" xfId="0" applyFont="1" applyFill="1" applyAlignment="1">
      <alignment vertical="center"/>
    </xf>
    <xf numFmtId="0" fontId="18" fillId="24" borderId="0" xfId="0" applyFont="1" applyFill="1" applyAlignment="1">
      <alignment vertical="center"/>
    </xf>
    <xf numFmtId="0" fontId="18" fillId="24" borderId="0" xfId="0" applyFont="1" applyFill="1" applyAlignment="1">
      <alignment horizontal="left" vertical="center"/>
    </xf>
    <xf numFmtId="0" fontId="60" fillId="24" borderId="0" xfId="0" applyFont="1" applyFill="1" applyAlignment="1">
      <alignment horizontal="center" vertical="center"/>
    </xf>
    <xf numFmtId="165" fontId="60" fillId="0" borderId="0" xfId="0" applyNumberFormat="1" applyFont="1" applyFill="1" applyBorder="1" applyAlignment="1">
      <alignment horizontal="left" vertical="center"/>
    </xf>
    <xf numFmtId="170" fontId="31" fillId="0" borderId="0" xfId="1" applyNumberFormat="1" applyFont="1" applyFill="1" applyBorder="1" applyAlignment="1">
      <alignment horizontal="center" vertical="center"/>
    </xf>
    <xf numFmtId="190" fontId="23" fillId="6" borderId="0" xfId="3" applyNumberFormat="1" applyFont="1" applyFill="1" applyAlignment="1">
      <alignment horizontal="center"/>
    </xf>
    <xf numFmtId="190" fontId="23" fillId="5" borderId="0" xfId="4" applyNumberFormat="1" applyFont="1" applyFill="1" applyAlignment="1">
      <alignment horizontal="center"/>
    </xf>
    <xf numFmtId="191" fontId="23" fillId="6" borderId="0" xfId="3" applyNumberFormat="1" applyFont="1" applyFill="1" applyAlignment="1">
      <alignment horizontal="center"/>
    </xf>
    <xf numFmtId="170" fontId="23" fillId="0" borderId="0" xfId="0" applyNumberFormat="1" applyFont="1"/>
    <xf numFmtId="177" fontId="17" fillId="5" borderId="0" xfId="3" applyNumberFormat="1" applyFont="1" applyFill="1" applyAlignment="1">
      <alignment horizontal="center"/>
    </xf>
    <xf numFmtId="177" fontId="17" fillId="15" borderId="0" xfId="3" applyNumberFormat="1" applyFont="1" applyFill="1" applyAlignment="1">
      <alignment horizontal="center"/>
    </xf>
    <xf numFmtId="177" fontId="17" fillId="0" borderId="0" xfId="0" applyNumberFormat="1" applyFont="1"/>
    <xf numFmtId="0" fontId="64" fillId="0" borderId="9" xfId="0" applyFont="1" applyBorder="1"/>
    <xf numFmtId="0" fontId="65" fillId="0" borderId="4" xfId="0" applyFont="1" applyBorder="1" applyAlignment="1">
      <alignment horizontal="left"/>
    </xf>
    <xf numFmtId="0" fontId="64" fillId="0" borderId="4" xfId="0" applyFont="1" applyBorder="1" applyAlignment="1">
      <alignment horizontal="center"/>
    </xf>
    <xf numFmtId="170" fontId="64" fillId="0" borderId="4" xfId="0" applyNumberFormat="1" applyFont="1" applyBorder="1" applyAlignment="1">
      <alignment horizontal="center"/>
    </xf>
    <xf numFmtId="4" fontId="64" fillId="0" borderId="4" xfId="0" applyNumberFormat="1" applyFont="1" applyBorder="1" applyAlignment="1">
      <alignment horizontal="center"/>
    </xf>
    <xf numFmtId="169" fontId="64" fillId="0" borderId="4" xfId="0" applyNumberFormat="1" applyFont="1" applyBorder="1" applyAlignment="1">
      <alignment horizontal="center"/>
    </xf>
    <xf numFmtId="0" fontId="64" fillId="0" borderId="10" xfId="0" applyFont="1" applyBorder="1"/>
    <xf numFmtId="0" fontId="64" fillId="0" borderId="0" xfId="0" applyFont="1"/>
    <xf numFmtId="0" fontId="58" fillId="0" borderId="0" xfId="0" applyFont="1" applyAlignment="1">
      <alignment horizontal="left"/>
    </xf>
    <xf numFmtId="0" fontId="19" fillId="12" borderId="0" xfId="3" applyFont="1" applyFill="1" applyAlignment="1">
      <alignment vertical="center" wrapText="1"/>
    </xf>
    <xf numFmtId="177" fontId="19" fillId="12" borderId="0" xfId="3" applyNumberFormat="1" applyFont="1" applyFill="1" applyAlignment="1">
      <alignment horizontal="center" vertical="center" wrapText="1"/>
    </xf>
    <xf numFmtId="0" fontId="19" fillId="12" borderId="0" xfId="3" applyFont="1" applyFill="1" applyAlignment="1">
      <alignment horizontal="center" vertical="center" wrapText="1"/>
    </xf>
    <xf numFmtId="0" fontId="19" fillId="7" borderId="0" xfId="3" applyFont="1" applyFill="1" applyAlignment="1">
      <alignment horizontal="left" vertical="center" wrapText="1"/>
    </xf>
    <xf numFmtId="0" fontId="45" fillId="19" borderId="0" xfId="0" applyFont="1" applyFill="1" applyAlignment="1">
      <alignment horizontal="center"/>
    </xf>
    <xf numFmtId="0" fontId="25" fillId="19" borderId="0" xfId="0" applyFont="1" applyFill="1" applyAlignment="1">
      <alignment horizontal="center"/>
    </xf>
    <xf numFmtId="168" fontId="17" fillId="0" borderId="0" xfId="0" applyNumberFormat="1" applyFont="1" applyAlignment="1">
      <alignment horizontal="center"/>
    </xf>
    <xf numFmtId="165" fontId="31" fillId="0" borderId="0" xfId="0" applyNumberFormat="1" applyFont="1" applyFill="1" applyBorder="1" applyAlignment="1">
      <alignment horizontal="center" vertical="center"/>
    </xf>
    <xf numFmtId="170" fontId="17" fillId="0" borderId="0" xfId="0" applyNumberFormat="1" applyFont="1"/>
    <xf numFmtId="176" fontId="17" fillId="0" borderId="0" xfId="0" applyNumberFormat="1" applyFont="1"/>
    <xf numFmtId="168" fontId="17" fillId="0" borderId="0" xfId="0" applyNumberFormat="1" applyFont="1"/>
    <xf numFmtId="49" fontId="69" fillId="0" borderId="2" xfId="1" applyNumberFormat="1" applyFont="1" applyFill="1" applyBorder="1" applyAlignment="1">
      <alignment horizontal="center" vertical="center"/>
    </xf>
    <xf numFmtId="49" fontId="70" fillId="0" borderId="2" xfId="1" applyNumberFormat="1" applyFont="1" applyFill="1" applyBorder="1" applyAlignment="1">
      <alignment horizontal="center" vertical="center"/>
    </xf>
    <xf numFmtId="49" fontId="60" fillId="3" borderId="1" xfId="1" applyNumberFormat="1" applyFont="1" applyFill="1" applyBorder="1" applyAlignment="1">
      <alignment horizontal="center" vertical="center"/>
    </xf>
    <xf numFmtId="0" fontId="71" fillId="0" borderId="0" xfId="0" applyFont="1"/>
    <xf numFmtId="0" fontId="43" fillId="0" borderId="0" xfId="0" applyFont="1" applyBorder="1"/>
    <xf numFmtId="17" fontId="72" fillId="7" borderId="0" xfId="0" quotePrefix="1" applyNumberFormat="1" applyFont="1" applyFill="1"/>
    <xf numFmtId="0" fontId="73" fillId="7" borderId="0" xfId="0" applyFont="1" applyFill="1"/>
    <xf numFmtId="0" fontId="74" fillId="0" borderId="0" xfId="0" applyFont="1"/>
    <xf numFmtId="17" fontId="75" fillId="7" borderId="0" xfId="0" quotePrefix="1" applyNumberFormat="1" applyFont="1" applyFill="1"/>
    <xf numFmtId="15" fontId="74" fillId="0" borderId="0" xfId="0" applyNumberFormat="1" applyFont="1"/>
    <xf numFmtId="14" fontId="17" fillId="6" borderId="0" xfId="3" applyNumberFormat="1" applyFont="1" applyFill="1" applyAlignment="1">
      <alignment horizontal="left"/>
    </xf>
    <xf numFmtId="14" fontId="17" fillId="11" borderId="0" xfId="3" applyNumberFormat="1" applyFont="1" applyFill="1" applyAlignment="1">
      <alignment horizontal="left"/>
    </xf>
    <xf numFmtId="0" fontId="17" fillId="15" borderId="0" xfId="3" applyFont="1" applyFill="1" applyAlignment="1">
      <alignment horizontal="left"/>
    </xf>
    <xf numFmtId="165" fontId="76" fillId="3" borderId="0" xfId="0" applyNumberFormat="1" applyFont="1" applyFill="1" applyBorder="1" applyAlignment="1">
      <alignment horizontal="left" vertical="center"/>
    </xf>
    <xf numFmtId="165" fontId="76" fillId="3" borderId="0" xfId="0" applyNumberFormat="1" applyFont="1" applyFill="1" applyBorder="1" applyAlignment="1">
      <alignment horizontal="center" vertical="center"/>
    </xf>
    <xf numFmtId="170" fontId="76" fillId="3" borderId="0" xfId="1" applyNumberFormat="1" applyFont="1" applyFill="1" applyBorder="1" applyAlignment="1">
      <alignment horizontal="center" vertical="center"/>
    </xf>
    <xf numFmtId="176" fontId="76" fillId="3" borderId="0" xfId="0" applyNumberFormat="1" applyFont="1" applyFill="1" applyBorder="1" applyAlignment="1">
      <alignment horizontal="center" vertical="center"/>
    </xf>
    <xf numFmtId="175" fontId="76" fillId="3" borderId="0" xfId="0" applyNumberFormat="1" applyFont="1" applyFill="1" applyBorder="1" applyAlignment="1">
      <alignment horizontal="center" vertical="center"/>
    </xf>
    <xf numFmtId="0" fontId="0" fillId="0" borderId="0" xfId="0" applyAlignment="1">
      <alignment vertical="center"/>
    </xf>
    <xf numFmtId="165" fontId="14" fillId="13" borderId="2" xfId="0" applyNumberFormat="1" applyFont="1" applyFill="1" applyBorder="1" applyAlignment="1">
      <alignment horizontal="left" vertical="center"/>
    </xf>
    <xf numFmtId="0" fontId="35" fillId="0" borderId="8" xfId="0" applyFont="1" applyBorder="1" applyAlignment="1">
      <alignment horizontal="center"/>
    </xf>
    <xf numFmtId="0" fontId="16" fillId="0" borderId="8" xfId="0" applyFont="1" applyBorder="1" applyAlignment="1">
      <alignment horizontal="center"/>
    </xf>
    <xf numFmtId="186" fontId="16" fillId="0" borderId="7" xfId="0" applyNumberFormat="1" applyFont="1" applyBorder="1"/>
    <xf numFmtId="0" fontId="16" fillId="0" borderId="0" xfId="0" applyFont="1" applyBorder="1" applyAlignment="1"/>
    <xf numFmtId="0" fontId="16" fillId="0" borderId="4" xfId="0" applyFont="1" applyBorder="1" applyAlignment="1"/>
    <xf numFmtId="0" fontId="35" fillId="0" borderId="10" xfId="0" applyFont="1" applyBorder="1" applyAlignment="1">
      <alignment horizontal="center"/>
    </xf>
    <xf numFmtId="0" fontId="78" fillId="0" borderId="0" xfId="0" applyFont="1"/>
    <xf numFmtId="185" fontId="78" fillId="0" borderId="0" xfId="0" applyNumberFormat="1" applyFont="1"/>
    <xf numFmtId="14" fontId="23" fillId="15" borderId="0" xfId="3" applyNumberFormat="1" applyFont="1" applyFill="1"/>
    <xf numFmtId="14" fontId="23" fillId="5" borderId="0" xfId="3" applyNumberFormat="1" applyFont="1" applyFill="1"/>
    <xf numFmtId="195" fontId="24" fillId="7" borderId="0" xfId="3" applyNumberFormat="1" applyFont="1" applyFill="1" applyAlignment="1">
      <alignment horizontal="center" vertical="center" wrapText="1"/>
    </xf>
    <xf numFmtId="195" fontId="23" fillId="15" borderId="0" xfId="4" applyNumberFormat="1" applyFont="1" applyFill="1" applyAlignment="1">
      <alignment horizontal="center"/>
    </xf>
    <xf numFmtId="195" fontId="23" fillId="5" borderId="0" xfId="4" applyNumberFormat="1" applyFont="1" applyFill="1" applyAlignment="1">
      <alignment horizontal="center"/>
    </xf>
    <xf numFmtId="195" fontId="23" fillId="6" borderId="0" xfId="3" applyNumberFormat="1" applyFont="1" applyFill="1" applyAlignment="1">
      <alignment horizontal="center"/>
    </xf>
    <xf numFmtId="165" fontId="16" fillId="0" borderId="0" xfId="0" applyNumberFormat="1" applyFont="1" applyAlignment="1">
      <alignment horizontal="right"/>
    </xf>
    <xf numFmtId="165" fontId="16" fillId="0" borderId="11" xfId="0" applyNumberFormat="1" applyFont="1" applyBorder="1" applyAlignment="1">
      <alignment horizontal="right"/>
    </xf>
    <xf numFmtId="0" fontId="16" fillId="0" borderId="0" xfId="0" applyFont="1" applyAlignment="1">
      <alignment horizontal="right"/>
    </xf>
    <xf numFmtId="0" fontId="35" fillId="3" borderId="0" xfId="0" applyFont="1" applyFill="1" applyAlignment="1">
      <alignment horizontal="right"/>
    </xf>
    <xf numFmtId="3" fontId="62" fillId="0" borderId="0" xfId="0" applyNumberFormat="1" applyFont="1" applyAlignment="1">
      <alignment horizontal="center"/>
    </xf>
    <xf numFmtId="3" fontId="76" fillId="0" borderId="0" xfId="0" applyNumberFormat="1" applyFont="1" applyFill="1" applyAlignment="1">
      <alignment horizontal="left"/>
    </xf>
    <xf numFmtId="3" fontId="62" fillId="0" borderId="0" xfId="0" applyNumberFormat="1" applyFont="1" applyAlignment="1">
      <alignment horizontal="left"/>
    </xf>
    <xf numFmtId="3" fontId="79" fillId="0" borderId="0" xfId="0" applyNumberFormat="1" applyFont="1" applyAlignment="1">
      <alignment horizontal="center"/>
    </xf>
    <xf numFmtId="0" fontId="64" fillId="0" borderId="7" xfId="0" applyFont="1" applyBorder="1"/>
    <xf numFmtId="0" fontId="65" fillId="0" borderId="0" xfId="0" applyFont="1" applyBorder="1" applyAlignment="1">
      <alignment horizontal="left"/>
    </xf>
    <xf numFmtId="3" fontId="64" fillId="0" borderId="0" xfId="0" applyNumberFormat="1" applyFont="1" applyAlignment="1">
      <alignment horizontal="center"/>
    </xf>
    <xf numFmtId="0" fontId="64" fillId="0" borderId="0" xfId="0" applyFont="1" applyBorder="1" applyAlignment="1">
      <alignment horizontal="center"/>
    </xf>
    <xf numFmtId="0" fontId="64" fillId="0" borderId="8" xfId="0" applyFont="1" applyBorder="1"/>
    <xf numFmtId="3" fontId="80" fillId="0" borderId="0" xfId="0" applyNumberFormat="1" applyFont="1" applyAlignment="1">
      <alignment horizontal="center"/>
    </xf>
    <xf numFmtId="1" fontId="21" fillId="0" borderId="0" xfId="2" applyNumberFormat="1" applyFont="1" applyFill="1" applyBorder="1" applyAlignment="1">
      <alignment horizontal="center" vertical="center"/>
    </xf>
    <xf numFmtId="176" fontId="21" fillId="0" borderId="0" xfId="0" applyNumberFormat="1" applyFont="1" applyFill="1" applyBorder="1" applyAlignment="1">
      <alignment horizontal="center" vertical="center"/>
    </xf>
    <xf numFmtId="0" fontId="18" fillId="0" borderId="5" xfId="0" applyFont="1" applyBorder="1" applyAlignment="1">
      <alignment vertical="center" wrapText="1"/>
    </xf>
    <xf numFmtId="0" fontId="18" fillId="0" borderId="3" xfId="0" applyFont="1" applyBorder="1" applyAlignment="1">
      <alignment vertical="center" wrapText="1"/>
    </xf>
    <xf numFmtId="0" fontId="16" fillId="0" borderId="6" xfId="0" applyFont="1" applyBorder="1" applyAlignment="1">
      <alignment horizontal="center"/>
    </xf>
    <xf numFmtId="0" fontId="18" fillId="0" borderId="7" xfId="0" applyFont="1" applyBorder="1" applyAlignment="1">
      <alignment horizontal="left"/>
    </xf>
    <xf numFmtId="0" fontId="16" fillId="0" borderId="7" xfId="0" applyFont="1" applyBorder="1" applyAlignment="1">
      <alignment horizontal="center"/>
    </xf>
    <xf numFmtId="0" fontId="18" fillId="0" borderId="9" xfId="0" applyFont="1" applyBorder="1" applyAlignment="1">
      <alignment horizontal="left"/>
    </xf>
    <xf numFmtId="0" fontId="16" fillId="0" borderId="10" xfId="0" applyFont="1" applyBorder="1" applyAlignment="1">
      <alignment horizontal="center"/>
    </xf>
    <xf numFmtId="0" fontId="23" fillId="19" borderId="0" xfId="0" applyFont="1" applyFill="1"/>
    <xf numFmtId="15" fontId="25" fillId="19" borderId="29" xfId="0" applyNumberFormat="1" applyFont="1" applyFill="1" applyBorder="1" applyAlignment="1">
      <alignment horizontal="center"/>
    </xf>
    <xf numFmtId="196" fontId="13" fillId="0" borderId="2" xfId="0" applyNumberFormat="1" applyFont="1" applyFill="1" applyBorder="1" applyAlignment="1">
      <alignment horizontal="center" vertical="center"/>
    </xf>
    <xf numFmtId="176" fontId="13" fillId="19" borderId="2" xfId="0" applyNumberFormat="1" applyFont="1" applyFill="1" applyBorder="1" applyAlignment="1">
      <alignment horizontal="center" vertical="center"/>
    </xf>
    <xf numFmtId="165" fontId="14" fillId="0" borderId="40" xfId="0" applyNumberFormat="1" applyFont="1" applyFill="1" applyBorder="1" applyAlignment="1">
      <alignment horizontal="left" vertical="center"/>
    </xf>
    <xf numFmtId="176" fontId="13" fillId="0" borderId="41" xfId="0" applyNumberFormat="1" applyFont="1" applyFill="1" applyBorder="1" applyAlignment="1">
      <alignment horizontal="center" vertical="center"/>
    </xf>
    <xf numFmtId="165" fontId="14" fillId="0" borderId="42" xfId="0" applyNumberFormat="1" applyFont="1" applyFill="1" applyBorder="1" applyAlignment="1">
      <alignment horizontal="left" vertical="center"/>
    </xf>
    <xf numFmtId="176" fontId="13" fillId="0" borderId="43" xfId="0" applyNumberFormat="1" applyFont="1" applyFill="1" applyBorder="1" applyAlignment="1">
      <alignment horizontal="center" vertical="center"/>
    </xf>
    <xf numFmtId="165" fontId="14" fillId="0" borderId="27" xfId="0" applyNumberFormat="1" applyFont="1" applyFill="1" applyBorder="1" applyAlignment="1">
      <alignment horizontal="left" vertical="center"/>
    </xf>
    <xf numFmtId="176" fontId="13" fillId="0" borderId="28" xfId="0" applyNumberFormat="1" applyFont="1" applyFill="1" applyBorder="1" applyAlignment="1">
      <alignment horizontal="center" vertical="center"/>
    </xf>
    <xf numFmtId="165" fontId="14" fillId="0" borderId="44" xfId="0" applyNumberFormat="1" applyFont="1" applyFill="1" applyBorder="1" applyAlignment="1">
      <alignment horizontal="left" vertical="center"/>
    </xf>
    <xf numFmtId="176" fontId="13" fillId="0" borderId="45"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2" fillId="12" borderId="0" xfId="0" applyFont="1" applyFill="1" applyAlignment="1"/>
    <xf numFmtId="165" fontId="14" fillId="13" borderId="0" xfId="0" applyNumberFormat="1" applyFont="1" applyFill="1" applyBorder="1" applyAlignment="1">
      <alignment horizontal="center" vertical="center"/>
    </xf>
    <xf numFmtId="4" fontId="16" fillId="0" borderId="0" xfId="0" applyNumberFormat="1" applyFont="1"/>
    <xf numFmtId="4" fontId="26" fillId="0" borderId="12" xfId="0" applyNumberFormat="1" applyFont="1" applyBorder="1" applyAlignment="1">
      <alignment horizontal="right" vertical="center" wrapText="1"/>
    </xf>
    <xf numFmtId="4" fontId="23" fillId="0" borderId="0" xfId="0" applyNumberFormat="1" applyFont="1"/>
    <xf numFmtId="0" fontId="81" fillId="0" borderId="0" xfId="0" applyFont="1" applyFill="1"/>
    <xf numFmtId="165" fontId="81" fillId="0" borderId="0" xfId="0" applyNumberFormat="1" applyFont="1" applyFill="1"/>
    <xf numFmtId="0" fontId="17" fillId="8" borderId="0" xfId="0" applyFont="1" applyFill="1"/>
    <xf numFmtId="0" fontId="17" fillId="8" borderId="0" xfId="0" applyFont="1" applyFill="1" applyAlignment="1">
      <alignment horizontal="center"/>
    </xf>
    <xf numFmtId="0" fontId="81" fillId="0" borderId="0" xfId="0" applyFont="1"/>
    <xf numFmtId="170" fontId="42" fillId="13" borderId="24" xfId="0" applyNumberFormat="1" applyFont="1" applyFill="1" applyBorder="1" applyAlignment="1">
      <alignment horizontal="center"/>
    </xf>
    <xf numFmtId="14" fontId="23" fillId="25" borderId="0" xfId="3" applyNumberFormat="1" applyFont="1" applyFill="1"/>
    <xf numFmtId="169" fontId="13" fillId="0" borderId="2" xfId="0" applyNumberFormat="1" applyFont="1" applyFill="1" applyBorder="1" applyAlignment="1">
      <alignment horizontal="center" vertical="center"/>
    </xf>
    <xf numFmtId="0" fontId="82" fillId="0" borderId="0" xfId="0" applyFont="1"/>
    <xf numFmtId="14" fontId="17" fillId="26" borderId="0" xfId="3" applyNumberFormat="1" applyFont="1" applyFill="1" applyAlignment="1">
      <alignment horizontal="left"/>
    </xf>
    <xf numFmtId="14" fontId="17" fillId="26" borderId="0" xfId="3" applyNumberFormat="1" applyFont="1" applyFill="1" applyAlignment="1">
      <alignment horizontal="center"/>
    </xf>
    <xf numFmtId="177" fontId="17" fillId="26" borderId="0" xfId="3" applyNumberFormat="1" applyFont="1" applyFill="1" applyAlignment="1">
      <alignment horizontal="center"/>
    </xf>
    <xf numFmtId="165" fontId="17" fillId="26" borderId="0" xfId="4" applyNumberFormat="1" applyFont="1" applyFill="1" applyAlignment="1">
      <alignment horizontal="center"/>
    </xf>
    <xf numFmtId="0" fontId="44" fillId="0" borderId="0" xfId="0" applyFont="1"/>
    <xf numFmtId="14" fontId="44" fillId="0" borderId="0" xfId="0" applyNumberFormat="1" applyFont="1"/>
    <xf numFmtId="0" fontId="16" fillId="0" borderId="5" xfId="0" applyFont="1" applyBorder="1" applyAlignment="1">
      <alignment horizontal="center"/>
    </xf>
    <xf numFmtId="0" fontId="18" fillId="0" borderId="6" xfId="0" applyFont="1" applyBorder="1" applyAlignment="1">
      <alignment vertical="center" wrapText="1"/>
    </xf>
    <xf numFmtId="0" fontId="16" fillId="0" borderId="9" xfId="0" applyFont="1" applyBorder="1" applyAlignment="1">
      <alignment horizontal="center"/>
    </xf>
    <xf numFmtId="10" fontId="17" fillId="0" borderId="0" xfId="1" applyNumberFormat="1" applyFont="1"/>
    <xf numFmtId="176" fontId="16" fillId="0" borderId="0" xfId="0" applyNumberFormat="1" applyFont="1"/>
    <xf numFmtId="0" fontId="16" fillId="3" borderId="4" xfId="0" applyFont="1" applyFill="1" applyBorder="1"/>
    <xf numFmtId="4" fontId="62" fillId="0" borderId="0" xfId="0" applyNumberFormat="1" applyFont="1" applyAlignment="1">
      <alignment horizontal="center"/>
    </xf>
    <xf numFmtId="8" fontId="16" fillId="0" borderId="0" xfId="0" applyNumberFormat="1" applyFont="1" applyAlignment="1">
      <alignment horizontal="center"/>
    </xf>
    <xf numFmtId="15" fontId="18" fillId="10" borderId="7" xfId="0" applyNumberFormat="1" applyFont="1" applyFill="1" applyBorder="1"/>
    <xf numFmtId="15" fontId="18" fillId="10" borderId="0" xfId="0" applyNumberFormat="1" applyFont="1" applyFill="1" applyBorder="1"/>
    <xf numFmtId="15" fontId="18" fillId="10" borderId="8" xfId="0" applyNumberFormat="1" applyFont="1" applyFill="1" applyBorder="1"/>
    <xf numFmtId="186" fontId="16" fillId="27" borderId="5" xfId="0" applyNumberFormat="1" applyFont="1" applyFill="1" applyBorder="1"/>
    <xf numFmtId="0" fontId="16" fillId="27" borderId="3" xfId="0" applyFont="1" applyFill="1" applyBorder="1" applyAlignment="1">
      <alignment horizontal="center"/>
    </xf>
    <xf numFmtId="0" fontId="35" fillId="27" borderId="6" xfId="0" applyFont="1" applyFill="1" applyBorder="1" applyAlignment="1">
      <alignment horizontal="center"/>
    </xf>
    <xf numFmtId="165" fontId="14" fillId="10" borderId="0" xfId="0" applyNumberFormat="1" applyFont="1" applyFill="1" applyBorder="1" applyAlignment="1">
      <alignment horizontal="left" vertical="center" indent="2"/>
    </xf>
    <xf numFmtId="0" fontId="16" fillId="0" borderId="11" xfId="0" applyFont="1" applyBorder="1" applyAlignment="1">
      <alignment horizontal="left" indent="1"/>
    </xf>
    <xf numFmtId="165" fontId="2" fillId="27" borderId="5" xfId="0" applyNumberFormat="1" applyFont="1" applyFill="1" applyBorder="1" applyAlignment="1">
      <alignment horizontal="left" vertical="center" indent="1"/>
    </xf>
    <xf numFmtId="165" fontId="2" fillId="27" borderId="3" xfId="0" applyNumberFormat="1" applyFont="1" applyFill="1" applyBorder="1" applyAlignment="1">
      <alignment horizontal="left" vertical="center" indent="1"/>
    </xf>
    <xf numFmtId="198" fontId="23" fillId="6" borderId="0" xfId="3" applyNumberFormat="1" applyFont="1" applyFill="1" applyAlignment="1">
      <alignment horizontal="center"/>
    </xf>
    <xf numFmtId="165" fontId="23" fillId="15" borderId="0" xfId="4" applyNumberFormat="1" applyFont="1" applyFill="1" applyAlignment="1">
      <alignment horizontal="center"/>
    </xf>
    <xf numFmtId="170" fontId="25" fillId="13" borderId="24" xfId="0" applyNumberFormat="1" applyFont="1" applyFill="1" applyBorder="1" applyAlignment="1">
      <alignment horizontal="center"/>
    </xf>
    <xf numFmtId="0" fontId="18" fillId="19" borderId="0" xfId="0" applyFont="1" applyFill="1" applyAlignment="1">
      <alignment horizontal="center"/>
    </xf>
    <xf numFmtId="0" fontId="18" fillId="0" borderId="8" xfId="0" applyFont="1" applyBorder="1" applyAlignment="1">
      <alignment horizontal="center" vertical="center" wrapText="1"/>
    </xf>
    <xf numFmtId="0" fontId="16" fillId="0" borderId="8" xfId="0" applyFont="1" applyFill="1" applyBorder="1" applyAlignment="1">
      <alignment horizontal="center"/>
    </xf>
    <xf numFmtId="0" fontId="13" fillId="0" borderId="8" xfId="0" applyFont="1" applyBorder="1" applyAlignment="1">
      <alignment horizontal="center"/>
    </xf>
    <xf numFmtId="0" fontId="13" fillId="0" borderId="8" xfId="0" applyFont="1" applyFill="1" applyBorder="1" applyAlignment="1">
      <alignment horizontal="center"/>
    </xf>
    <xf numFmtId="0" fontId="64" fillId="0" borderId="10" xfId="0" applyFont="1" applyBorder="1" applyAlignment="1">
      <alignment horizontal="center"/>
    </xf>
    <xf numFmtId="4" fontId="16" fillId="0" borderId="0" xfId="0" applyNumberFormat="1" applyFont="1" applyAlignment="1">
      <alignment horizontal="center"/>
    </xf>
    <xf numFmtId="0" fontId="83" fillId="0" borderId="11" xfId="0" applyFont="1" applyBorder="1"/>
    <xf numFmtId="3" fontId="83" fillId="0" borderId="11" xfId="0" applyNumberFormat="1" applyFont="1" applyBorder="1" applyAlignment="1">
      <alignment horizontal="right"/>
    </xf>
    <xf numFmtId="165" fontId="2" fillId="27" borderId="6" xfId="0" applyNumberFormat="1" applyFont="1" applyFill="1" applyBorder="1" applyAlignment="1">
      <alignment horizontal="left" vertical="center" indent="1"/>
    </xf>
    <xf numFmtId="0" fontId="83" fillId="6" borderId="0" xfId="0" applyFont="1" applyFill="1" applyBorder="1" applyAlignment="1">
      <alignment horizontal="center"/>
    </xf>
    <xf numFmtId="3" fontId="83" fillId="0" borderId="0" xfId="0" applyNumberFormat="1" applyFont="1" applyBorder="1" applyAlignment="1">
      <alignment horizontal="right"/>
    </xf>
    <xf numFmtId="3" fontId="0" fillId="0" borderId="0" xfId="0" applyNumberFormat="1" applyFont="1" applyBorder="1" applyAlignment="1">
      <alignment horizontal="right"/>
    </xf>
    <xf numFmtId="3" fontId="83" fillId="0" borderId="4" xfId="0" applyNumberFormat="1" applyFont="1" applyBorder="1" applyAlignment="1">
      <alignment horizontal="center"/>
    </xf>
    <xf numFmtId="0" fontId="35" fillId="0" borderId="0" xfId="0" applyFont="1" applyBorder="1" applyAlignment="1">
      <alignment horizontal="left" indent="1"/>
    </xf>
    <xf numFmtId="0" fontId="16" fillId="0" borderId="0" xfId="0" applyFont="1" applyBorder="1" applyAlignment="1">
      <alignment horizontal="left" indent="1"/>
    </xf>
    <xf numFmtId="0" fontId="0" fillId="0" borderId="11" xfId="0" applyFont="1" applyBorder="1"/>
    <xf numFmtId="3" fontId="0" fillId="0" borderId="11" xfId="0" applyNumberFormat="1" applyFont="1" applyBorder="1" applyAlignment="1">
      <alignment horizontal="right"/>
    </xf>
    <xf numFmtId="0" fontId="84" fillId="0" borderId="0" xfId="0" applyFont="1"/>
    <xf numFmtId="0" fontId="16" fillId="27" borderId="6" xfId="0" applyFont="1" applyFill="1" applyBorder="1"/>
    <xf numFmtId="0" fontId="16" fillId="27" borderId="3" xfId="0" applyFont="1" applyFill="1" applyBorder="1"/>
    <xf numFmtId="194" fontId="16" fillId="0" borderId="8" xfId="10" applyNumberFormat="1" applyFont="1" applyFill="1" applyBorder="1">
      <alignment vertical="center"/>
    </xf>
    <xf numFmtId="0" fontId="16" fillId="0" borderId="7" xfId="10" applyFont="1" applyFill="1" applyBorder="1" applyAlignment="1">
      <alignment horizontal="left" vertical="center" indent="1"/>
    </xf>
    <xf numFmtId="197" fontId="16" fillId="0" borderId="0" xfId="11" applyNumberFormat="1" applyFont="1" applyFill="1" applyBorder="1">
      <alignment vertical="center"/>
    </xf>
    <xf numFmtId="0" fontId="16" fillId="0" borderId="8" xfId="10" applyFont="1" applyFill="1" applyBorder="1">
      <alignment vertical="center"/>
    </xf>
    <xf numFmtId="193" fontId="16" fillId="0" borderId="0" xfId="12" applyNumberFormat="1" applyFont="1" applyFill="1" applyBorder="1">
      <alignment vertical="center"/>
    </xf>
    <xf numFmtId="0" fontId="0" fillId="0" borderId="0" xfId="0" applyFont="1" applyBorder="1"/>
    <xf numFmtId="192" fontId="16" fillId="0" borderId="0" xfId="11" applyFont="1" applyFill="1" applyBorder="1">
      <alignment vertical="center"/>
    </xf>
    <xf numFmtId="9" fontId="16" fillId="0" borderId="0" xfId="12" applyFont="1" applyFill="1" applyBorder="1">
      <alignment vertical="center"/>
    </xf>
    <xf numFmtId="43" fontId="16" fillId="0" borderId="8" xfId="10" applyNumberFormat="1" applyFont="1" applyFill="1" applyBorder="1">
      <alignment vertical="center"/>
    </xf>
    <xf numFmtId="0" fontId="16" fillId="0" borderId="0" xfId="10" applyFont="1" applyFill="1" applyBorder="1">
      <alignment vertical="center"/>
    </xf>
    <xf numFmtId="0" fontId="0" fillId="0" borderId="0" xfId="0" applyFont="1" applyBorder="1" applyAlignment="1">
      <alignment horizontal="right"/>
    </xf>
    <xf numFmtId="192" fontId="16" fillId="0" borderId="0" xfId="10" applyNumberFormat="1" applyFont="1" applyFill="1" applyBorder="1">
      <alignment vertical="center"/>
    </xf>
    <xf numFmtId="0" fontId="16" fillId="0" borderId="9" xfId="10" applyFont="1" applyFill="1" applyBorder="1" applyAlignment="1">
      <alignment horizontal="left" vertical="center" indent="1"/>
    </xf>
    <xf numFmtId="15" fontId="0" fillId="0" borderId="0" xfId="0" applyNumberFormat="1" applyFont="1" applyBorder="1" applyAlignment="1">
      <alignment horizontal="center"/>
    </xf>
    <xf numFmtId="0" fontId="0" fillId="0" borderId="4" xfId="0" applyFont="1" applyBorder="1"/>
    <xf numFmtId="15" fontId="0" fillId="0" borderId="4" xfId="0" applyNumberFormat="1" applyFont="1" applyBorder="1" applyAlignment="1">
      <alignment horizontal="center"/>
    </xf>
    <xf numFmtId="169" fontId="16" fillId="0" borderId="4" xfId="10" applyNumberFormat="1" applyFont="1" applyFill="1" applyBorder="1">
      <alignment vertical="center"/>
    </xf>
    <xf numFmtId="4" fontId="16" fillId="0" borderId="0" xfId="0" applyNumberFormat="1" applyFont="1" applyAlignment="1">
      <alignment horizontal="left" indent="5"/>
    </xf>
    <xf numFmtId="0" fontId="16" fillId="0" borderId="0" xfId="0" applyFont="1" applyAlignment="1">
      <alignment horizontal="left" indent="5"/>
    </xf>
    <xf numFmtId="0" fontId="31" fillId="24" borderId="0" xfId="0" applyFont="1" applyFill="1" applyBorder="1" applyAlignment="1">
      <alignment horizontal="left" vertical="center" wrapText="1"/>
    </xf>
    <xf numFmtId="0" fontId="31" fillId="0" borderId="0" xfId="0" applyFont="1" applyBorder="1" applyAlignment="1">
      <alignment horizontal="left" vertical="center" wrapText="1"/>
    </xf>
    <xf numFmtId="188" fontId="18" fillId="5" borderId="36"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55" fillId="0" borderId="33" xfId="0" applyFont="1" applyBorder="1" applyAlignment="1">
      <alignment vertical="center" wrapText="1"/>
    </xf>
    <xf numFmtId="0" fontId="55" fillId="0" borderId="34" xfId="0" applyFont="1" applyBorder="1" applyAlignment="1">
      <alignment vertical="center" wrapText="1"/>
    </xf>
    <xf numFmtId="0" fontId="55" fillId="0" borderId="35" xfId="0" applyFont="1" applyBorder="1" applyAlignment="1">
      <alignment vertical="center" wrapText="1"/>
    </xf>
    <xf numFmtId="0" fontId="55" fillId="0" borderId="33" xfId="0" applyFont="1" applyBorder="1" applyAlignment="1">
      <alignment horizontal="left" vertical="center" wrapText="1"/>
    </xf>
    <xf numFmtId="0" fontId="55" fillId="0" borderId="34" xfId="0" applyFont="1" applyBorder="1" applyAlignment="1">
      <alignment horizontal="left" vertical="center" wrapText="1"/>
    </xf>
    <xf numFmtId="0" fontId="55" fillId="0" borderId="35" xfId="0" applyFont="1" applyBorder="1" applyAlignment="1">
      <alignment horizontal="left" vertical="center" wrapText="1"/>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0000FF"/>
      <color rgb="FFF8483A"/>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Profile'!$J$7:$J$23</c:f>
              <c:strCache>
                <c:ptCount val="17"/>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strCache>
            </c:strRef>
          </c:cat>
          <c:val>
            <c:numRef>
              <c:f>'5. CF Profile'!$N$7:$N$23</c:f>
              <c:numCache>
                <c:formatCode>"$"#,##0.0_);[Red]\("$"#,##0.0\)</c:formatCode>
                <c:ptCount val="17"/>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14.662777999999999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Profile'!$J$7:$J$23</c:f>
              <c:strCache>
                <c:ptCount val="17"/>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strCache>
            </c:strRef>
          </c:cat>
          <c:val>
            <c:numRef>
              <c:f>'5. CF Profile'!$T$7:$T$23</c:f>
              <c:numCache>
                <c:formatCode>"$"#,##0.0_);[Red]\("$"#,##0.0\)</c:formatCode>
                <c:ptCount val="17"/>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323322</xdr:colOff>
      <xdr:row>48</xdr:row>
      <xdr:rowOff>17992</xdr:rowOff>
    </xdr:from>
    <xdr:to>
      <xdr:col>14</xdr:col>
      <xdr:colOff>70910</xdr:colOff>
      <xdr:row>64</xdr:row>
      <xdr:rowOff>52916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456141</xdr:colOff>
      <xdr:row>48</xdr:row>
      <xdr:rowOff>62442</xdr:rowOff>
    </xdr:from>
    <xdr:to>
      <xdr:col>20</xdr:col>
      <xdr:colOff>184679</xdr:colOff>
      <xdr:row>64</xdr:row>
      <xdr:rowOff>97366</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5.bin"/><Relationship Id="rId1" Type="http://schemas.openxmlformats.org/officeDocument/2006/relationships/hyperlink" Target="https://www.londonstockexchange.com/news-article/ONT/issue-of-equity-and-total-voting-rights/15523151"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20"/>
  <sheetViews>
    <sheetView showGridLines="0" zoomScale="120" zoomScaleNormal="120" zoomScaleSheetLayoutView="90" workbookViewId="0">
      <selection activeCell="D2" sqref="D2"/>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384" width="9.140625" style="80"/>
  </cols>
  <sheetData>
    <row r="1" spans="2:15" ht="15.75" thickBot="1" x14ac:dyDescent="0.3"/>
    <row r="2" spans="2:15" s="137" customFormat="1" ht="15.75" thickBot="1" x14ac:dyDescent="0.3">
      <c r="C2" s="271" t="s">
        <v>235</v>
      </c>
      <c r="D2" s="285">
        <v>45016</v>
      </c>
      <c r="G2" s="80"/>
      <c r="H2" s="80"/>
      <c r="I2" s="80"/>
      <c r="J2" s="80"/>
      <c r="K2" s="80"/>
      <c r="L2" s="80"/>
      <c r="M2" s="80"/>
      <c r="N2" s="80"/>
      <c r="O2" s="80"/>
    </row>
    <row r="3" spans="2:15" x14ac:dyDescent="0.25">
      <c r="F3" s="390"/>
      <c r="G3" s="390"/>
      <c r="H3" s="391" t="s">
        <v>248</v>
      </c>
      <c r="I3" s="390"/>
      <c r="J3" s="390"/>
      <c r="L3" s="327" t="s">
        <v>274</v>
      </c>
    </row>
    <row r="4" spans="2:15" ht="15.75" thickBot="1" x14ac:dyDescent="0.3">
      <c r="D4" s="299"/>
    </row>
    <row r="5" spans="2:15" x14ac:dyDescent="0.25">
      <c r="B5" s="315"/>
      <c r="C5" s="156"/>
      <c r="D5" s="316"/>
      <c r="E5" s="316"/>
      <c r="F5" s="316"/>
      <c r="G5" s="316"/>
      <c r="H5" s="316"/>
      <c r="I5" s="316"/>
      <c r="J5" s="316"/>
      <c r="K5" s="316"/>
      <c r="L5" s="316"/>
      <c r="M5" s="316"/>
      <c r="N5" s="158"/>
    </row>
    <row r="6" spans="2:15" ht="34.5" customHeight="1" x14ac:dyDescent="0.25">
      <c r="B6" s="165"/>
      <c r="C6" s="317"/>
      <c r="D6" s="318" t="s">
        <v>247</v>
      </c>
      <c r="E6" s="318" t="s">
        <v>41</v>
      </c>
      <c r="F6" s="319" t="s">
        <v>2</v>
      </c>
      <c r="G6" s="319" t="s">
        <v>299</v>
      </c>
      <c r="H6" s="319" t="s">
        <v>42</v>
      </c>
      <c r="I6" s="319" t="s">
        <v>223</v>
      </c>
      <c r="J6" s="319" t="s">
        <v>32</v>
      </c>
      <c r="K6" s="319" t="s">
        <v>43</v>
      </c>
      <c r="L6" s="319" t="s">
        <v>236</v>
      </c>
      <c r="M6" s="319" t="s">
        <v>142</v>
      </c>
      <c r="N6" s="166"/>
    </row>
    <row r="7" spans="2:15" x14ac:dyDescent="0.25">
      <c r="B7" s="165"/>
      <c r="C7" s="317"/>
      <c r="D7" s="317"/>
      <c r="E7" s="177"/>
      <c r="F7" s="177"/>
      <c r="G7" s="177"/>
      <c r="H7" s="177"/>
      <c r="I7" s="177"/>
      <c r="J7" s="177"/>
      <c r="K7" s="177"/>
      <c r="L7" s="177"/>
      <c r="M7" s="177"/>
      <c r="N7" s="166"/>
    </row>
    <row r="8" spans="2:15" x14ac:dyDescent="0.25">
      <c r="B8" s="165"/>
      <c r="C8" s="177" t="s">
        <v>240</v>
      </c>
      <c r="D8" s="325">
        <f>COUNTIF('Summary | 01 '!C10:C27,"*")</f>
        <v>17</v>
      </c>
      <c r="E8" s="276">
        <f ca="1">'1. IRR Equity'!AD29</f>
        <v>2093.0293308689243</v>
      </c>
      <c r="F8" s="276">
        <f ca="1">'1. IRR Equity'!AE29</f>
        <v>2082.7761694328437</v>
      </c>
      <c r="G8" s="276">
        <f ca="1">'1. IRR Equity'!AF29</f>
        <v>10.253161436080433</v>
      </c>
      <c r="H8" s="276">
        <f ca="1">'1. IRR Equity'!AG29</f>
        <v>5</v>
      </c>
      <c r="I8" s="276">
        <f ca="1">'1. IRR Equity'!AH29</f>
        <v>2082.8141047656409</v>
      </c>
      <c r="J8" s="411">
        <f>'1. IRR Equity'!AI29</f>
        <v>1.9109696149826048E-3</v>
      </c>
      <c r="K8" s="334">
        <f ca="1">'1. IRR Equity'!AJ29</f>
        <v>1.0024188558553409</v>
      </c>
      <c r="L8" s="278">
        <f ca="1">'1. IRR Equity'!AK29</f>
        <v>1.0000182138308253</v>
      </c>
      <c r="M8" s="278">
        <f ca="1">'1. IRR Equity'!AL29</f>
        <v>2.4006420245155482E-3</v>
      </c>
      <c r="N8" s="166"/>
    </row>
    <row r="9" spans="2:15" x14ac:dyDescent="0.25">
      <c r="B9" s="165"/>
      <c r="C9" s="317"/>
      <c r="D9" s="317"/>
      <c r="E9" s="177"/>
      <c r="F9" s="177"/>
      <c r="G9" s="177"/>
      <c r="H9" s="177"/>
      <c r="I9" s="177"/>
      <c r="J9" s="412"/>
      <c r="K9" s="177"/>
      <c r="L9" s="177"/>
      <c r="M9" s="177"/>
      <c r="N9" s="166"/>
    </row>
    <row r="10" spans="2:15" x14ac:dyDescent="0.25">
      <c r="B10" s="165"/>
      <c r="C10" s="317"/>
      <c r="D10" s="317"/>
      <c r="E10" s="177"/>
      <c r="F10" s="177"/>
      <c r="G10" s="177"/>
      <c r="H10" s="177"/>
      <c r="I10" s="177"/>
      <c r="J10" s="412"/>
      <c r="K10" s="177"/>
      <c r="L10" s="177"/>
      <c r="M10" s="177"/>
      <c r="N10" s="166"/>
    </row>
    <row r="11" spans="2:15" x14ac:dyDescent="0.25">
      <c r="B11" s="165"/>
      <c r="C11" s="177" t="s">
        <v>241</v>
      </c>
      <c r="D11" s="325">
        <f>COUNTIF('Summary | 01 '!C30:C32,"*")</f>
        <v>3</v>
      </c>
      <c r="E11" s="276">
        <f>'2. IRR Debt'!Q12</f>
        <v>10.765747000000001</v>
      </c>
      <c r="F11" s="276">
        <f>'2. IRR Debt'!R12</f>
        <v>10.765747000000001</v>
      </c>
      <c r="G11" s="276">
        <f>'2. IRR Debt'!S12</f>
        <v>0</v>
      </c>
      <c r="H11" s="276">
        <f>'2. IRR Debt'!T12</f>
        <v>0.47078465000000003</v>
      </c>
      <c r="I11" s="276">
        <f>'2. IRR Debt'!U12</f>
        <v>2.3539819999999998</v>
      </c>
      <c r="J11" s="411">
        <f>'2. IRR Debt'!V12</f>
        <v>-0.35001702047884475</v>
      </c>
      <c r="K11" s="334">
        <f>'2. IRR Debt'!W12</f>
        <v>0.26238463991397898</v>
      </c>
      <c r="L11" s="278">
        <f>'2. IRR Debt'!X12</f>
        <v>0.21865477611539633</v>
      </c>
      <c r="M11" s="278">
        <f>'2. IRR Debt'!Y12</f>
        <v>4.3729863798582673E-2</v>
      </c>
      <c r="N11" s="166"/>
    </row>
    <row r="12" spans="2:15" x14ac:dyDescent="0.25">
      <c r="B12" s="165"/>
      <c r="C12" s="317"/>
      <c r="D12" s="326"/>
      <c r="E12" s="177"/>
      <c r="F12" s="177"/>
      <c r="G12" s="177"/>
      <c r="H12" s="177"/>
      <c r="I12" s="177"/>
      <c r="J12" s="412"/>
      <c r="K12" s="177"/>
      <c r="L12" s="177"/>
      <c r="M12" s="177"/>
      <c r="N12" s="166"/>
    </row>
    <row r="13" spans="2:15" x14ac:dyDescent="0.25">
      <c r="B13" s="165"/>
      <c r="C13" s="317"/>
      <c r="D13" s="326"/>
      <c r="E13" s="177"/>
      <c r="F13" s="177"/>
      <c r="G13" s="177"/>
      <c r="H13" s="177"/>
      <c r="I13" s="177"/>
      <c r="J13" s="412"/>
      <c r="K13" s="177"/>
      <c r="L13" s="177"/>
      <c r="M13" s="177"/>
      <c r="N13" s="166"/>
    </row>
    <row r="14" spans="2:15" x14ac:dyDescent="0.25">
      <c r="B14" s="165"/>
      <c r="C14" s="177" t="s">
        <v>242</v>
      </c>
      <c r="D14" s="325">
        <f>COUNTIF('Summary | 01 '!C36:C40,"*")</f>
        <v>5</v>
      </c>
      <c r="E14" s="276">
        <f>'3. IRR Funds'!Q15</f>
        <v>395.37629041129463</v>
      </c>
      <c r="F14" s="276">
        <f ca="1">'3. IRR Funds'!R15</f>
        <v>133.65097450447118</v>
      </c>
      <c r="G14" s="276">
        <f ca="1">'3. IRR Funds'!S15</f>
        <v>262.75327690682343</v>
      </c>
      <c r="H14" s="276">
        <f ca="1">'3. IRR Funds'!T15</f>
        <v>4.4275637014082001</v>
      </c>
      <c r="I14" s="276">
        <f ca="1">'3. IRR Funds'!U15</f>
        <v>122.28936456439118</v>
      </c>
      <c r="J14" s="411">
        <f>'3. IRR Funds'!V15</f>
        <v>-2.269576042890549E-2</v>
      </c>
      <c r="K14" s="334">
        <f ca="1">'3. IRR Funds'!W15</f>
        <v>0.94811825155498719</v>
      </c>
      <c r="L14" s="278">
        <f ca="1">'3. IRR Funds'!X15</f>
        <v>0.91499044446024669</v>
      </c>
      <c r="M14" s="278">
        <f ca="1">'3. IRR Funds'!Y15</f>
        <v>3.3127807094740488E-2</v>
      </c>
      <c r="N14" s="166"/>
    </row>
    <row r="15" spans="2:15" x14ac:dyDescent="0.25">
      <c r="B15" s="165"/>
      <c r="C15" s="317"/>
      <c r="D15" s="326"/>
      <c r="E15" s="177"/>
      <c r="F15" s="177"/>
      <c r="G15" s="177"/>
      <c r="H15" s="177"/>
      <c r="I15" s="177"/>
      <c r="J15" s="412"/>
      <c r="K15" s="177"/>
      <c r="L15" s="177"/>
      <c r="M15" s="177"/>
      <c r="N15" s="166"/>
    </row>
    <row r="16" spans="2:15" x14ac:dyDescent="0.25">
      <c r="B16" s="165"/>
      <c r="C16" s="317"/>
      <c r="D16" s="317"/>
      <c r="E16" s="177"/>
      <c r="F16" s="177"/>
      <c r="G16" s="177"/>
      <c r="H16" s="177"/>
      <c r="I16" s="177"/>
      <c r="J16" s="412"/>
      <c r="K16" s="177"/>
      <c r="L16" s="177"/>
      <c r="M16" s="177"/>
      <c r="N16" s="166"/>
    </row>
    <row r="17" spans="2:14" x14ac:dyDescent="0.25">
      <c r="B17" s="165"/>
      <c r="C17" s="177" t="s">
        <v>243</v>
      </c>
      <c r="D17" s="325">
        <f t="shared" ref="D17:I17" si="0">D8+D11+D14</f>
        <v>25</v>
      </c>
      <c r="E17" s="276">
        <f t="shared" ca="1" si="0"/>
        <v>2499.1713682802188</v>
      </c>
      <c r="F17" s="276">
        <f t="shared" ca="1" si="0"/>
        <v>2227.192890937315</v>
      </c>
      <c r="G17" s="276">
        <f t="shared" ca="1" si="0"/>
        <v>273.00643834290383</v>
      </c>
      <c r="H17" s="276">
        <f t="shared" ca="1" si="0"/>
        <v>9.8983483514081989</v>
      </c>
      <c r="I17" s="276">
        <f t="shared" ca="1" si="0"/>
        <v>2207.4574513300322</v>
      </c>
      <c r="J17" s="411">
        <f>'4.All'!N9</f>
        <v>-3.3056326210498818E-3</v>
      </c>
      <c r="K17" s="334">
        <f ca="1">(H17+I17)/F17</f>
        <v>0.99558318846297378</v>
      </c>
      <c r="L17" s="278">
        <f ca="1">I17/F17</f>
        <v>0.991138872754314</v>
      </c>
      <c r="M17" s="278">
        <f ca="1">H17/F17</f>
        <v>4.4443157086598252E-3</v>
      </c>
      <c r="N17" s="166"/>
    </row>
    <row r="18" spans="2:14" s="92" customFormat="1" ht="15.75" thickBot="1" x14ac:dyDescent="0.3">
      <c r="B18" s="320"/>
      <c r="C18" s="321"/>
      <c r="D18" s="321"/>
      <c r="E18" s="421"/>
      <c r="F18" s="321"/>
      <c r="G18" s="321"/>
      <c r="H18" s="321"/>
      <c r="I18" s="321"/>
      <c r="J18" s="413"/>
      <c r="K18" s="321"/>
      <c r="L18" s="321"/>
      <c r="M18" s="321"/>
      <c r="N18" s="322"/>
    </row>
    <row r="19" spans="2:14" x14ac:dyDescent="0.25">
      <c r="E19" s="422" t="b">
        <f ca="1">E17='Summary | 01 '!J43</f>
        <v>0</v>
      </c>
      <c r="F19" s="422" t="b">
        <f ca="1">F17='Summary | 01 '!K43</f>
        <v>1</v>
      </c>
      <c r="G19" s="423" t="b">
        <f ca="1">ROUND(G17,1)=ROUND('Summary | 01 '!L43,1)</f>
        <v>0</v>
      </c>
      <c r="H19" s="423" t="b">
        <f ca="1">ROUND(H17,1)=ROUND('Summary | 01 '!M43,1)</f>
        <v>1</v>
      </c>
      <c r="I19" s="423" t="b">
        <f ca="1">ROUND(I17,1)=ROUND('Summary | 01 '!N43,1)</f>
        <v>1</v>
      </c>
      <c r="J19" s="414"/>
    </row>
    <row r="20" spans="2:14" x14ac:dyDescent="0.25">
      <c r="J20" s="414"/>
    </row>
  </sheetData>
  <pageMargins left="0.7" right="0.7" top="0.75" bottom="0.75" header="0.3" footer="0.3"/>
  <pageSetup paperSize="9" scale="38"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74"/>
  <sheetViews>
    <sheetView showGridLines="0" tabSelected="1" zoomScale="80" zoomScaleNormal="80" workbookViewId="0"/>
  </sheetViews>
  <sheetFormatPr defaultRowHeight="15" x14ac:dyDescent="0.25"/>
  <cols>
    <col min="1" max="2" width="5.42578125" style="80" customWidth="1"/>
    <col min="3" max="3" width="34.7109375" style="152" customWidth="1"/>
    <col min="4" max="4" width="17.140625" style="81" customWidth="1"/>
    <col min="5" max="5" width="9.42578125" style="81" bestFit="1" customWidth="1"/>
    <col min="6" max="6" width="23.140625" style="81" customWidth="1"/>
    <col min="7" max="7" width="13.5703125" style="81" customWidth="1"/>
    <col min="8" max="8" width="27.28515625" style="81" customWidth="1"/>
    <col min="9" max="9" width="12.5703125" style="81" customWidth="1"/>
    <col min="10" max="11" width="15.140625" style="81" customWidth="1"/>
    <col min="12" max="15" width="17.5703125" style="81" customWidth="1"/>
    <col min="16" max="16" width="17.5703125" style="196" customWidth="1"/>
    <col min="17" max="17" width="15.42578125" style="81" customWidth="1"/>
    <col min="18" max="18" width="25.5703125" style="81" bestFit="1" customWidth="1"/>
    <col min="19" max="19" width="14.85546875" style="81" bestFit="1" customWidth="1"/>
    <col min="20" max="20" width="9.140625" style="80"/>
    <col min="21" max="22" width="18.5703125" style="80" customWidth="1"/>
    <col min="23" max="16384" width="9.140625" style="80"/>
  </cols>
  <sheetData>
    <row r="1" spans="2:19" s="164" customFormat="1" ht="21.75" customHeight="1" thickBot="1" x14ac:dyDescent="0.3">
      <c r="C1" s="349"/>
      <c r="D1" s="347"/>
      <c r="E1" s="347"/>
      <c r="F1" s="347"/>
      <c r="G1" s="347"/>
      <c r="H1" s="347"/>
      <c r="I1" s="347"/>
      <c r="J1" s="347"/>
      <c r="K1" s="347"/>
      <c r="L1" s="347"/>
      <c r="M1" s="347"/>
      <c r="N1" s="347"/>
      <c r="O1" s="347"/>
      <c r="P1" s="348"/>
      <c r="Q1" s="347"/>
      <c r="R1" s="347"/>
      <c r="S1" s="347"/>
    </row>
    <row r="2" spans="2:19" ht="15.75" thickBot="1" x14ac:dyDescent="0.3">
      <c r="C2" s="401" t="s">
        <v>249</v>
      </c>
      <c r="D2" s="402">
        <f>D!D2</f>
        <v>45016</v>
      </c>
      <c r="E2" s="80"/>
      <c r="F2" s="80"/>
      <c r="G2" s="80"/>
      <c r="H2" s="80"/>
      <c r="I2" s="80"/>
      <c r="J2" s="80"/>
      <c r="K2" s="80"/>
      <c r="L2" s="80"/>
      <c r="M2" s="80"/>
      <c r="N2" s="80"/>
      <c r="O2" s="80"/>
      <c r="P2" s="80"/>
      <c r="Q2" s="80"/>
      <c r="R2" s="80"/>
    </row>
    <row r="3" spans="2:19" s="164" customFormat="1" ht="21.75" customHeight="1" thickBot="1" x14ac:dyDescent="0.3">
      <c r="C3" s="349"/>
      <c r="D3" s="347"/>
      <c r="E3" s="347"/>
      <c r="F3" s="347"/>
      <c r="G3" s="347"/>
      <c r="H3" s="347"/>
      <c r="I3" s="347"/>
      <c r="J3" s="347"/>
      <c r="K3" s="347"/>
      <c r="L3" s="347"/>
      <c r="M3" s="347"/>
      <c r="N3" s="347"/>
      <c r="O3" s="347"/>
      <c r="P3" s="348"/>
      <c r="Q3" s="347"/>
      <c r="R3" s="347"/>
      <c r="S3" s="347"/>
    </row>
    <row r="4" spans="2:19" x14ac:dyDescent="0.25">
      <c r="B4" s="154"/>
      <c r="C4" s="155"/>
      <c r="D4" s="156"/>
      <c r="E4" s="156"/>
      <c r="F4" s="156"/>
      <c r="G4" s="156"/>
      <c r="H4" s="156"/>
      <c r="I4" s="156"/>
      <c r="J4" s="156"/>
      <c r="K4" s="156"/>
      <c r="L4" s="156"/>
      <c r="M4" s="156"/>
      <c r="N4" s="156"/>
      <c r="O4" s="156"/>
      <c r="P4" s="351"/>
      <c r="Q4" s="156"/>
      <c r="R4" s="156"/>
      <c r="S4" s="566"/>
    </row>
    <row r="5" spans="2:19" x14ac:dyDescent="0.25">
      <c r="B5" s="165"/>
      <c r="C5" s="465"/>
      <c r="D5" s="317"/>
      <c r="E5" s="317"/>
      <c r="F5" s="317"/>
      <c r="G5" s="317"/>
      <c r="H5" s="317"/>
      <c r="I5" s="317"/>
      <c r="J5" s="317"/>
      <c r="K5" s="317"/>
      <c r="L5" s="317"/>
      <c r="M5" s="317"/>
      <c r="N5" s="317"/>
      <c r="O5" s="317"/>
      <c r="P5" s="203"/>
      <c r="Q5" s="317"/>
      <c r="R5" s="317"/>
      <c r="S5" s="535"/>
    </row>
    <row r="6" spans="2:19" s="161" customFormat="1" ht="60" customHeight="1" x14ac:dyDescent="0.25">
      <c r="B6" s="159"/>
      <c r="C6" s="57" t="s">
        <v>62</v>
      </c>
      <c r="D6" s="1" t="s">
        <v>33</v>
      </c>
      <c r="E6" s="1" t="s">
        <v>100</v>
      </c>
      <c r="F6" s="1" t="s">
        <v>40</v>
      </c>
      <c r="G6" s="1" t="s">
        <v>193</v>
      </c>
      <c r="H6" s="1" t="s">
        <v>45</v>
      </c>
      <c r="I6" s="1" t="s">
        <v>64</v>
      </c>
      <c r="J6" s="1" t="s">
        <v>41</v>
      </c>
      <c r="K6" s="1" t="s">
        <v>2</v>
      </c>
      <c r="L6" s="1" t="s">
        <v>60</v>
      </c>
      <c r="M6" s="1" t="s">
        <v>42</v>
      </c>
      <c r="N6" s="1" t="s">
        <v>36</v>
      </c>
      <c r="O6" s="1" t="s">
        <v>278</v>
      </c>
      <c r="P6" s="1" t="s">
        <v>43</v>
      </c>
      <c r="Q6" s="1" t="s">
        <v>425</v>
      </c>
      <c r="R6" s="1" t="s">
        <v>61</v>
      </c>
      <c r="S6" s="626"/>
    </row>
    <row r="7" spans="2:19" s="164" customFormat="1" x14ac:dyDescent="0.25">
      <c r="B7" s="162"/>
      <c r="C7" s="59"/>
      <c r="D7" s="62"/>
      <c r="E7" s="62"/>
      <c r="F7" s="62"/>
      <c r="G7" s="62" t="s">
        <v>129</v>
      </c>
      <c r="H7" s="62"/>
      <c r="I7" s="62" t="s">
        <v>64</v>
      </c>
      <c r="J7" s="62" t="s">
        <v>456</v>
      </c>
      <c r="K7" s="62" t="s">
        <v>456</v>
      </c>
      <c r="L7" s="62" t="s">
        <v>456</v>
      </c>
      <c r="M7" s="62" t="s">
        <v>456</v>
      </c>
      <c r="N7" s="62" t="s">
        <v>456</v>
      </c>
      <c r="O7" s="62" t="s">
        <v>456</v>
      </c>
      <c r="P7" s="66" t="s">
        <v>457</v>
      </c>
      <c r="Q7" s="62" t="s">
        <v>64</v>
      </c>
      <c r="R7" s="62"/>
      <c r="S7" s="627"/>
    </row>
    <row r="8" spans="2:19" s="164" customFormat="1" x14ac:dyDescent="0.25">
      <c r="B8" s="162"/>
      <c r="C8" s="59"/>
      <c r="D8" s="62"/>
      <c r="E8" s="62"/>
      <c r="F8" s="62"/>
      <c r="G8" s="62"/>
      <c r="H8" s="62"/>
      <c r="I8" s="62"/>
      <c r="J8" s="62"/>
      <c r="K8" s="62"/>
      <c r="L8" s="62"/>
      <c r="M8" s="62"/>
      <c r="N8" s="62"/>
      <c r="O8" s="62"/>
      <c r="P8" s="66"/>
      <c r="Q8" s="62"/>
      <c r="R8" s="62"/>
      <c r="S8" s="627"/>
    </row>
    <row r="9" spans="2:19" x14ac:dyDescent="0.25">
      <c r="B9" s="165"/>
      <c r="C9" s="70" t="s">
        <v>37</v>
      </c>
      <c r="D9" s="56"/>
      <c r="E9" s="56"/>
      <c r="F9" s="56"/>
      <c r="G9" s="56"/>
      <c r="H9" s="56"/>
      <c r="I9" s="56"/>
      <c r="J9" s="56"/>
      <c r="K9" s="56"/>
      <c r="L9" s="56"/>
      <c r="M9" s="56"/>
      <c r="N9" s="56"/>
      <c r="O9" s="56"/>
      <c r="P9" s="56"/>
      <c r="Q9" s="56"/>
      <c r="R9" s="223"/>
      <c r="S9" s="535"/>
    </row>
    <row r="10" spans="2:19" x14ac:dyDescent="0.25">
      <c r="B10" s="165"/>
      <c r="C10" s="58" t="s">
        <v>57</v>
      </c>
      <c r="D10" s="56" t="s">
        <v>126</v>
      </c>
      <c r="E10" s="56" t="s">
        <v>102</v>
      </c>
      <c r="F10" s="56" t="s">
        <v>9</v>
      </c>
      <c r="G10" s="60">
        <v>2019</v>
      </c>
      <c r="H10" s="56" t="s">
        <v>116</v>
      </c>
      <c r="I10" s="226">
        <f>'7. %'!F10</f>
        <v>5.6999998161926343E-2</v>
      </c>
      <c r="J10" s="71">
        <v>65</v>
      </c>
      <c r="K10" s="71">
        <f ca="1">-SUMIF('CF (Equity, Debt)'!$C$3:$K$35,'Summary | 01 '!C10,'CF (Equity, Debt)'!$E$3:$E$35)</f>
        <v>65</v>
      </c>
      <c r="L10" s="71">
        <v>0</v>
      </c>
      <c r="M10" s="71">
        <f ca="1">SUMIF('CF (Equity, Debt)'!$C$3:$K$35,'Summary | 01 '!C10,'CF (Equity, Debt)'!$F$3:$F$35)</f>
        <v>0</v>
      </c>
      <c r="N10" s="71">
        <f>VLOOKUP(C10,NAV!$B$4:$E$42,4,0)</f>
        <v>0</v>
      </c>
      <c r="O10" s="71">
        <f ca="1">N10+M10-K10</f>
        <v>-65</v>
      </c>
      <c r="P10" s="64">
        <f t="shared" ref="P10:P22" ca="1" si="0">(M10+N10)/K10</f>
        <v>0</v>
      </c>
      <c r="Q10" s="226" t="str">
        <f>VLOOKUP(C10,'1. IRR Equity'!$AC$12:$AL$28,7,0)</f>
        <v>NM</v>
      </c>
      <c r="R10" s="223"/>
      <c r="S10" s="535"/>
    </row>
    <row r="11" spans="2:19" x14ac:dyDescent="0.25">
      <c r="B11" s="165"/>
      <c r="C11" s="58" t="s">
        <v>0</v>
      </c>
      <c r="D11" s="56" t="s">
        <v>121</v>
      </c>
      <c r="E11" s="56" t="s">
        <v>102</v>
      </c>
      <c r="F11" s="56" t="s">
        <v>9</v>
      </c>
      <c r="G11" s="60">
        <v>2019</v>
      </c>
      <c r="H11" s="56" t="s">
        <v>111</v>
      </c>
      <c r="I11" s="226">
        <f>'7. %'!F11</f>
        <v>0.14000000235296001</v>
      </c>
      <c r="J11" s="71">
        <v>8</v>
      </c>
      <c r="K11" s="71">
        <f ca="1">-SUMIF('CF (Equity, Debt)'!$C$3:$K$35,'Summary | 01 '!C11,'CF (Equity, Debt)'!$E$3:$E$35)</f>
        <v>8</v>
      </c>
      <c r="L11" s="71">
        <v>0</v>
      </c>
      <c r="M11" s="71">
        <f ca="1">SUMIF('CF (Equity, Debt)'!$C$3:$K$35,'Summary | 01 '!C11,'CF (Equity, Debt)'!$F$3:$F$35)</f>
        <v>0</v>
      </c>
      <c r="N11" s="71">
        <f>VLOOKUP(C11,NAV!$B$4:$E$42,4,0)</f>
        <v>3.1</v>
      </c>
      <c r="O11" s="71">
        <f t="shared" ref="O11:O26" ca="1" si="1">N11+M11-K11</f>
        <v>-4.9000000000000004</v>
      </c>
      <c r="P11" s="64">
        <f t="shared" ca="1" si="0"/>
        <v>0.38750000000000001</v>
      </c>
      <c r="Q11" s="226">
        <f>VLOOKUP(C11,'1. IRR Equity'!$AC$12:$AL$28,7,0)</f>
        <v>-0.21191685423254969</v>
      </c>
      <c r="R11" s="223"/>
      <c r="S11" s="535"/>
    </row>
    <row r="12" spans="2:19" ht="17.25" x14ac:dyDescent="0.25">
      <c r="B12" s="165"/>
      <c r="C12" s="58" t="s">
        <v>48</v>
      </c>
      <c r="D12" s="56" t="s">
        <v>121</v>
      </c>
      <c r="E12" s="56" t="s">
        <v>101</v>
      </c>
      <c r="F12" s="56" t="s">
        <v>9</v>
      </c>
      <c r="G12" s="60">
        <v>2019</v>
      </c>
      <c r="H12" s="56" t="s">
        <v>118</v>
      </c>
      <c r="I12" s="226">
        <f>'7. %'!F12</f>
        <v>8.5025484621212399E-2</v>
      </c>
      <c r="J12" s="71">
        <v>10</v>
      </c>
      <c r="K12" s="71">
        <f ca="1">-SUMIF('CF (Equity, Debt)'!$C$3:$K$35,'Summary | 01 '!C12,'CF (Equity, Debt)'!$E$3:$E$35)</f>
        <v>10</v>
      </c>
      <c r="L12" s="71">
        <v>0</v>
      </c>
      <c r="M12" s="71">
        <f ca="1">SUMIF('CF (Equity, Debt)'!$C$3:$K$35,'Summary | 01 '!C12,'CF (Equity, Debt)'!$F$3:$F$35)</f>
        <v>0</v>
      </c>
      <c r="N12" s="71">
        <f>VLOOKUP(C12,NAV!$B$4:$E$42,4,0)</f>
        <v>78.082229999999996</v>
      </c>
      <c r="O12" s="71">
        <f t="shared" ca="1" si="1"/>
        <v>68.082229999999996</v>
      </c>
      <c r="P12" s="64">
        <f t="shared" ca="1" si="0"/>
        <v>7.8082229999999999</v>
      </c>
      <c r="Q12" s="226">
        <f>VLOOKUP(C12,'1. IRR Equity'!$AC$12:$AL$28,7,0)</f>
        <v>0.78328729867935198</v>
      </c>
      <c r="R12" s="223" t="s">
        <v>207</v>
      </c>
      <c r="S12" s="535"/>
    </row>
    <row r="13" spans="2:19" x14ac:dyDescent="0.25">
      <c r="B13" s="165"/>
      <c r="C13" s="58" t="s">
        <v>49</v>
      </c>
      <c r="D13" s="56" t="s">
        <v>123</v>
      </c>
      <c r="E13" s="56" t="s">
        <v>101</v>
      </c>
      <c r="F13" s="56" t="s">
        <v>9</v>
      </c>
      <c r="G13" s="60">
        <v>2020</v>
      </c>
      <c r="H13" s="56" t="s">
        <v>54</v>
      </c>
      <c r="I13" s="226" t="str">
        <f>'7. %'!F13</f>
        <v>n/a</v>
      </c>
      <c r="J13" s="71">
        <v>2.5</v>
      </c>
      <c r="K13" s="71">
        <f ca="1">-SUMIF('CF (Equity, Debt)'!$C$3:$K$35,'Summary | 01 '!C13,'CF (Equity, Debt)'!$E$3:$E$35)</f>
        <v>2.5</v>
      </c>
      <c r="L13" s="71">
        <v>0</v>
      </c>
      <c r="M13" s="71">
        <f ca="1">SUMIF('CF (Equity, Debt)'!$C$3:$K$35,'Summary | 01 '!C13,'CF (Equity, Debt)'!$F$3:$F$35)</f>
        <v>5</v>
      </c>
      <c r="N13" s="71">
        <f>VLOOKUP(C13,NAV!$B$4:$E$42,4,0)</f>
        <v>0</v>
      </c>
      <c r="O13" s="71">
        <f t="shared" ca="1" si="1"/>
        <v>2.5</v>
      </c>
      <c r="P13" s="64">
        <f t="shared" ca="1" si="0"/>
        <v>2</v>
      </c>
      <c r="Q13" s="226">
        <f>VLOOKUP(C13,'1. IRR Equity'!$AC$12:$AL$28,7,0)</f>
        <v>0.36091765761375438</v>
      </c>
      <c r="R13" s="223"/>
      <c r="S13" s="535"/>
    </row>
    <row r="14" spans="2:19" x14ac:dyDescent="0.25">
      <c r="B14" s="165"/>
      <c r="C14" s="58" t="s">
        <v>47</v>
      </c>
      <c r="D14" s="56" t="s">
        <v>121</v>
      </c>
      <c r="E14" s="56" t="s">
        <v>103</v>
      </c>
      <c r="F14" s="56" t="s">
        <v>9</v>
      </c>
      <c r="G14" s="60">
        <v>2020</v>
      </c>
      <c r="H14" s="56" t="s">
        <v>110</v>
      </c>
      <c r="I14" s="226">
        <f>'7. %'!F14</f>
        <v>9.7394820318943254E-2</v>
      </c>
      <c r="J14" s="71">
        <v>90</v>
      </c>
      <c r="K14" s="71">
        <f ca="1">-SUMIF('CF (Equity, Debt)'!$C$3:$K$35,'Summary | 01 '!C14,'CF (Equity, Debt)'!$E$3:$E$35)</f>
        <v>90</v>
      </c>
      <c r="L14" s="71">
        <v>0</v>
      </c>
      <c r="M14" s="71">
        <f ca="1">SUMIF('CF (Equity, Debt)'!$C$3:$K$35,'Summary | 01 '!C14,'CF (Equity, Debt)'!$F$3:$F$35)</f>
        <v>0</v>
      </c>
      <c r="N14" s="71">
        <f>VLOOKUP(C14,NAV!$B$4:$E$42,4,0)</f>
        <v>91.001540300000002</v>
      </c>
      <c r="O14" s="71">
        <f t="shared" ca="1" si="1"/>
        <v>1.001540300000002</v>
      </c>
      <c r="P14" s="64">
        <f t="shared" ca="1" si="0"/>
        <v>1.0111282255555556</v>
      </c>
      <c r="Q14" s="226">
        <f>VLOOKUP(C14,'1. IRR Equity'!$AC$12:$AL$28,7,0)</f>
        <v>3.8127034902572634E-3</v>
      </c>
      <c r="R14" s="223"/>
      <c r="S14" s="535"/>
    </row>
    <row r="15" spans="2:19" x14ac:dyDescent="0.25">
      <c r="B15" s="165"/>
      <c r="C15" s="58" t="s">
        <v>133</v>
      </c>
      <c r="D15" s="56" t="s">
        <v>121</v>
      </c>
      <c r="E15" s="56" t="s">
        <v>103</v>
      </c>
      <c r="F15" s="56" t="s">
        <v>9</v>
      </c>
      <c r="G15" s="60">
        <v>2020</v>
      </c>
      <c r="H15" s="56" t="s">
        <v>55</v>
      </c>
      <c r="I15" s="226">
        <f>'7. %'!F15</f>
        <v>5.3819975256209518E-2</v>
      </c>
      <c r="J15" s="71">
        <v>141.4702596743665</v>
      </c>
      <c r="K15" s="71">
        <f ca="1">-SUMIF('CF (Equity, Debt)'!$C$3:$K$35,'Summary | 01 '!C15,'CF (Equity, Debt)'!$E$3:$E$35)</f>
        <v>141.4702596743665</v>
      </c>
      <c r="L15" s="71">
        <v>0</v>
      </c>
      <c r="M15" s="71">
        <f ca="1">SUMIF('CF (Equity, Debt)'!$C$3:$K$35,'Summary | 01 '!C15,'CF (Equity, Debt)'!$F$3:$F$35)</f>
        <v>0</v>
      </c>
      <c r="N15" s="71">
        <f>VLOOKUP(C15,NAV!$B$4:$E$42,4,0)</f>
        <v>122.38018713359999</v>
      </c>
      <c r="O15" s="71">
        <f t="shared" ca="1" si="1"/>
        <v>-19.090072540766513</v>
      </c>
      <c r="P15" s="64">
        <f t="shared" ca="1" si="0"/>
        <v>0.86505946490302854</v>
      </c>
      <c r="Q15" s="226">
        <f>VLOOKUP(C15,'1. IRR Equity'!$AC$12:$AL$28,7,0)</f>
        <v>-5.0375112891197213E-2</v>
      </c>
      <c r="R15" s="223"/>
      <c r="S15" s="535"/>
    </row>
    <row r="16" spans="2:19" x14ac:dyDescent="0.25">
      <c r="B16" s="165"/>
      <c r="C16" s="58" t="s">
        <v>11</v>
      </c>
      <c r="D16" s="56" t="s">
        <v>121</v>
      </c>
      <c r="E16" s="56" t="s">
        <v>102</v>
      </c>
      <c r="F16" s="56" t="s">
        <v>9</v>
      </c>
      <c r="G16" s="60">
        <v>2020</v>
      </c>
      <c r="H16" s="56" t="s">
        <v>115</v>
      </c>
      <c r="I16" s="226">
        <f>'7. %'!F16</f>
        <v>0.14380000000000001</v>
      </c>
      <c r="J16" s="71">
        <v>60</v>
      </c>
      <c r="K16" s="71">
        <f ca="1">-SUMIF('CF (Equity, Debt)'!$C$3:$K$35,'Summary | 01 '!C16,'CF (Equity, Debt)'!$E$3:$E$35)</f>
        <v>60</v>
      </c>
      <c r="L16" s="71">
        <v>0</v>
      </c>
      <c r="M16" s="71">
        <f ca="1">SUMIF('CF (Equity, Debt)'!$C$3:$K$35,'Summary | 01 '!C16,'CF (Equity, Debt)'!$F$3:$F$35)</f>
        <v>0</v>
      </c>
      <c r="N16" s="71">
        <f>VLOOKUP(C16,NAV!$B$4:$E$42,4,0)</f>
        <v>119.24980363636364</v>
      </c>
      <c r="O16" s="71">
        <f t="shared" ca="1" si="1"/>
        <v>59.249803636363637</v>
      </c>
      <c r="P16" s="64">
        <f t="shared" ca="1" si="0"/>
        <v>1.9874967272727273</v>
      </c>
      <c r="Q16" s="226">
        <f>VLOOKUP(C16,'1. IRR Equity'!$AC$12:$AL$28,7,0)</f>
        <v>0.3430626928806304</v>
      </c>
      <c r="R16" s="223"/>
      <c r="S16" s="535"/>
    </row>
    <row r="17" spans="2:19" ht="17.25" x14ac:dyDescent="0.25">
      <c r="B17" s="165"/>
      <c r="C17" s="58" t="s">
        <v>24</v>
      </c>
      <c r="D17" s="56" t="s">
        <v>121</v>
      </c>
      <c r="E17" s="56" t="s">
        <v>101</v>
      </c>
      <c r="F17" s="56" t="s">
        <v>466</v>
      </c>
      <c r="G17" s="60">
        <v>2021</v>
      </c>
      <c r="H17" s="56" t="s">
        <v>59</v>
      </c>
      <c r="I17" s="226">
        <f>'7. %'!F17</f>
        <v>0.03</v>
      </c>
      <c r="J17" s="71">
        <v>20</v>
      </c>
      <c r="K17" s="71">
        <f ca="1">-SUMIF('CF (Equity, Debt)'!$C$3:$K$35,'Summary | 01 '!C17,'CF (Equity, Debt)'!$E$3:$E$35)</f>
        <v>20</v>
      </c>
      <c r="L17" s="71">
        <v>0</v>
      </c>
      <c r="M17" s="71">
        <f ca="1">SUMIF('CF (Equity, Debt)'!$C$3:$K$35,'Summary | 01 '!C17,'CF (Equity, Debt)'!$F$3:$F$35)</f>
        <v>0</v>
      </c>
      <c r="N17" s="71">
        <f>VLOOKUP(C17,NAV!$B$4:$E$42,4,0)</f>
        <v>20</v>
      </c>
      <c r="O17" s="71">
        <f t="shared" ca="1" si="1"/>
        <v>0</v>
      </c>
      <c r="P17" s="64">
        <f t="shared" ca="1" si="0"/>
        <v>1</v>
      </c>
      <c r="Q17" s="226">
        <f>VLOOKUP(C17,'1. IRR Equity'!$AC$12:$AL$28,7,0)</f>
        <v>2.9802322387695314E-9</v>
      </c>
      <c r="R17" s="223"/>
      <c r="S17" s="535"/>
    </row>
    <row r="18" spans="2:19" x14ac:dyDescent="0.25">
      <c r="B18" s="165"/>
      <c r="C18" s="58" t="s">
        <v>50</v>
      </c>
      <c r="D18" s="56" t="s">
        <v>121</v>
      </c>
      <c r="E18" s="56" t="s">
        <v>109</v>
      </c>
      <c r="F18" s="56" t="s">
        <v>9</v>
      </c>
      <c r="G18" s="60">
        <v>2021</v>
      </c>
      <c r="H18" s="56" t="s">
        <v>112</v>
      </c>
      <c r="I18" s="226">
        <f>'7. %'!F18</f>
        <v>0.01</v>
      </c>
      <c r="J18" s="71">
        <v>40</v>
      </c>
      <c r="K18" s="71">
        <f ca="1">-SUMIF('CF (Equity, Debt)'!$C$3:$K$35,'Summary | 01 '!C18,'CF (Equity, Debt)'!$E$3:$E$35)</f>
        <v>39.999983359999995</v>
      </c>
      <c r="L18" s="71">
        <v>0</v>
      </c>
      <c r="M18" s="71">
        <f ca="1">SUMIF('CF (Equity, Debt)'!$C$3:$K$35,'Summary | 01 '!C18,'CF (Equity, Debt)'!$F$3:$F$35)</f>
        <v>0</v>
      </c>
      <c r="N18" s="71">
        <f>VLOOKUP(C18,NAV!$B$4:$E$42,4,0)</f>
        <v>39.999983359999995</v>
      </c>
      <c r="O18" s="71">
        <f t="shared" ca="1" si="1"/>
        <v>0</v>
      </c>
      <c r="P18" s="64">
        <f t="shared" ca="1" si="0"/>
        <v>1</v>
      </c>
      <c r="Q18" s="226">
        <f>VLOOKUP(C18,'1. IRR Equity'!$AC$12:$AL$28,7,0)</f>
        <v>2.9802322387695314E-9</v>
      </c>
      <c r="R18" s="223"/>
      <c r="S18" s="535"/>
    </row>
    <row r="19" spans="2:19" x14ac:dyDescent="0.25">
      <c r="B19" s="165"/>
      <c r="C19" s="58" t="s">
        <v>51</v>
      </c>
      <c r="D19" s="56" t="s">
        <v>121</v>
      </c>
      <c r="E19" s="56" t="s">
        <v>101</v>
      </c>
      <c r="F19" s="56" t="s">
        <v>9</v>
      </c>
      <c r="G19" s="60">
        <v>2021</v>
      </c>
      <c r="H19" s="56" t="s">
        <v>117</v>
      </c>
      <c r="I19" s="226">
        <f>'7. %'!F19</f>
        <v>6.8571428571428575E-2</v>
      </c>
      <c r="J19" s="71">
        <v>3</v>
      </c>
      <c r="K19" s="71">
        <f ca="1">-SUMIF('CF (Equity, Debt)'!$C$3:$K$35,'Summary | 01 '!C19,'CF (Equity, Debt)'!$E$3:$E$35)</f>
        <v>3</v>
      </c>
      <c r="L19" s="71">
        <v>0</v>
      </c>
      <c r="M19" s="71">
        <f ca="1">SUMIF('CF (Equity, Debt)'!$C$3:$K$35,'Summary | 01 '!C19,'CF (Equity, Debt)'!$F$3:$F$35)</f>
        <v>0</v>
      </c>
      <c r="N19" s="71">
        <f>VLOOKUP(C19,NAV!$B$4:$E$42,4,0)</f>
        <v>3</v>
      </c>
      <c r="O19" s="71">
        <f t="shared" ca="1" si="1"/>
        <v>0</v>
      </c>
      <c r="P19" s="64">
        <f t="shared" ca="1" si="0"/>
        <v>1</v>
      </c>
      <c r="Q19" s="226">
        <f>VLOOKUP(C19,'1. IRR Equity'!$AC$12:$AL$28,7,0)</f>
        <v>2.9802322387695314E-9</v>
      </c>
      <c r="R19" s="223"/>
      <c r="S19" s="535"/>
    </row>
    <row r="20" spans="2:19" x14ac:dyDescent="0.25">
      <c r="B20" s="165"/>
      <c r="C20" s="58" t="s">
        <v>52</v>
      </c>
      <c r="D20" s="56" t="s">
        <v>122</v>
      </c>
      <c r="E20" s="56" t="s">
        <v>109</v>
      </c>
      <c r="F20" s="56" t="s">
        <v>9</v>
      </c>
      <c r="G20" s="60">
        <v>2021</v>
      </c>
      <c r="H20" s="56" t="s">
        <v>119</v>
      </c>
      <c r="I20" s="226">
        <f>'7. %'!F20</f>
        <v>1.1489405791845828E-2</v>
      </c>
      <c r="J20" s="71">
        <v>5.0278211945578235</v>
      </c>
      <c r="K20" s="71">
        <f ca="1">-SUMIF('CF (Equity, Debt)'!$C$3:$K$35,'Summary | 01 '!C20,'CF (Equity, Debt)'!$E$3:$E$35)</f>
        <v>5.0237201984774336</v>
      </c>
      <c r="L20" s="71">
        <v>0</v>
      </c>
      <c r="M20" s="71">
        <f ca="1">SUMIF('CF (Equity, Debt)'!$C$3:$K$35,'Summary | 01 '!C20,'CF (Equity, Debt)'!$F$3:$F$35)</f>
        <v>0</v>
      </c>
      <c r="N20" s="71">
        <f>VLOOKUP(C20,NAV!$B$4:$E$42,4,0)</f>
        <v>5.0237201984774336</v>
      </c>
      <c r="O20" s="71">
        <f t="shared" ca="1" si="1"/>
        <v>0</v>
      </c>
      <c r="P20" s="64">
        <f t="shared" ca="1" si="0"/>
        <v>1</v>
      </c>
      <c r="Q20" s="226">
        <f>VLOOKUP(C20,'1. IRR Equity'!$AC$12:$AL$28,7,0)</f>
        <v>2.9802322387695314E-9</v>
      </c>
      <c r="R20" s="223"/>
      <c r="S20" s="535"/>
    </row>
    <row r="21" spans="2:19" ht="17.25" x14ac:dyDescent="0.25">
      <c r="B21" s="165"/>
      <c r="C21" s="58" t="s">
        <v>113</v>
      </c>
      <c r="D21" s="56" t="s">
        <v>121</v>
      </c>
      <c r="E21" s="56" t="s">
        <v>102</v>
      </c>
      <c r="F21" s="56" t="s">
        <v>467</v>
      </c>
      <c r="G21" s="60">
        <v>2022</v>
      </c>
      <c r="H21" s="56" t="s">
        <v>120</v>
      </c>
      <c r="I21" s="226">
        <f>'7. %'!F21</f>
        <v>0.05</v>
      </c>
      <c r="J21" s="71">
        <v>493.5</v>
      </c>
      <c r="K21" s="71">
        <f ca="1">-SUMIF('CF (Equity, Debt)'!$C$3:$K$35,'Summary | 01 '!C21,'CF (Equity, Debt)'!$E$3:$E$35)</f>
        <v>493.50095619999996</v>
      </c>
      <c r="L21" s="71">
        <v>0</v>
      </c>
      <c r="M21" s="71">
        <f ca="1">SUMIF('CF (Equity, Debt)'!$C$3:$K$35,'Summary | 01 '!C21,'CF (Equity, Debt)'!$F$3:$F$35)</f>
        <v>0</v>
      </c>
      <c r="N21" s="71">
        <f>VLOOKUP(C21,NAV!$B$4:$E$42,4,0)</f>
        <v>424.06661818181823</v>
      </c>
      <c r="O21" s="71">
        <f t="shared" ca="1" si="1"/>
        <v>-69.434338018181734</v>
      </c>
      <c r="P21" s="64">
        <f t="shared" ca="1" si="0"/>
        <v>0.85930252586979339</v>
      </c>
      <c r="Q21" s="226" t="str">
        <f>VLOOKUP(C21,'1. IRR Equity'!$AC$12:$AL$28,7,0)</f>
        <v>NM</v>
      </c>
      <c r="R21" s="223"/>
      <c r="S21" s="535"/>
    </row>
    <row r="22" spans="2:19" ht="17.25" x14ac:dyDescent="0.25">
      <c r="B22" s="165"/>
      <c r="C22" s="58" t="s">
        <v>25</v>
      </c>
      <c r="D22" s="56" t="s">
        <v>121</v>
      </c>
      <c r="E22" s="56" t="s">
        <v>104</v>
      </c>
      <c r="F22" s="56" t="s">
        <v>13</v>
      </c>
      <c r="G22" s="60">
        <v>2022</v>
      </c>
      <c r="H22" s="56" t="s">
        <v>120</v>
      </c>
      <c r="I22" s="226">
        <f>'7. %'!F22</f>
        <v>9.4299999999999995E-2</v>
      </c>
      <c r="J22" s="71">
        <v>300</v>
      </c>
      <c r="K22" s="71">
        <f ca="1">-SUMIF('CF (Equity, Debt)'!$C$3:$K$35,'Summary | 01 '!C22,'CF (Equity, Debt)'!$E$3:$E$35)</f>
        <v>300</v>
      </c>
      <c r="L22" s="71">
        <f>0</f>
        <v>0</v>
      </c>
      <c r="M22" s="71">
        <f ca="1">SUMIF('CF (Equity, Debt)'!$C$3:$K$35,'Summary | 01 '!C22,'CF (Equity, Debt)'!$F$3:$F$35)</f>
        <v>0</v>
      </c>
      <c r="N22" s="71">
        <f>VLOOKUP(C22,NAV!$B$4:$E$42,4,0)</f>
        <v>300</v>
      </c>
      <c r="O22" s="71">
        <f t="shared" ca="1" si="1"/>
        <v>0</v>
      </c>
      <c r="P22" s="64">
        <f t="shared" ca="1" si="0"/>
        <v>1</v>
      </c>
      <c r="Q22" s="226" t="str">
        <f>VLOOKUP(C22,'1. IRR Equity'!$AC$12:$AL$28,7,0)</f>
        <v>NM</v>
      </c>
      <c r="R22" s="223" t="s">
        <v>208</v>
      </c>
      <c r="S22" s="535"/>
    </row>
    <row r="23" spans="2:19" ht="17.25" x14ac:dyDescent="0.25">
      <c r="B23" s="165"/>
      <c r="C23" s="58" t="s">
        <v>134</v>
      </c>
      <c r="D23" s="56" t="s">
        <v>121</v>
      </c>
      <c r="E23" s="56" t="s">
        <v>103</v>
      </c>
      <c r="F23" s="56" t="s">
        <v>13</v>
      </c>
      <c r="G23" s="60">
        <v>2022</v>
      </c>
      <c r="H23" s="56" t="s">
        <v>55</v>
      </c>
      <c r="I23" s="226">
        <f>'7. %'!F23</f>
        <v>9.9316564009108654E-2</v>
      </c>
      <c r="J23" s="71">
        <f ca="1">K23</f>
        <v>24.53125</v>
      </c>
      <c r="K23" s="71">
        <f ca="1">-SUMIF('CF (Equity, Debt)'!$C$3:$K$35,'Summary | 01 '!C23,'CF (Equity, Debt)'!$E$3:$E$35)</f>
        <v>24.53125</v>
      </c>
      <c r="L23" s="71">
        <f ca="1">J23-K23</f>
        <v>0</v>
      </c>
      <c r="M23" s="71">
        <f ca="1">SUMIF('CF (Equity, Debt)'!$C$3:$K$35,'Summary | 01 '!C23,'CF (Equity, Debt)'!$F$3:$F$35)</f>
        <v>0</v>
      </c>
      <c r="N23" s="71">
        <f>VLOOKUP(C23,NAV!$B$4:$E$42,4,0)</f>
        <v>8.3900321371999986</v>
      </c>
      <c r="O23" s="71">
        <f t="shared" ca="1" si="1"/>
        <v>-16.141217862800001</v>
      </c>
      <c r="P23" s="64">
        <f ca="1">(M23+N23)/K23</f>
        <v>0.34201404890496812</v>
      </c>
      <c r="Q23" s="226" t="str">
        <f>VLOOKUP(C23,'1. IRR Equity'!$AC$12:$AL$28,7,0)</f>
        <v>NM</v>
      </c>
      <c r="R23" s="223" t="s">
        <v>233</v>
      </c>
      <c r="S23" s="535"/>
    </row>
    <row r="24" spans="2:19" ht="17.25" x14ac:dyDescent="0.25">
      <c r="B24" s="165"/>
      <c r="C24" s="58" t="s">
        <v>44</v>
      </c>
      <c r="D24" s="56" t="s">
        <v>121</v>
      </c>
      <c r="E24" s="56" t="s">
        <v>102</v>
      </c>
      <c r="F24" s="56" t="s">
        <v>469</v>
      </c>
      <c r="G24" s="60">
        <v>2022</v>
      </c>
      <c r="H24" s="56" t="s">
        <v>120</v>
      </c>
      <c r="I24" s="226">
        <f>'7. %'!F24</f>
        <v>1.8823528000000003E-2</v>
      </c>
      <c r="J24" s="71">
        <f ca="1">K24</f>
        <v>800</v>
      </c>
      <c r="K24" s="71">
        <f ca="1">-SUMIF('CF (Equity, Debt)'!$C$3:$K$35,'Summary | 01 '!C24,'CF (Equity, Debt)'!$E$3:$E$35)</f>
        <v>800</v>
      </c>
      <c r="L24" s="71">
        <f ca="1">J24-K24</f>
        <v>0</v>
      </c>
      <c r="M24" s="71">
        <f ca="1">SUMIF('CF (Equity, Debt)'!$C$3:$K$35,'Summary | 01 '!C24,'CF (Equity, Debt)'!$F$3:$F$35)</f>
        <v>0</v>
      </c>
      <c r="N24" s="71">
        <f>VLOOKUP(C24,NAV!$B$4:$E$42,4,0)</f>
        <v>848.76998981818178</v>
      </c>
      <c r="O24" s="71">
        <f t="shared" ca="1" si="1"/>
        <v>48.769989818181784</v>
      </c>
      <c r="P24" s="596">
        <f t="shared" ref="P24" ca="1" si="2">(M24+N24)/K24</f>
        <v>1.0609624872727272</v>
      </c>
      <c r="Q24" s="226" t="str">
        <f>VLOOKUP(C24,'1. IRR Equity'!$AC$12:$AL$28,7,0)</f>
        <v>NM</v>
      </c>
      <c r="R24" s="223"/>
      <c r="S24" s="535"/>
    </row>
    <row r="25" spans="2:19" x14ac:dyDescent="0.25">
      <c r="B25" s="165"/>
      <c r="C25" s="58" t="s">
        <v>418</v>
      </c>
      <c r="D25" s="56" t="s">
        <v>121</v>
      </c>
      <c r="E25" s="56" t="s">
        <v>104</v>
      </c>
      <c r="F25" s="56" t="s">
        <v>9</v>
      </c>
      <c r="G25" s="60">
        <v>2022</v>
      </c>
      <c r="H25" s="56" t="s">
        <v>54</v>
      </c>
      <c r="I25" s="226" t="s">
        <v>180</v>
      </c>
      <c r="J25" s="71">
        <v>15</v>
      </c>
      <c r="K25" s="71">
        <v>4.75</v>
      </c>
      <c r="L25" s="71">
        <f>J25-K25</f>
        <v>10.25</v>
      </c>
      <c r="M25" s="71">
        <v>0</v>
      </c>
      <c r="N25" s="71">
        <f>VLOOKUP(C25,NAV!$B$4:$E$42,4,0)</f>
        <v>4.75</v>
      </c>
      <c r="O25" s="71">
        <f t="shared" si="1"/>
        <v>0</v>
      </c>
      <c r="P25" s="64">
        <f t="shared" ref="P25:P26" si="3">(M25+N25)/K25</f>
        <v>1</v>
      </c>
      <c r="Q25" s="226" t="str">
        <f>VLOOKUP(C25,'1. IRR Equity'!$AC$12:$AL$28,7,0)</f>
        <v>NM</v>
      </c>
      <c r="R25" s="223"/>
      <c r="S25" s="535"/>
    </row>
    <row r="26" spans="2:19" ht="17.25" x14ac:dyDescent="0.25">
      <c r="B26" s="165"/>
      <c r="C26" s="58" t="s">
        <v>458</v>
      </c>
      <c r="D26" s="56" t="s">
        <v>121</v>
      </c>
      <c r="E26" s="56" t="s">
        <v>104</v>
      </c>
      <c r="F26" s="56" t="s">
        <v>479</v>
      </c>
      <c r="G26" s="60">
        <v>2022</v>
      </c>
      <c r="H26" s="56" t="s">
        <v>459</v>
      </c>
      <c r="I26" s="226" t="s">
        <v>180</v>
      </c>
      <c r="J26" s="71">
        <v>15</v>
      </c>
      <c r="K26" s="71">
        <v>15</v>
      </c>
      <c r="L26" s="71">
        <f>J26-K26</f>
        <v>0</v>
      </c>
      <c r="M26" s="71">
        <v>0</v>
      </c>
      <c r="N26" s="71">
        <f>VLOOKUP(C26,NAV!$B$4:$E$42,4,0)</f>
        <v>15</v>
      </c>
      <c r="O26" s="71">
        <f t="shared" si="1"/>
        <v>0</v>
      </c>
      <c r="P26" s="64">
        <f t="shared" si="3"/>
        <v>1</v>
      </c>
      <c r="Q26" s="226" t="str">
        <f>VLOOKUP(C26,'1. IRR Equity'!$AC$12:$AL$28,7,0)</f>
        <v>NM</v>
      </c>
      <c r="R26" s="223"/>
      <c r="S26" s="535"/>
    </row>
    <row r="27" spans="2:19" s="169" customFormat="1" x14ac:dyDescent="0.25">
      <c r="B27" s="167"/>
      <c r="C27" s="219"/>
      <c r="D27" s="219"/>
      <c r="E27" s="219"/>
      <c r="F27" s="219"/>
      <c r="G27" s="219"/>
      <c r="H27" s="219"/>
      <c r="I27" s="220"/>
      <c r="J27" s="221">
        <f ca="1">SUM(J10:J26)</f>
        <v>2093.0293308689243</v>
      </c>
      <c r="K27" s="221">
        <f t="shared" ref="K27:O27" ca="1" si="4">SUM(K10:K26)</f>
        <v>2082.7761694328437</v>
      </c>
      <c r="L27" s="221">
        <f t="shared" ca="1" si="4"/>
        <v>10.25</v>
      </c>
      <c r="M27" s="221">
        <f t="shared" ca="1" si="4"/>
        <v>5</v>
      </c>
      <c r="N27" s="221">
        <f t="shared" si="4"/>
        <v>2082.8141047656409</v>
      </c>
      <c r="O27" s="221">
        <f t="shared" ca="1" si="4"/>
        <v>5.0379353327971614</v>
      </c>
      <c r="P27" s="222">
        <f ca="1">(M27+N27)/K27</f>
        <v>1.0024188558553409</v>
      </c>
      <c r="Q27" s="220">
        <f>'1. IRR Equity'!AD35</f>
        <v>1.9109696149826048E-3</v>
      </c>
      <c r="R27" s="224"/>
      <c r="S27" s="628"/>
    </row>
    <row r="28" spans="2:19" s="164" customFormat="1" x14ac:dyDescent="0.25">
      <c r="B28" s="162"/>
      <c r="C28" s="59"/>
      <c r="D28" s="62"/>
      <c r="E28" s="62"/>
      <c r="F28" s="62"/>
      <c r="G28" s="62"/>
      <c r="H28" s="62"/>
      <c r="I28" s="76"/>
      <c r="J28" s="73"/>
      <c r="K28" s="73"/>
      <c r="L28" s="73"/>
      <c r="M28" s="73"/>
      <c r="N28" s="73"/>
      <c r="O28" s="73"/>
      <c r="P28" s="66"/>
      <c r="Q28" s="228"/>
      <c r="R28" s="225"/>
      <c r="S28" s="627"/>
    </row>
    <row r="29" spans="2:19" x14ac:dyDescent="0.25">
      <c r="B29" s="165"/>
      <c r="C29" s="70" t="s">
        <v>38</v>
      </c>
      <c r="D29" s="56"/>
      <c r="E29" s="56"/>
      <c r="F29" s="56"/>
      <c r="G29" s="60"/>
      <c r="H29" s="56"/>
      <c r="I29" s="226"/>
      <c r="J29" s="71"/>
      <c r="K29" s="71"/>
      <c r="L29" s="71"/>
      <c r="M29" s="71"/>
      <c r="N29" s="71"/>
      <c r="O29" s="71"/>
      <c r="P29" s="64"/>
      <c r="Q29" s="226"/>
      <c r="R29" s="223"/>
      <c r="S29" s="535"/>
    </row>
    <row r="30" spans="2:19" x14ac:dyDescent="0.25">
      <c r="B30" s="165"/>
      <c r="C30" s="58" t="s">
        <v>58</v>
      </c>
      <c r="D30" s="56" t="s">
        <v>186</v>
      </c>
      <c r="E30" s="56" t="s">
        <v>499</v>
      </c>
      <c r="F30" s="56" t="s">
        <v>9</v>
      </c>
      <c r="G30" s="60">
        <v>2019</v>
      </c>
      <c r="H30" s="56" t="s">
        <v>182</v>
      </c>
      <c r="I30" s="226" t="s">
        <v>180</v>
      </c>
      <c r="J30" s="71">
        <v>8</v>
      </c>
      <c r="K30" s="71">
        <v>8</v>
      </c>
      <c r="L30" s="71">
        <v>0</v>
      </c>
      <c r="M30" s="71">
        <v>0</v>
      </c>
      <c r="N30" s="71">
        <v>0</v>
      </c>
      <c r="O30" s="71">
        <f t="shared" ref="O30:O32" si="5">N30+M30-K30</f>
        <v>-8</v>
      </c>
      <c r="P30" s="64">
        <f>(M30+N30)/K30</f>
        <v>0</v>
      </c>
      <c r="Q30" s="226" t="str">
        <f>VLOOKUP(C30,'2. IRR Debt'!$P$9:$Y$11,7,0)</f>
        <v>NM</v>
      </c>
      <c r="R30" s="223"/>
      <c r="S30" s="535"/>
    </row>
    <row r="31" spans="2:19" x14ac:dyDescent="0.25">
      <c r="B31" s="165"/>
      <c r="C31" s="58" t="s">
        <v>422</v>
      </c>
      <c r="D31" s="56" t="s">
        <v>121</v>
      </c>
      <c r="E31" s="56" t="s">
        <v>102</v>
      </c>
      <c r="F31" s="56" t="s">
        <v>9</v>
      </c>
      <c r="G31" s="60">
        <v>2021</v>
      </c>
      <c r="H31" s="56" t="s">
        <v>184</v>
      </c>
      <c r="I31" s="226" t="s">
        <v>180</v>
      </c>
      <c r="J31" s="71">
        <v>2.3539819999999998</v>
      </c>
      <c r="K31" s="71">
        <f>J31</f>
        <v>2.3539819999999998</v>
      </c>
      <c r="L31" s="71">
        <v>0</v>
      </c>
      <c r="M31" s="71">
        <v>0</v>
      </c>
      <c r="N31" s="71">
        <f>K31</f>
        <v>2.3539819999999998</v>
      </c>
      <c r="O31" s="71">
        <f t="shared" si="5"/>
        <v>0</v>
      </c>
      <c r="P31" s="64">
        <f>(M31+N31)/K31</f>
        <v>1</v>
      </c>
      <c r="Q31" s="226">
        <f>VLOOKUP(C31,'2. IRR Debt'!$P$9:$Y$11,7,0)</f>
        <v>2.9802322387695314E-9</v>
      </c>
      <c r="R31" s="223"/>
      <c r="S31" s="535"/>
    </row>
    <row r="32" spans="2:19" x14ac:dyDescent="0.25">
      <c r="B32" s="165"/>
      <c r="C32" s="58" t="s">
        <v>411</v>
      </c>
      <c r="D32" s="56" t="s">
        <v>123</v>
      </c>
      <c r="E32" s="56" t="s">
        <v>101</v>
      </c>
      <c r="F32" s="56" t="s">
        <v>9</v>
      </c>
      <c r="G32" s="60">
        <v>2021</v>
      </c>
      <c r="H32" s="56" t="s">
        <v>184</v>
      </c>
      <c r="I32" s="226" t="s">
        <v>180</v>
      </c>
      <c r="J32" s="71">
        <v>0.41176499999999999</v>
      </c>
      <c r="K32" s="71">
        <v>0.41176499999999999</v>
      </c>
      <c r="L32" s="71">
        <v>0</v>
      </c>
      <c r="M32" s="71">
        <f>'CF (Equity, Debt)'!F40</f>
        <v>0.47078465000000003</v>
      </c>
      <c r="N32" s="71">
        <v>0</v>
      </c>
      <c r="O32" s="71">
        <f t="shared" si="5"/>
        <v>5.9019650000000035E-2</v>
      </c>
      <c r="P32" s="64">
        <f>(M32+N32)/K32</f>
        <v>1.1433333333333333</v>
      </c>
      <c r="Q32" s="226">
        <f>VLOOKUP(C32,'2. IRR Debt'!$P$9:$Y$11,7,0)</f>
        <v>7.5277027487754833E-2</v>
      </c>
      <c r="R32" s="223"/>
      <c r="S32" s="535"/>
    </row>
    <row r="33" spans="2:19" s="169" customFormat="1" x14ac:dyDescent="0.25">
      <c r="B33" s="167"/>
      <c r="C33" s="219"/>
      <c r="D33" s="219"/>
      <c r="E33" s="219"/>
      <c r="F33" s="219"/>
      <c r="G33" s="219"/>
      <c r="H33" s="219"/>
      <c r="I33" s="227"/>
      <c r="J33" s="221">
        <f>SUM(J30:J32)</f>
        <v>10.765747000000001</v>
      </c>
      <c r="K33" s="221">
        <f>SUM(K30:K32)</f>
        <v>10.765747000000001</v>
      </c>
      <c r="L33" s="221">
        <f>SUM(L30:L32)</f>
        <v>0</v>
      </c>
      <c r="M33" s="221">
        <f>SUM(M30:M32)</f>
        <v>0.47078465000000003</v>
      </c>
      <c r="N33" s="221">
        <f>SUM(N30:N32)</f>
        <v>2.3539819999999998</v>
      </c>
      <c r="O33" s="221">
        <f>N33+M33-K33</f>
        <v>-7.9409803500000011</v>
      </c>
      <c r="P33" s="222">
        <f>(M33+N33)/K33</f>
        <v>0.26238463991397898</v>
      </c>
      <c r="Q33" s="227">
        <f>'2. IRR Debt'!Q15</f>
        <v>-0.35001702047884475</v>
      </c>
      <c r="R33" s="224"/>
      <c r="S33" s="628"/>
    </row>
    <row r="34" spans="2:19" s="164" customFormat="1" x14ac:dyDescent="0.25">
      <c r="B34" s="162"/>
      <c r="C34" s="59"/>
      <c r="D34" s="62"/>
      <c r="E34" s="62"/>
      <c r="F34" s="62"/>
      <c r="G34" s="62"/>
      <c r="H34" s="62"/>
      <c r="I34" s="228"/>
      <c r="J34" s="73"/>
      <c r="K34" s="73"/>
      <c r="L34" s="73"/>
      <c r="M34" s="73"/>
      <c r="N34" s="73"/>
      <c r="O34" s="73"/>
      <c r="P34" s="66"/>
      <c r="Q34" s="228"/>
      <c r="R34" s="62"/>
      <c r="S34" s="627"/>
    </row>
    <row r="35" spans="2:19" x14ac:dyDescent="0.25">
      <c r="B35" s="165"/>
      <c r="C35" s="70" t="s">
        <v>39</v>
      </c>
      <c r="D35" s="56"/>
      <c r="E35" s="56"/>
      <c r="F35" s="56"/>
      <c r="G35" s="60"/>
      <c r="H35" s="56"/>
      <c r="I35" s="226"/>
      <c r="J35" s="71"/>
      <c r="K35" s="71"/>
      <c r="L35" s="71"/>
      <c r="M35" s="71"/>
      <c r="N35" s="71"/>
      <c r="O35" s="71"/>
      <c r="P35" s="64"/>
      <c r="Q35" s="226"/>
      <c r="R35" s="56"/>
      <c r="S35" s="535"/>
    </row>
    <row r="36" spans="2:19" x14ac:dyDescent="0.25">
      <c r="B36" s="165"/>
      <c r="C36" s="58" t="s">
        <v>174</v>
      </c>
      <c r="D36" s="56" t="s">
        <v>121</v>
      </c>
      <c r="E36" s="56" t="s">
        <v>101</v>
      </c>
      <c r="F36" s="56" t="s">
        <v>13</v>
      </c>
      <c r="G36" s="60">
        <v>2020</v>
      </c>
      <c r="H36" s="56" t="s">
        <v>69</v>
      </c>
      <c r="I36" s="226" t="s">
        <v>180</v>
      </c>
      <c r="J36" s="71">
        <f>K36+L36</f>
        <v>28.098225210160507</v>
      </c>
      <c r="K36" s="71">
        <f>-SUM('CF (Funds)'!D31:D37)</f>
        <v>11.058034651530003</v>
      </c>
      <c r="L36" s="71">
        <f>NAV!P33</f>
        <v>17.040190558630503</v>
      </c>
      <c r="M36" s="71">
        <f>SUM('CF (Funds)'!E31:E37)</f>
        <v>2.9557743514081998</v>
      </c>
      <c r="N36" s="71">
        <f>VLOOKUP(C36,NAV!$B$4:$E$42,4,0)</f>
        <v>14.29489121145</v>
      </c>
      <c r="O36" s="71">
        <f t="shared" ref="O36:O40" si="6">N36+M36-K36</f>
        <v>6.1926309113281963</v>
      </c>
      <c r="P36" s="64">
        <v>1.4784782580540818</v>
      </c>
      <c r="Q36" s="226">
        <f>VLOOKUP(C36,'3. IRR Funds'!$P$7:$Y$15,7,0)</f>
        <v>0.10904429554939268</v>
      </c>
      <c r="R36" s="56"/>
      <c r="S36" s="535"/>
    </row>
    <row r="37" spans="2:19" x14ac:dyDescent="0.25">
      <c r="B37" s="165"/>
      <c r="C37" s="58" t="s">
        <v>156</v>
      </c>
      <c r="D37" s="56" t="s">
        <v>121</v>
      </c>
      <c r="E37" s="56" t="s">
        <v>101</v>
      </c>
      <c r="F37" s="56" t="s">
        <v>13</v>
      </c>
      <c r="G37" s="60">
        <v>2020</v>
      </c>
      <c r="H37" s="56" t="s">
        <v>99</v>
      </c>
      <c r="I37" s="226" t="s">
        <v>180</v>
      </c>
      <c r="J37" s="71">
        <f>2.3/0.85</f>
        <v>2.7058823529411762</v>
      </c>
      <c r="K37" s="71">
        <v>2.7058823529411762</v>
      </c>
      <c r="L37" s="71">
        <v>0</v>
      </c>
      <c r="M37" s="71">
        <v>0</v>
      </c>
      <c r="N37" s="71">
        <f>VLOOKUP(C37,NAV!$B$4:$E$42,4,0)</f>
        <v>2.7058823529411762</v>
      </c>
      <c r="O37" s="71">
        <f t="shared" si="6"/>
        <v>0</v>
      </c>
      <c r="P37" s="64">
        <v>1</v>
      </c>
      <c r="Q37" s="226">
        <f>VLOOKUP(C37,'3. IRR Funds'!$P$7:$Y$15,7,0)</f>
        <v>0</v>
      </c>
      <c r="R37" s="191"/>
      <c r="S37" s="535"/>
    </row>
    <row r="38" spans="2:19" x14ac:dyDescent="0.25">
      <c r="B38" s="165"/>
      <c r="C38" s="58" t="s">
        <v>1</v>
      </c>
      <c r="D38" s="56" t="s">
        <v>121</v>
      </c>
      <c r="E38" s="56" t="s">
        <v>102</v>
      </c>
      <c r="F38" s="56" t="s">
        <v>13</v>
      </c>
      <c r="G38" s="60">
        <v>2020</v>
      </c>
      <c r="H38" s="56" t="s">
        <v>69</v>
      </c>
      <c r="I38" s="226" t="s">
        <v>180</v>
      </c>
      <c r="J38" s="71">
        <v>300</v>
      </c>
      <c r="K38" s="71">
        <v>83.214652999999984</v>
      </c>
      <c r="L38" s="71">
        <v>217.81330800000001</v>
      </c>
      <c r="M38" s="71">
        <v>1.0279609999999999</v>
      </c>
      <c r="N38" s="71">
        <f>VLOOKUP(C38,NAV!$B$4:$E$42,4,0)</f>
        <v>70.03</v>
      </c>
      <c r="O38" s="71">
        <f t="shared" si="6"/>
        <v>-12.156691999999978</v>
      </c>
      <c r="P38" s="64">
        <v>0.96555063445376632</v>
      </c>
      <c r="Q38" s="226">
        <f>VLOOKUP(C38,'3. IRR Funds'!$P$7:$Y$15,7,0)</f>
        <v>-6.4168629050254805E-2</v>
      </c>
      <c r="R38" s="56"/>
      <c r="S38" s="535"/>
    </row>
    <row r="39" spans="2:19" x14ac:dyDescent="0.25">
      <c r="B39" s="165"/>
      <c r="C39" s="58" t="s">
        <v>15</v>
      </c>
      <c r="D39" s="56" t="s">
        <v>121</v>
      </c>
      <c r="E39" s="56" t="s">
        <v>102</v>
      </c>
      <c r="F39" s="56" t="s">
        <v>13</v>
      </c>
      <c r="G39" s="60">
        <v>2020</v>
      </c>
      <c r="H39" s="56" t="s">
        <v>69</v>
      </c>
      <c r="I39" s="226" t="s">
        <v>180</v>
      </c>
      <c r="J39" s="71">
        <v>50</v>
      </c>
      <c r="K39" s="71">
        <f>-SUM('CF (Funds)'!D3:D16)</f>
        <v>22.657267000000001</v>
      </c>
      <c r="L39" s="71">
        <f>J39-K39</f>
        <v>27.342732999999999</v>
      </c>
      <c r="M39" s="71">
        <v>0.44382834999999998</v>
      </c>
      <c r="N39" s="71">
        <f>VLOOKUP(C39,NAV!$B$4:$E$42,4,0)</f>
        <v>21.515750000000001</v>
      </c>
      <c r="O39" s="71">
        <f>N39+M39-K39</f>
        <v>-0.69768864999999991</v>
      </c>
      <c r="P39" s="64">
        <v>0.97193723963305834</v>
      </c>
      <c r="Q39" s="226">
        <f>VLOOKUP(C39,'3. IRR Funds'!$P$7:$Y$15,7,0)</f>
        <v>-1.8159523606300351E-2</v>
      </c>
      <c r="R39" s="191"/>
      <c r="S39" s="535"/>
    </row>
    <row r="40" spans="2:19" x14ac:dyDescent="0.25">
      <c r="B40" s="165"/>
      <c r="C40" s="58" t="s">
        <v>237</v>
      </c>
      <c r="D40" s="56" t="s">
        <v>121</v>
      </c>
      <c r="E40" s="56" t="s">
        <v>103</v>
      </c>
      <c r="F40" s="56" t="s">
        <v>13</v>
      </c>
      <c r="G40" s="60">
        <v>2021</v>
      </c>
      <c r="H40" s="56" t="s">
        <v>69</v>
      </c>
      <c r="I40" s="226">
        <v>0.33</v>
      </c>
      <c r="J40" s="71">
        <v>17.112500000000001</v>
      </c>
      <c r="K40" s="71">
        <v>14.0151375</v>
      </c>
      <c r="L40" s="71">
        <f>J40-K40</f>
        <v>3.0973625000000009</v>
      </c>
      <c r="M40" s="71">
        <v>0</v>
      </c>
      <c r="N40" s="71">
        <f>VLOOKUP(C40,NAV!$B$4:$E$42,4,0)</f>
        <v>13.742841</v>
      </c>
      <c r="O40" s="71">
        <f t="shared" si="6"/>
        <v>-0.2722964999999995</v>
      </c>
      <c r="P40" s="64">
        <v>0.97333027504590375</v>
      </c>
      <c r="Q40" s="226">
        <f>VLOOKUP(C40,'3. IRR Funds'!$P$7:$Y$15,7,0)</f>
        <v>-2.1553859114646915E-2</v>
      </c>
      <c r="R40" s="56" t="s">
        <v>108</v>
      </c>
      <c r="S40" s="535"/>
    </row>
    <row r="41" spans="2:19" s="169" customFormat="1" x14ac:dyDescent="0.25">
      <c r="B41" s="167"/>
      <c r="C41" s="63"/>
      <c r="D41" s="63"/>
      <c r="E41" s="63"/>
      <c r="F41" s="63"/>
      <c r="G41" s="63"/>
      <c r="H41" s="63"/>
      <c r="I41" s="229"/>
      <c r="J41" s="72">
        <f>SUM(J36:J40)</f>
        <v>397.91660756310171</v>
      </c>
      <c r="K41" s="72">
        <f>SUM(K36:K40)</f>
        <v>133.65097450447118</v>
      </c>
      <c r="L41" s="72">
        <f>SUM(L36:L40)</f>
        <v>265.2935940586305</v>
      </c>
      <c r="M41" s="72">
        <f>SUM(M36:M40)</f>
        <v>4.4275637014082001</v>
      </c>
      <c r="N41" s="72">
        <f>SUM(N36:N40)</f>
        <v>122.28936456439118</v>
      </c>
      <c r="O41" s="72">
        <f>N41+M41-K41</f>
        <v>-6.9340462386717974</v>
      </c>
      <c r="P41" s="65">
        <f t="shared" ref="P41:P43" si="7">(M41+N41)/K41</f>
        <v>0.94811825155498719</v>
      </c>
      <c r="Q41" s="75">
        <f>'3. IRR Funds'!Q18</f>
        <v>-2.269576042890549E-2</v>
      </c>
      <c r="R41" s="63"/>
      <c r="S41" s="628"/>
    </row>
    <row r="42" spans="2:19" s="405" customFormat="1" x14ac:dyDescent="0.25">
      <c r="B42" s="403"/>
      <c r="C42" s="397"/>
      <c r="D42" s="397"/>
      <c r="E42" s="397"/>
      <c r="F42" s="397"/>
      <c r="G42" s="397"/>
      <c r="H42" s="397"/>
      <c r="I42" s="228"/>
      <c r="J42" s="398"/>
      <c r="K42" s="398"/>
      <c r="L42" s="398"/>
      <c r="M42" s="398"/>
      <c r="N42" s="398"/>
      <c r="O42" s="398"/>
      <c r="P42" s="399"/>
      <c r="Q42" s="242"/>
      <c r="R42" s="397"/>
      <c r="S42" s="629"/>
    </row>
    <row r="43" spans="2:19" s="169" customFormat="1" x14ac:dyDescent="0.25">
      <c r="B43" s="167"/>
      <c r="C43" s="400" t="s">
        <v>76</v>
      </c>
      <c r="D43" s="392"/>
      <c r="E43" s="392"/>
      <c r="F43" s="392"/>
      <c r="G43" s="392"/>
      <c r="H43" s="392"/>
      <c r="I43" s="393"/>
      <c r="J43" s="394">
        <f ca="1">J27+J33+J41</f>
        <v>2501.7116854320257</v>
      </c>
      <c r="K43" s="394">
        <f ca="1">K27+K33+K41</f>
        <v>2227.192890937315</v>
      </c>
      <c r="L43" s="394">
        <f ca="1">L27+L33+L41</f>
        <v>275.5435940586305</v>
      </c>
      <c r="M43" s="394">
        <f ca="1">M27+M33+M41</f>
        <v>9.8983483514081989</v>
      </c>
      <c r="N43" s="394">
        <f>N27+N33+N41</f>
        <v>2207.4574513300322</v>
      </c>
      <c r="O43" s="394">
        <f ca="1">N43+M43-K43</f>
        <v>-9.8370912558748387</v>
      </c>
      <c r="P43" s="395">
        <f t="shared" ca="1" si="7"/>
        <v>0.99558318846297378</v>
      </c>
      <c r="Q43" s="396">
        <f>'4.All'!N9</f>
        <v>-3.3056326210498818E-3</v>
      </c>
      <c r="R43" s="392"/>
      <c r="S43" s="628"/>
    </row>
    <row r="44" spans="2:19" s="501" customFormat="1" ht="15.75" thickBot="1" x14ac:dyDescent="0.3">
      <c r="B44" s="494"/>
      <c r="C44" s="495"/>
      <c r="D44" s="496"/>
      <c r="E44" s="496"/>
      <c r="F44" s="496"/>
      <c r="G44" s="496"/>
      <c r="H44" s="496"/>
      <c r="I44" s="497"/>
      <c r="J44" s="498"/>
      <c r="K44" s="498" t="b">
        <f ca="1">ROUND(K43,2)=ROUND('4.All'!J9,2)</f>
        <v>1</v>
      </c>
      <c r="L44" s="498"/>
      <c r="M44" s="498" t="b">
        <f ca="1">ROUND(M43,2)=ROUND('4.All'!L9,2)</f>
        <v>1</v>
      </c>
      <c r="N44" s="498" t="b">
        <f>ROUND(N43,2)=ROUND('4.All'!M9,2)</f>
        <v>1</v>
      </c>
      <c r="O44" s="498"/>
      <c r="P44" s="499"/>
      <c r="Q44" s="497"/>
      <c r="R44" s="496"/>
      <c r="S44" s="630"/>
    </row>
    <row r="45" spans="2:19" x14ac:dyDescent="0.25">
      <c r="I45" s="175"/>
      <c r="Q45" s="175"/>
    </row>
    <row r="46" spans="2:19" s="164" customFormat="1" x14ac:dyDescent="0.25">
      <c r="B46" s="352"/>
      <c r="C46" s="406" t="s">
        <v>209</v>
      </c>
      <c r="D46" s="231"/>
      <c r="E46" s="232"/>
      <c r="F46" s="233"/>
      <c r="G46" s="233"/>
      <c r="H46" s="233"/>
      <c r="I46" s="233"/>
      <c r="J46" s="233"/>
      <c r="K46" s="233"/>
      <c r="L46" s="233"/>
      <c r="M46" s="233"/>
      <c r="N46" s="233"/>
      <c r="O46" s="233"/>
      <c r="P46" s="69"/>
      <c r="Q46" s="77"/>
      <c r="R46" s="61"/>
      <c r="S46" s="347"/>
    </row>
    <row r="47" spans="2:19" x14ac:dyDescent="0.25">
      <c r="B47" s="177"/>
      <c r="C47" s="407" t="s">
        <v>338</v>
      </c>
      <c r="K47" s="408"/>
      <c r="N47" s="196"/>
      <c r="O47" s="196"/>
      <c r="P47" s="81"/>
    </row>
    <row r="48" spans="2:19" x14ac:dyDescent="0.25">
      <c r="B48" s="177"/>
      <c r="C48" s="409" t="s">
        <v>339</v>
      </c>
      <c r="N48" s="196"/>
      <c r="O48" s="196"/>
      <c r="P48" s="81"/>
    </row>
    <row r="49" spans="2:20" x14ac:dyDescent="0.25">
      <c r="B49" s="177"/>
      <c r="C49" s="409" t="s">
        <v>341</v>
      </c>
      <c r="N49" s="196"/>
      <c r="O49" s="196"/>
      <c r="P49" s="81"/>
    </row>
    <row r="50" spans="2:20" x14ac:dyDescent="0.25">
      <c r="B50" s="177"/>
      <c r="C50" s="153" t="s">
        <v>342</v>
      </c>
      <c r="N50" s="196"/>
      <c r="O50" s="196"/>
      <c r="P50" s="81"/>
    </row>
    <row r="51" spans="2:20" x14ac:dyDescent="0.25">
      <c r="B51" s="177"/>
      <c r="C51" s="81"/>
      <c r="N51" s="196"/>
      <c r="O51" s="196"/>
      <c r="P51" s="81"/>
      <c r="S51" s="631"/>
      <c r="T51" s="586"/>
    </row>
    <row r="52" spans="2:20" x14ac:dyDescent="0.25">
      <c r="C52" s="406" t="s">
        <v>464</v>
      </c>
      <c r="D52" s="231"/>
      <c r="E52" s="232"/>
      <c r="F52" s="233"/>
      <c r="G52" s="233"/>
      <c r="H52" s="233"/>
      <c r="I52" s="232"/>
      <c r="J52" s="233"/>
      <c r="K52" s="233"/>
      <c r="L52" s="233"/>
      <c r="M52" s="233"/>
      <c r="N52" s="233"/>
      <c r="O52" s="233"/>
      <c r="P52" s="81"/>
      <c r="S52" s="631"/>
      <c r="T52" s="586"/>
    </row>
    <row r="53" spans="2:20" x14ac:dyDescent="0.25">
      <c r="C53" s="153" t="s">
        <v>476</v>
      </c>
      <c r="N53" s="196"/>
      <c r="O53" s="196"/>
      <c r="P53" s="81"/>
      <c r="S53" s="631"/>
      <c r="T53" s="586"/>
    </row>
    <row r="54" spans="2:20" x14ac:dyDescent="0.25">
      <c r="C54" s="502" t="s">
        <v>477</v>
      </c>
      <c r="N54" s="196"/>
      <c r="O54" s="196"/>
      <c r="P54" s="81"/>
    </row>
    <row r="55" spans="2:20" x14ac:dyDescent="0.25">
      <c r="C55" s="153" t="s">
        <v>478</v>
      </c>
      <c r="N55" s="196"/>
      <c r="O55" s="196"/>
      <c r="P55" s="81"/>
    </row>
    <row r="56" spans="2:20" x14ac:dyDescent="0.25">
      <c r="C56" s="81"/>
      <c r="N56" s="196"/>
      <c r="O56" s="196"/>
      <c r="P56" s="81"/>
    </row>
    <row r="57" spans="2:20" x14ac:dyDescent="0.25">
      <c r="C57" s="406" t="s">
        <v>468</v>
      </c>
      <c r="D57" s="231"/>
      <c r="E57" s="232"/>
      <c r="F57" s="233"/>
      <c r="G57" s="233"/>
      <c r="H57" s="233"/>
      <c r="I57" s="232"/>
      <c r="J57" s="233"/>
      <c r="K57" s="233"/>
      <c r="L57" s="233"/>
      <c r="M57" s="233"/>
      <c r="N57" s="233"/>
      <c r="O57" s="233"/>
      <c r="P57" s="81"/>
    </row>
    <row r="58" spans="2:20" x14ac:dyDescent="0.25">
      <c r="C58" s="67" t="s">
        <v>470</v>
      </c>
      <c r="N58" s="196"/>
      <c r="O58" s="196"/>
      <c r="P58" s="81"/>
    </row>
    <row r="59" spans="2:20" x14ac:dyDescent="0.25">
      <c r="C59" s="67" t="s">
        <v>471</v>
      </c>
      <c r="N59" s="196"/>
      <c r="O59" s="196"/>
      <c r="P59" s="81"/>
    </row>
    <row r="60" spans="2:20" x14ac:dyDescent="0.25">
      <c r="C60" s="153" t="s">
        <v>472</v>
      </c>
      <c r="N60" s="196"/>
      <c r="O60" s="196"/>
      <c r="P60" s="81"/>
    </row>
    <row r="61" spans="2:20" x14ac:dyDescent="0.25">
      <c r="C61" s="67" t="s">
        <v>473</v>
      </c>
      <c r="N61" s="196"/>
      <c r="O61" s="196"/>
      <c r="P61" s="81"/>
    </row>
    <row r="62" spans="2:20" x14ac:dyDescent="0.25">
      <c r="C62" s="153" t="s">
        <v>474</v>
      </c>
      <c r="N62" s="196"/>
      <c r="O62" s="196"/>
      <c r="P62" s="81"/>
    </row>
    <row r="63" spans="2:20" x14ac:dyDescent="0.25">
      <c r="C63" s="153" t="s">
        <v>475</v>
      </c>
      <c r="P63" s="81"/>
    </row>
    <row r="64" spans="2:20" x14ac:dyDescent="0.25">
      <c r="C64" s="80"/>
      <c r="P64" s="81"/>
    </row>
    <row r="65" spans="3:16" x14ac:dyDescent="0.25">
      <c r="C65" s="406" t="s">
        <v>210</v>
      </c>
      <c r="D65" s="231"/>
      <c r="E65" s="232"/>
      <c r="F65" s="233"/>
      <c r="G65" s="233"/>
      <c r="H65" s="233"/>
      <c r="I65" s="232"/>
      <c r="J65" s="233"/>
      <c r="K65" s="233"/>
      <c r="L65" s="233"/>
      <c r="M65" s="233"/>
      <c r="N65" s="233"/>
      <c r="O65" s="233"/>
      <c r="P65" s="81"/>
    </row>
    <row r="66" spans="3:16" x14ac:dyDescent="0.25">
      <c r="C66" s="67" t="s">
        <v>419</v>
      </c>
      <c r="P66" s="81"/>
    </row>
    <row r="67" spans="3:16" x14ac:dyDescent="0.25">
      <c r="C67" s="67" t="s">
        <v>202</v>
      </c>
      <c r="P67" s="81"/>
    </row>
    <row r="68" spans="3:16" x14ac:dyDescent="0.25">
      <c r="C68" s="153" t="s">
        <v>340</v>
      </c>
      <c r="I68" s="153"/>
    </row>
    <row r="69" spans="3:16" x14ac:dyDescent="0.25">
      <c r="H69" s="360"/>
      <c r="I69" s="153"/>
    </row>
    <row r="70" spans="3:16" x14ac:dyDescent="0.25">
      <c r="H70" s="153"/>
      <c r="I70" s="153"/>
    </row>
    <row r="71" spans="3:16" x14ac:dyDescent="0.25">
      <c r="C71" s="153"/>
      <c r="E71" s="153"/>
      <c r="H71" s="153"/>
      <c r="I71" s="153"/>
    </row>
    <row r="72" spans="3:16" x14ac:dyDescent="0.25">
      <c r="C72" s="81"/>
      <c r="H72" s="153"/>
      <c r="I72" s="153"/>
    </row>
    <row r="73" spans="3:16" x14ac:dyDescent="0.25">
      <c r="C73" s="81"/>
    </row>
    <row r="74" spans="3:16" x14ac:dyDescent="0.25">
      <c r="F74" s="153"/>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70"/>
  <sheetViews>
    <sheetView showGridLines="0" zoomScale="80" zoomScaleNormal="80" workbookViewId="0">
      <selection activeCell="Q38" sqref="Q38"/>
    </sheetView>
  </sheetViews>
  <sheetFormatPr defaultRowHeight="15" outlineLevelCol="1" x14ac:dyDescent="0.25"/>
  <cols>
    <col min="1" max="2" width="5.42578125" style="80" customWidth="1"/>
    <col min="3" max="3" width="34.7109375" style="152" customWidth="1"/>
    <col min="4" max="4" width="18.7109375" style="152" customWidth="1" outlineLevel="1"/>
    <col min="5" max="5" width="17.140625" style="81" customWidth="1" outlineLevel="1"/>
    <col min="6" max="6" width="9.42578125" style="81" customWidth="1" outlineLevel="1"/>
    <col min="7" max="7" width="23.140625" style="81" customWidth="1" outlineLevel="1"/>
    <col min="8" max="8" width="14" style="81" customWidth="1"/>
    <col min="9" max="9" width="20.140625" style="81" customWidth="1"/>
    <col min="10" max="10" width="12.5703125" style="81" customWidth="1"/>
    <col min="11" max="12" width="15.140625" style="81" customWidth="1"/>
    <col min="13" max="16" width="17.5703125" style="81" customWidth="1"/>
    <col min="17" max="17" width="15.42578125" style="81" customWidth="1"/>
    <col min="18" max="18" width="17.5703125" style="196" customWidth="1"/>
    <col min="19" max="19" width="17.5703125" style="81" customWidth="1"/>
    <col min="20" max="20" width="25.5703125" style="81" bestFit="1" customWidth="1"/>
    <col min="21" max="22" width="9.140625" style="80"/>
    <col min="23" max="24" width="18.5703125" style="80" customWidth="1"/>
    <col min="25" max="16384" width="9.140625" style="80"/>
  </cols>
  <sheetData>
    <row r="1" spans="2:24" s="164" customFormat="1" ht="21.75" customHeight="1" thickBot="1" x14ac:dyDescent="0.3">
      <c r="C1" s="349"/>
      <c r="D1" s="349"/>
      <c r="E1" s="347"/>
      <c r="F1" s="347"/>
      <c r="G1" s="347"/>
      <c r="H1" s="347"/>
      <c r="I1" s="347"/>
      <c r="J1" s="347"/>
      <c r="K1" s="347"/>
      <c r="L1" s="347"/>
      <c r="M1" s="347"/>
      <c r="N1" s="347"/>
      <c r="O1" s="347"/>
      <c r="P1" s="347"/>
      <c r="Q1" s="347"/>
      <c r="R1" s="348"/>
      <c r="S1" s="347"/>
      <c r="T1" s="347"/>
    </row>
    <row r="2" spans="2:24" ht="15.75" thickBot="1" x14ac:dyDescent="0.3">
      <c r="C2" s="401" t="s">
        <v>249</v>
      </c>
      <c r="D2" s="401"/>
      <c r="E2" s="402">
        <f>D!D2</f>
        <v>45016</v>
      </c>
      <c r="F2" s="80"/>
      <c r="G2" s="80"/>
      <c r="H2" s="80"/>
      <c r="I2" s="80"/>
      <c r="J2" s="80"/>
      <c r="K2" s="80"/>
      <c r="L2" s="80"/>
      <c r="M2" s="80"/>
      <c r="N2" s="80"/>
      <c r="O2" s="80"/>
      <c r="P2" s="80"/>
      <c r="Q2" s="80"/>
      <c r="R2" s="80"/>
      <c r="S2" s="80"/>
      <c r="T2" s="80"/>
    </row>
    <row r="3" spans="2:24" s="164" customFormat="1" ht="21.75" customHeight="1" thickBot="1" x14ac:dyDescent="0.3">
      <c r="C3" s="349"/>
      <c r="D3" s="349"/>
      <c r="E3" s="347"/>
      <c r="F3" s="347"/>
      <c r="G3" s="347"/>
      <c r="H3" s="347"/>
      <c r="I3" s="347"/>
      <c r="J3" s="347"/>
      <c r="K3" s="347"/>
      <c r="L3" s="347"/>
      <c r="M3" s="347"/>
      <c r="N3" s="347"/>
      <c r="O3" s="347"/>
      <c r="P3" s="347"/>
      <c r="Q3" s="347"/>
      <c r="R3" s="348"/>
      <c r="S3" s="347"/>
      <c r="T3" s="347"/>
    </row>
    <row r="4" spans="2:24" x14ac:dyDescent="0.25">
      <c r="B4" s="154"/>
      <c r="C4" s="155"/>
      <c r="D4" s="155"/>
      <c r="E4" s="156"/>
      <c r="F4" s="156"/>
      <c r="G4" s="156"/>
      <c r="H4" s="156"/>
      <c r="I4" s="156"/>
      <c r="J4" s="156"/>
      <c r="K4" s="156"/>
      <c r="L4" s="156"/>
      <c r="M4" s="156"/>
      <c r="N4" s="156"/>
      <c r="O4" s="156"/>
      <c r="P4" s="156"/>
      <c r="Q4" s="156"/>
      <c r="R4" s="351"/>
      <c r="S4" s="156"/>
      <c r="T4" s="156"/>
      <c r="U4" s="158"/>
    </row>
    <row r="5" spans="2:24" s="501" customFormat="1" x14ac:dyDescent="0.25">
      <c r="B5" s="556"/>
      <c r="C5" s="557"/>
      <c r="D5" s="557"/>
      <c r="E5" s="558">
        <v>2</v>
      </c>
      <c r="F5" s="558">
        <v>3</v>
      </c>
      <c r="G5" s="558">
        <v>4</v>
      </c>
      <c r="H5" s="558">
        <v>5</v>
      </c>
      <c r="I5" s="558">
        <v>6</v>
      </c>
      <c r="J5" s="558">
        <v>7</v>
      </c>
      <c r="K5" s="558">
        <v>8</v>
      </c>
      <c r="L5" s="558">
        <v>9</v>
      </c>
      <c r="M5" s="558">
        <v>11</v>
      </c>
      <c r="N5" s="558">
        <v>12</v>
      </c>
      <c r="O5" s="558">
        <v>13</v>
      </c>
      <c r="P5" s="558"/>
      <c r="Q5" s="558">
        <v>15</v>
      </c>
      <c r="R5" s="558">
        <v>14</v>
      </c>
      <c r="S5" s="558">
        <v>10</v>
      </c>
      <c r="T5" s="559"/>
      <c r="U5" s="560"/>
    </row>
    <row r="6" spans="2:24" s="161" customFormat="1" ht="60" customHeight="1" x14ac:dyDescent="0.25">
      <c r="B6" s="159"/>
      <c r="C6" s="57" t="s">
        <v>62</v>
      </c>
      <c r="D6" s="57" t="s">
        <v>221</v>
      </c>
      <c r="E6" s="1" t="s">
        <v>33</v>
      </c>
      <c r="F6" s="1" t="s">
        <v>100</v>
      </c>
      <c r="G6" s="1" t="s">
        <v>40</v>
      </c>
      <c r="H6" s="1" t="s">
        <v>193</v>
      </c>
      <c r="I6" s="1" t="s">
        <v>45</v>
      </c>
      <c r="J6" s="1" t="s">
        <v>64</v>
      </c>
      <c r="K6" s="1" t="s">
        <v>41</v>
      </c>
      <c r="L6" s="1" t="s">
        <v>2</v>
      </c>
      <c r="M6" s="1" t="s">
        <v>42</v>
      </c>
      <c r="N6" s="1" t="s">
        <v>36</v>
      </c>
      <c r="O6" s="1" t="s">
        <v>278</v>
      </c>
      <c r="P6" s="583" t="s">
        <v>518</v>
      </c>
      <c r="Q6" s="1" t="s">
        <v>425</v>
      </c>
      <c r="R6" s="1" t="s">
        <v>43</v>
      </c>
      <c r="S6" s="1" t="s">
        <v>60</v>
      </c>
      <c r="T6" s="1" t="s">
        <v>61</v>
      </c>
      <c r="U6" s="160"/>
    </row>
    <row r="7" spans="2:24" s="164" customFormat="1" ht="15.75" thickBot="1" x14ac:dyDescent="0.3">
      <c r="B7" s="162"/>
      <c r="C7" s="59"/>
      <c r="D7" s="59"/>
      <c r="E7" s="62"/>
      <c r="F7" s="62"/>
      <c r="G7" s="62"/>
      <c r="H7" s="62"/>
      <c r="I7" s="62" t="s">
        <v>129</v>
      </c>
      <c r="J7" s="62" t="s">
        <v>64</v>
      </c>
      <c r="K7" s="62" t="s">
        <v>456</v>
      </c>
      <c r="L7" s="62" t="s">
        <v>456</v>
      </c>
      <c r="M7" s="62" t="s">
        <v>456</v>
      </c>
      <c r="N7" s="62" t="s">
        <v>456</v>
      </c>
      <c r="O7" s="62" t="s">
        <v>456</v>
      </c>
      <c r="P7" s="62"/>
      <c r="Q7" s="62" t="s">
        <v>64</v>
      </c>
      <c r="R7" s="66" t="s">
        <v>457</v>
      </c>
      <c r="S7" s="62" t="s">
        <v>456</v>
      </c>
      <c r="T7" s="62"/>
      <c r="U7" s="163"/>
      <c r="W7" s="609" t="s">
        <v>515</v>
      </c>
      <c r="X7" s="609"/>
    </row>
    <row r="8" spans="2:24" x14ac:dyDescent="0.25">
      <c r="B8" s="165"/>
      <c r="C8" s="58"/>
      <c r="D8" s="105"/>
      <c r="E8" s="56"/>
      <c r="F8" s="56"/>
      <c r="G8" s="56"/>
      <c r="H8" s="56"/>
      <c r="I8" s="60"/>
      <c r="J8" s="226"/>
      <c r="K8" s="71"/>
      <c r="L8" s="71"/>
      <c r="M8" s="71"/>
      <c r="N8" s="71"/>
      <c r="O8" s="71"/>
      <c r="P8" s="71"/>
      <c r="Q8" s="226"/>
      <c r="R8" s="64"/>
      <c r="S8" s="71"/>
      <c r="T8" s="223"/>
      <c r="U8" s="166"/>
    </row>
    <row r="9" spans="2:24" x14ac:dyDescent="0.25">
      <c r="B9" s="165"/>
      <c r="C9" s="58" t="s">
        <v>458</v>
      </c>
      <c r="D9" s="105" t="s">
        <v>480</v>
      </c>
      <c r="E9" s="56" t="str">
        <f>VLOOKUP($C9,'Summary | 01 '!$C$6:$R$43,E$5,0)</f>
        <v>Unrealized</v>
      </c>
      <c r="F9" s="56" t="str">
        <f>VLOOKUP($C9,'Summary | 01 '!$C$6:$R$43,F$5,0)</f>
        <v>Anton</v>
      </c>
      <c r="G9" s="56" t="str">
        <f>VLOOKUP($C9,'Summary | 01 '!$C$6:$R$43,G$5,0)</f>
        <v>Mozn 4</v>
      </c>
      <c r="H9" s="60">
        <f>VLOOKUP($C9,'Summary | 01 '!$C$6:$R$43,H$5,0)</f>
        <v>2022</v>
      </c>
      <c r="I9" s="60" t="str">
        <f>VLOOKUP($C9,'Summary | 01 '!$C$6:$R$43,I$5,0)</f>
        <v>SAFE note</v>
      </c>
      <c r="J9" s="226" t="str">
        <f>VLOOKUP($C9,'Summary | 01 '!$C$6:$R$43,J$5,0)</f>
        <v>n/a</v>
      </c>
      <c r="K9" s="71">
        <f>VLOOKUP($C9,'Summary | 01 '!$C$6:$R$43,K$5,0)</f>
        <v>15</v>
      </c>
      <c r="L9" s="71">
        <f>VLOOKUP($C9,'Summary | 01 '!$C$6:$R$43,L$5,0)</f>
        <v>15</v>
      </c>
      <c r="M9" s="71">
        <f>VLOOKUP($C9,'Summary | 01 '!$C$6:$R$43,M$5,0)</f>
        <v>0</v>
      </c>
      <c r="N9" s="71">
        <f>VLOOKUP($C9,'Summary | 01 '!$C$6:$R$43,N$5,0)</f>
        <v>15</v>
      </c>
      <c r="O9" s="71">
        <f>VLOOKUP($C9,'Summary | 01 '!$C$6:$R$43,O$5,0)</f>
        <v>0</v>
      </c>
      <c r="P9" s="71" t="s">
        <v>180</v>
      </c>
      <c r="Q9" s="226" t="str">
        <f>VLOOKUP($C9,'Summary | 01 '!$C$6:$R$43,Q$5,0)</f>
        <v>NM</v>
      </c>
      <c r="R9" s="64">
        <f>VLOOKUP($C9,'Summary | 01 '!$C$6:$R$43,R$5,0)</f>
        <v>1</v>
      </c>
      <c r="S9" s="71">
        <f>VLOOKUP($C9,'Summary | 01 '!$C$6:$R$43,S$5,0)</f>
        <v>0</v>
      </c>
      <c r="T9" s="223"/>
      <c r="U9" s="166"/>
      <c r="W9" s="80" t="s">
        <v>2</v>
      </c>
      <c r="X9" s="608">
        <f ca="1">L27</f>
        <v>969.01066643284389</v>
      </c>
    </row>
    <row r="10" spans="2:24" x14ac:dyDescent="0.25">
      <c r="B10" s="165"/>
      <c r="C10" s="58" t="s">
        <v>418</v>
      </c>
      <c r="D10" s="105" t="s">
        <v>480</v>
      </c>
      <c r="E10" s="56" t="str">
        <f>VLOOKUP($C10,'Summary | 01 '!$C$6:$R$43,E$5,0)</f>
        <v>Unrealized</v>
      </c>
      <c r="F10" s="56" t="str">
        <f>VLOOKUP($C10,'Summary | 01 '!$C$6:$R$43,F$5,0)</f>
        <v>Anton</v>
      </c>
      <c r="G10" s="56" t="str">
        <f>VLOOKUP($C10,'Summary | 01 '!$C$6:$R$43,G$5,0)</f>
        <v>Mozn</v>
      </c>
      <c r="H10" s="60">
        <f>VLOOKUP($C10,'Summary | 01 '!$C$6:$R$43,H$5,0)</f>
        <v>2022</v>
      </c>
      <c r="I10" s="60" t="str">
        <f>VLOOKUP($C10,'Summary | 01 '!$C$6:$R$43,I$5,0)</f>
        <v>Convertible Note</v>
      </c>
      <c r="J10" s="226" t="str">
        <f>VLOOKUP($C10,'Summary | 01 '!$C$6:$R$43,J$5,0)</f>
        <v>n/a</v>
      </c>
      <c r="K10" s="71">
        <f>VLOOKUP($C10,'Summary | 01 '!$C$6:$R$43,K$5,0)</f>
        <v>15</v>
      </c>
      <c r="L10" s="71">
        <f>VLOOKUP($C10,'Summary | 01 '!$C$6:$R$43,L$5,0)</f>
        <v>4.75</v>
      </c>
      <c r="M10" s="71">
        <f>VLOOKUP($C10,'Summary | 01 '!$C$6:$R$43,M$5,0)</f>
        <v>0</v>
      </c>
      <c r="N10" s="71">
        <f>VLOOKUP($C10,'Summary | 01 '!$C$6:$R$43,N$5,0)</f>
        <v>4.75</v>
      </c>
      <c r="O10" s="71">
        <f>VLOOKUP($C10,'Summary | 01 '!$C$6:$R$43,O$5,0)</f>
        <v>0</v>
      </c>
      <c r="P10" s="71" t="s">
        <v>180</v>
      </c>
      <c r="Q10" s="226" t="str">
        <f>VLOOKUP($C10,'Summary | 01 '!$C$6:$R$43,Q$5,0)</f>
        <v>NM</v>
      </c>
      <c r="R10" s="64">
        <f>VLOOKUP($C10,'Summary | 01 '!$C$6:$R$43,R$5,0)</f>
        <v>1</v>
      </c>
      <c r="S10" s="71">
        <f>VLOOKUP($C10,'Summary | 01 '!$C$6:$R$43,S$5,0)</f>
        <v>10.25</v>
      </c>
      <c r="T10" s="223"/>
      <c r="U10" s="166"/>
      <c r="W10" s="80" t="s">
        <v>426</v>
      </c>
      <c r="X10" s="608">
        <f>N27</f>
        <v>928.00806481025916</v>
      </c>
    </row>
    <row r="11" spans="2:24" x14ac:dyDescent="0.25">
      <c r="B11" s="165"/>
      <c r="C11" s="58" t="s">
        <v>113</v>
      </c>
      <c r="D11" s="105" t="s">
        <v>480</v>
      </c>
      <c r="E11" s="56" t="str">
        <f>VLOOKUP($C11,'Summary | 01 '!$C$6:$R$43,E$5,0)</f>
        <v>Unrealized</v>
      </c>
      <c r="F11" s="56" t="str">
        <f>VLOOKUP($C11,'Summary | 01 '!$C$6:$R$43,F$5,0)</f>
        <v>Elaine</v>
      </c>
      <c r="G11" s="56" t="str">
        <f>VLOOKUP($C11,'Summary | 01 '!$C$6:$R$43,G$5,0)</f>
        <v>Mozn 2</v>
      </c>
      <c r="H11" s="60">
        <f>VLOOKUP($C11,'Summary | 01 '!$C$6:$R$43,H$5,0)</f>
        <v>2022</v>
      </c>
      <c r="I11" s="60" t="str">
        <f>VLOOKUP($C11,'Summary | 01 '!$C$6:$R$43,I$5,0)</f>
        <v>Equity-TBC</v>
      </c>
      <c r="J11" s="226">
        <f>VLOOKUP($C11,'Summary | 01 '!$C$6:$R$43,J$5,0)</f>
        <v>0.05</v>
      </c>
      <c r="K11" s="71">
        <f>VLOOKUP($C11,'Summary | 01 '!$C$6:$R$43,K$5,0)</f>
        <v>493.5</v>
      </c>
      <c r="L11" s="71">
        <f ca="1">VLOOKUP($C11,'Summary | 01 '!$C$6:$R$43,L$5,0)</f>
        <v>493.50095619999996</v>
      </c>
      <c r="M11" s="71">
        <f ca="1">VLOOKUP($C11,'Summary | 01 '!$C$6:$R$43,M$5,0)</f>
        <v>0</v>
      </c>
      <c r="N11" s="71">
        <f>VLOOKUP($C11,'Summary | 01 '!$C$6:$R$43,N$5,0)</f>
        <v>424.06661818181823</v>
      </c>
      <c r="O11" s="71">
        <f ca="1">VLOOKUP($C11,'Summary | 01 '!$C$6:$R$43,O$5,0)</f>
        <v>-69.434338018181734</v>
      </c>
      <c r="P11" s="71" t="s">
        <v>180</v>
      </c>
      <c r="Q11" s="226" t="str">
        <f>VLOOKUP($C11,'Summary | 01 '!$C$6:$R$43,Q$5,0)</f>
        <v>NM</v>
      </c>
      <c r="R11" s="64">
        <f ca="1">VLOOKUP($C11,'Summary | 01 '!$C$6:$R$43,R$5,0)</f>
        <v>0.85930252586979339</v>
      </c>
      <c r="S11" s="71">
        <f>VLOOKUP($C11,'Summary | 01 '!$C$6:$R$43,S$5,0)</f>
        <v>0</v>
      </c>
      <c r="T11" s="223"/>
      <c r="U11" s="166"/>
      <c r="W11" s="80" t="s">
        <v>516</v>
      </c>
      <c r="X11" s="608">
        <f ca="1">O27</f>
        <v>-35.531816972584615</v>
      </c>
    </row>
    <row r="12" spans="2:24" x14ac:dyDescent="0.25">
      <c r="B12" s="165"/>
      <c r="C12" s="58" t="s">
        <v>422</v>
      </c>
      <c r="D12" s="105" t="s">
        <v>481</v>
      </c>
      <c r="E12" s="56" t="str">
        <f>VLOOKUP($C12,'Summary | 01 '!$C$6:$R$43,E$5,0)</f>
        <v>Unrealized</v>
      </c>
      <c r="F12" s="56" t="str">
        <f>VLOOKUP($C12,'Summary | 01 '!$C$6:$R$43,F$5,0)</f>
        <v>Elaine</v>
      </c>
      <c r="G12" s="56" t="str">
        <f>VLOOKUP($C12,'Summary | 01 '!$C$6:$R$43,G$5,0)</f>
        <v>Mozn</v>
      </c>
      <c r="H12" s="60">
        <f>VLOOKUP($C12,'Summary | 01 '!$C$6:$R$43,H$5,0)</f>
        <v>2021</v>
      </c>
      <c r="I12" s="60" t="str">
        <f>VLOOKUP($C12,'Summary | 01 '!$C$6:$R$43,I$5,0)</f>
        <v xml:space="preserve">Loan </v>
      </c>
      <c r="J12" s="226" t="str">
        <f>VLOOKUP($C12,'Summary | 01 '!$C$6:$R$43,J$5,0)</f>
        <v>n/a</v>
      </c>
      <c r="K12" s="71">
        <f>VLOOKUP($C12,'Summary | 01 '!$C$6:$R$43,K$5,0)</f>
        <v>2.3539819999999998</v>
      </c>
      <c r="L12" s="71">
        <f>VLOOKUP($C12,'Summary | 01 '!$C$6:$R$43,L$5,0)</f>
        <v>2.3539819999999998</v>
      </c>
      <c r="M12" s="71">
        <f>VLOOKUP($C12,'Summary | 01 '!$C$6:$R$43,M$5,0)</f>
        <v>0</v>
      </c>
      <c r="N12" s="71">
        <f>VLOOKUP($C12,'Summary | 01 '!$C$6:$R$43,N$5,0)</f>
        <v>2.3539819999999998</v>
      </c>
      <c r="O12" s="71">
        <f>VLOOKUP($C12,'Summary | 01 '!$C$6:$R$43,O$5,0)</f>
        <v>0</v>
      </c>
      <c r="P12" s="71">
        <v>0</v>
      </c>
      <c r="Q12" s="226">
        <f>VLOOKUP($C12,'Summary | 01 '!$C$6:$R$43,Q$5,0)</f>
        <v>2.9802322387695314E-9</v>
      </c>
      <c r="R12" s="64">
        <f>VLOOKUP($C12,'Summary | 01 '!$C$6:$R$43,R$5,0)</f>
        <v>1</v>
      </c>
      <c r="S12" s="71">
        <f>VLOOKUP($C12,'Summary | 01 '!$C$6:$R$43,S$5,0)</f>
        <v>0</v>
      </c>
      <c r="T12" s="223"/>
      <c r="U12" s="166"/>
      <c r="W12" s="80" t="s">
        <v>517</v>
      </c>
      <c r="X12" s="608">
        <f ca="1">X11-227.4</f>
        <v>-262.93181697258461</v>
      </c>
    </row>
    <row r="13" spans="2:24" x14ac:dyDescent="0.25">
      <c r="B13" s="165"/>
      <c r="C13" s="58" t="s">
        <v>411</v>
      </c>
      <c r="D13" s="105" t="s">
        <v>481</v>
      </c>
      <c r="E13" s="56" t="str">
        <f>VLOOKUP($C13,'Summary | 01 '!$C$6:$R$43,E$5,0)</f>
        <v>Realized</v>
      </c>
      <c r="F13" s="56" t="str">
        <f>VLOOKUP($C13,'Summary | 01 '!$C$6:$R$43,F$5,0)</f>
        <v>Sushil</v>
      </c>
      <c r="G13" s="56" t="str">
        <f>VLOOKUP($C13,'Summary | 01 '!$C$6:$R$43,G$5,0)</f>
        <v>Mozn</v>
      </c>
      <c r="H13" s="60">
        <f>VLOOKUP($C13,'Summary | 01 '!$C$6:$R$43,H$5,0)</f>
        <v>2021</v>
      </c>
      <c r="I13" s="60" t="str">
        <f>VLOOKUP($C13,'Summary | 01 '!$C$6:$R$43,I$5,0)</f>
        <v xml:space="preserve">Loan </v>
      </c>
      <c r="J13" s="226" t="str">
        <f>VLOOKUP($C13,'Summary | 01 '!$C$6:$R$43,J$5,0)</f>
        <v>n/a</v>
      </c>
      <c r="K13" s="71">
        <f>VLOOKUP($C13,'Summary | 01 '!$C$6:$R$43,K$5,0)</f>
        <v>0.41176499999999999</v>
      </c>
      <c r="L13" s="71">
        <f>VLOOKUP($C13,'Summary | 01 '!$C$6:$R$43,L$5,0)</f>
        <v>0.41176499999999999</v>
      </c>
      <c r="M13" s="71">
        <f>VLOOKUP($C13,'Summary | 01 '!$C$6:$R$43,M$5,0)</f>
        <v>0.47078465000000003</v>
      </c>
      <c r="N13" s="71">
        <f>VLOOKUP($C13,'Summary | 01 '!$C$6:$R$43,N$5,0)</f>
        <v>0</v>
      </c>
      <c r="O13" s="71">
        <f>VLOOKUP($C13,'Summary | 01 '!$C$6:$R$43,O$5,0)</f>
        <v>5.9019650000000035E-2</v>
      </c>
      <c r="P13" s="71">
        <v>0</v>
      </c>
      <c r="Q13" s="226">
        <f>VLOOKUP($C13,'Summary | 01 '!$C$6:$R$43,Q$5,0)</f>
        <v>7.5277027487754833E-2</v>
      </c>
      <c r="R13" s="64">
        <f>VLOOKUP($C13,'Summary | 01 '!$C$6:$R$43,R$5,0)</f>
        <v>1.1433333333333333</v>
      </c>
      <c r="S13" s="71">
        <f>VLOOKUP($C13,'Summary | 01 '!$C$6:$R$43,S$5,0)</f>
        <v>0</v>
      </c>
      <c r="T13" s="223"/>
      <c r="U13" s="166"/>
      <c r="W13" s="80" t="s">
        <v>32</v>
      </c>
      <c r="X13" s="417">
        <f>Q27</f>
        <v>-1.9320041127502924E-2</v>
      </c>
    </row>
    <row r="14" spans="2:24" x14ac:dyDescent="0.25">
      <c r="B14" s="165"/>
      <c r="C14" s="58" t="s">
        <v>24</v>
      </c>
      <c r="D14" s="105" t="s">
        <v>480</v>
      </c>
      <c r="E14" s="56" t="str">
        <f>VLOOKUP($C14,'Summary | 01 '!$C$6:$R$43,E$5,0)</f>
        <v>Unrealized</v>
      </c>
      <c r="F14" s="56" t="str">
        <f>VLOOKUP($C14,'Summary | 01 '!$C$6:$R$43,F$5,0)</f>
        <v>Sushil</v>
      </c>
      <c r="G14" s="56" t="str">
        <f>VLOOKUP($C14,'Summary | 01 '!$C$6:$R$43,G$5,0)</f>
        <v>Mozn 1</v>
      </c>
      <c r="H14" s="60">
        <f>VLOOKUP($C14,'Summary | 01 '!$C$6:$R$43,H$5,0)</f>
        <v>2021</v>
      </c>
      <c r="I14" s="60" t="str">
        <f>VLOOKUP($C14,'Summary | 01 '!$C$6:$R$43,I$5,0)</f>
        <v>A (Ordinary Shares)</v>
      </c>
      <c r="J14" s="226">
        <f>VLOOKUP($C14,'Summary | 01 '!$C$6:$R$43,J$5,0)</f>
        <v>0.03</v>
      </c>
      <c r="K14" s="71">
        <f>VLOOKUP($C14,'Summary | 01 '!$C$6:$R$43,K$5,0)</f>
        <v>20</v>
      </c>
      <c r="L14" s="71">
        <f ca="1">VLOOKUP($C14,'Summary | 01 '!$C$6:$R$43,L$5,0)</f>
        <v>20</v>
      </c>
      <c r="M14" s="71">
        <f ca="1">VLOOKUP($C14,'Summary | 01 '!$C$6:$R$43,M$5,0)</f>
        <v>0</v>
      </c>
      <c r="N14" s="71">
        <f>VLOOKUP($C14,'Summary | 01 '!$C$6:$R$43,N$5,0)</f>
        <v>20</v>
      </c>
      <c r="O14" s="71">
        <f ca="1">VLOOKUP($C14,'Summary | 01 '!$C$6:$R$43,O$5,0)</f>
        <v>0</v>
      </c>
      <c r="P14" s="71">
        <v>0</v>
      </c>
      <c r="Q14" s="226">
        <f>VLOOKUP($C14,'Summary | 01 '!$C$6:$R$43,Q$5,0)</f>
        <v>2.9802322387695314E-9</v>
      </c>
      <c r="R14" s="64">
        <f ca="1">VLOOKUP($C14,'Summary | 01 '!$C$6:$R$43,R$5,0)</f>
        <v>1</v>
      </c>
      <c r="S14" s="71">
        <f>VLOOKUP($C14,'Summary | 01 '!$C$6:$R$43,S$5,0)</f>
        <v>0</v>
      </c>
      <c r="T14" s="223"/>
      <c r="U14" s="166"/>
    </row>
    <row r="15" spans="2:24" x14ac:dyDescent="0.25">
      <c r="B15" s="165"/>
      <c r="C15" s="58" t="s">
        <v>52</v>
      </c>
      <c r="D15" s="105" t="s">
        <v>480</v>
      </c>
      <c r="E15" s="56" t="str">
        <f>VLOOKUP($C15,'Summary | 01 '!$C$6:$R$43,E$5,0)</f>
        <v>To be Exited</v>
      </c>
      <c r="F15" s="56" t="str">
        <f>VLOOKUP($C15,'Summary | 01 '!$C$6:$R$43,F$5,0)</f>
        <v>Ignasi</v>
      </c>
      <c r="G15" s="56" t="str">
        <f>VLOOKUP($C15,'Summary | 01 '!$C$6:$R$43,G$5,0)</f>
        <v>Mozn</v>
      </c>
      <c r="H15" s="60">
        <f>VLOOKUP($C15,'Summary | 01 '!$C$6:$R$43,H$5,0)</f>
        <v>2021</v>
      </c>
      <c r="I15" s="60" t="str">
        <f>VLOOKUP($C15,'Summary | 01 '!$C$6:$R$43,I$5,0)</f>
        <v xml:space="preserve">B Prefs </v>
      </c>
      <c r="J15" s="226">
        <f>VLOOKUP($C15,'Summary | 01 '!$C$6:$R$43,J$5,0)</f>
        <v>1.1489405791845828E-2</v>
      </c>
      <c r="K15" s="71">
        <f>VLOOKUP($C15,'Summary | 01 '!$C$6:$R$43,K$5,0)</f>
        <v>5.0278211945578235</v>
      </c>
      <c r="L15" s="71">
        <f ca="1">VLOOKUP($C15,'Summary | 01 '!$C$6:$R$43,L$5,0)</f>
        <v>5.0237201984774336</v>
      </c>
      <c r="M15" s="71">
        <f ca="1">VLOOKUP($C15,'Summary | 01 '!$C$6:$R$43,M$5,0)</f>
        <v>0</v>
      </c>
      <c r="N15" s="71">
        <f>VLOOKUP($C15,'Summary | 01 '!$C$6:$R$43,N$5,0)</f>
        <v>5.0237201984774336</v>
      </c>
      <c r="O15" s="71">
        <f ca="1">VLOOKUP($C15,'Summary | 01 '!$C$6:$R$43,O$5,0)</f>
        <v>0</v>
      </c>
      <c r="P15" s="71">
        <v>0</v>
      </c>
      <c r="Q15" s="226">
        <f>VLOOKUP($C15,'Summary | 01 '!$C$6:$R$43,Q$5,0)</f>
        <v>2.9802322387695314E-9</v>
      </c>
      <c r="R15" s="64">
        <f ca="1">VLOOKUP($C15,'Summary | 01 '!$C$6:$R$43,R$5,0)</f>
        <v>1</v>
      </c>
      <c r="S15" s="71">
        <f>VLOOKUP($C15,'Summary | 01 '!$C$6:$R$43,S$5,0)</f>
        <v>0</v>
      </c>
      <c r="T15" s="223"/>
      <c r="U15" s="166"/>
    </row>
    <row r="16" spans="2:24" x14ac:dyDescent="0.25">
      <c r="B16" s="165"/>
      <c r="C16" s="58" t="s">
        <v>50</v>
      </c>
      <c r="D16" s="105" t="s">
        <v>480</v>
      </c>
      <c r="E16" s="56" t="str">
        <f>VLOOKUP($C16,'Summary | 01 '!$C$6:$R$43,E$5,0)</f>
        <v>Unrealized</v>
      </c>
      <c r="F16" s="56" t="str">
        <f>VLOOKUP($C16,'Summary | 01 '!$C$6:$R$43,F$5,0)</f>
        <v>Ignasi</v>
      </c>
      <c r="G16" s="56" t="str">
        <f>VLOOKUP($C16,'Summary | 01 '!$C$6:$R$43,G$5,0)</f>
        <v>Mozn</v>
      </c>
      <c r="H16" s="60">
        <f>VLOOKUP($C16,'Summary | 01 '!$C$6:$R$43,H$5,0)</f>
        <v>2021</v>
      </c>
      <c r="I16" s="60" t="str">
        <f>VLOOKUP($C16,'Summary | 01 '!$C$6:$R$43,I$5,0)</f>
        <v>F Prefs</v>
      </c>
      <c r="J16" s="226">
        <f>VLOOKUP($C16,'Summary | 01 '!$C$6:$R$43,J$5,0)</f>
        <v>0.01</v>
      </c>
      <c r="K16" s="71">
        <f>VLOOKUP($C16,'Summary | 01 '!$C$6:$R$43,K$5,0)</f>
        <v>40</v>
      </c>
      <c r="L16" s="71">
        <f ca="1">VLOOKUP($C16,'Summary | 01 '!$C$6:$R$43,L$5,0)</f>
        <v>39.999983359999995</v>
      </c>
      <c r="M16" s="71">
        <f ca="1">VLOOKUP($C16,'Summary | 01 '!$C$6:$R$43,M$5,0)</f>
        <v>0</v>
      </c>
      <c r="N16" s="71">
        <f>VLOOKUP($C16,'Summary | 01 '!$C$6:$R$43,N$5,0)</f>
        <v>39.999983359999995</v>
      </c>
      <c r="O16" s="71">
        <f ca="1">VLOOKUP($C16,'Summary | 01 '!$C$6:$R$43,O$5,0)</f>
        <v>0</v>
      </c>
      <c r="P16" s="71">
        <v>0</v>
      </c>
      <c r="Q16" s="226">
        <f>VLOOKUP($C16,'Summary | 01 '!$C$6:$R$43,Q$5,0)</f>
        <v>2.9802322387695314E-9</v>
      </c>
      <c r="R16" s="64">
        <f ca="1">VLOOKUP($C16,'Summary | 01 '!$C$6:$R$43,R$5,0)</f>
        <v>1</v>
      </c>
      <c r="S16" s="71">
        <f>VLOOKUP($C16,'Summary | 01 '!$C$6:$R$43,S$5,0)</f>
        <v>0</v>
      </c>
      <c r="T16" s="223"/>
      <c r="U16" s="166"/>
    </row>
    <row r="17" spans="2:24" x14ac:dyDescent="0.25">
      <c r="B17" s="165"/>
      <c r="C17" s="58" t="s">
        <v>51</v>
      </c>
      <c r="D17" s="105" t="s">
        <v>480</v>
      </c>
      <c r="E17" s="56" t="str">
        <f>VLOOKUP($C17,'Summary | 01 '!$C$6:$R$43,E$5,0)</f>
        <v>Unrealized</v>
      </c>
      <c r="F17" s="56" t="str">
        <f>VLOOKUP($C17,'Summary | 01 '!$C$6:$R$43,F$5,0)</f>
        <v>Sushil</v>
      </c>
      <c r="G17" s="56" t="str">
        <f>VLOOKUP($C17,'Summary | 01 '!$C$6:$R$43,G$5,0)</f>
        <v>Mozn</v>
      </c>
      <c r="H17" s="60">
        <f>VLOOKUP($C17,'Summary | 01 '!$C$6:$R$43,H$5,0)</f>
        <v>2021</v>
      </c>
      <c r="I17" s="60" t="str">
        <f>VLOOKUP($C17,'Summary | 01 '!$C$6:$R$43,I$5,0)</f>
        <v>A Pref Units</v>
      </c>
      <c r="J17" s="226">
        <f>VLOOKUP($C17,'Summary | 01 '!$C$6:$R$43,J$5,0)</f>
        <v>6.8571428571428575E-2</v>
      </c>
      <c r="K17" s="71">
        <f>VLOOKUP($C17,'Summary | 01 '!$C$6:$R$43,K$5,0)</f>
        <v>3</v>
      </c>
      <c r="L17" s="71">
        <f ca="1">VLOOKUP($C17,'Summary | 01 '!$C$6:$R$43,L$5,0)</f>
        <v>3</v>
      </c>
      <c r="M17" s="71">
        <f ca="1">VLOOKUP($C17,'Summary | 01 '!$C$6:$R$43,M$5,0)</f>
        <v>0</v>
      </c>
      <c r="N17" s="71">
        <f>VLOOKUP($C17,'Summary | 01 '!$C$6:$R$43,N$5,0)</f>
        <v>3</v>
      </c>
      <c r="O17" s="71">
        <f ca="1">VLOOKUP($C17,'Summary | 01 '!$C$6:$R$43,O$5,0)</f>
        <v>0</v>
      </c>
      <c r="P17" s="71">
        <v>0</v>
      </c>
      <c r="Q17" s="226">
        <f>VLOOKUP($C17,'Summary | 01 '!$C$6:$R$43,Q$5,0)</f>
        <v>2.9802322387695314E-9</v>
      </c>
      <c r="R17" s="64">
        <f ca="1">VLOOKUP($C17,'Summary | 01 '!$C$6:$R$43,R$5,0)</f>
        <v>1</v>
      </c>
      <c r="S17" s="71">
        <f>VLOOKUP($C17,'Summary | 01 '!$C$6:$R$43,S$5,0)</f>
        <v>0</v>
      </c>
      <c r="T17" s="223"/>
      <c r="U17" s="166"/>
    </row>
    <row r="18" spans="2:24" x14ac:dyDescent="0.25">
      <c r="B18" s="165"/>
      <c r="C18" s="58" t="s">
        <v>49</v>
      </c>
      <c r="D18" s="105" t="s">
        <v>480</v>
      </c>
      <c r="E18" s="56" t="str">
        <f>VLOOKUP($C18,'Summary | 01 '!$C$6:$R$43,E$5,0)</f>
        <v>Realized</v>
      </c>
      <c r="F18" s="56" t="str">
        <f>VLOOKUP($C18,'Summary | 01 '!$C$6:$R$43,F$5,0)</f>
        <v>Sushil</v>
      </c>
      <c r="G18" s="56" t="str">
        <f>VLOOKUP($C18,'Summary | 01 '!$C$6:$R$43,G$5,0)</f>
        <v>Mozn</v>
      </c>
      <c r="H18" s="60">
        <f>VLOOKUP($C18,'Summary | 01 '!$C$6:$R$43,H$5,0)</f>
        <v>2020</v>
      </c>
      <c r="I18" s="60" t="str">
        <f>VLOOKUP($C18,'Summary | 01 '!$C$6:$R$43,I$5,0)</f>
        <v>Convertible Note</v>
      </c>
      <c r="J18" s="226" t="str">
        <f>VLOOKUP($C18,'Summary | 01 '!$C$6:$R$43,J$5,0)</f>
        <v>n/a</v>
      </c>
      <c r="K18" s="71">
        <f>VLOOKUP($C18,'Summary | 01 '!$C$6:$R$43,K$5,0)</f>
        <v>2.5</v>
      </c>
      <c r="L18" s="71">
        <f ca="1">VLOOKUP($C18,'Summary | 01 '!$C$6:$R$43,L$5,0)</f>
        <v>2.5</v>
      </c>
      <c r="M18" s="71">
        <f ca="1">VLOOKUP($C18,'Summary | 01 '!$C$6:$R$43,M$5,0)</f>
        <v>5</v>
      </c>
      <c r="N18" s="71">
        <f>VLOOKUP($C18,'Summary | 01 '!$C$6:$R$43,N$5,0)</f>
        <v>0</v>
      </c>
      <c r="O18" s="71">
        <f ca="1">VLOOKUP($C18,'Summary | 01 '!$C$6:$R$43,O$5,0)</f>
        <v>2.5</v>
      </c>
      <c r="P18" s="71">
        <v>2.5</v>
      </c>
      <c r="Q18" s="226">
        <f>VLOOKUP($C18,'Summary | 01 '!$C$6:$R$43,Q$5,0)</f>
        <v>0.36091765761375438</v>
      </c>
      <c r="R18" s="64">
        <f ca="1">VLOOKUP($C18,'Summary | 01 '!$C$6:$R$43,R$5,0)</f>
        <v>2</v>
      </c>
      <c r="S18" s="71">
        <f>VLOOKUP($C18,'Summary | 01 '!$C$6:$R$43,S$5,0)</f>
        <v>0</v>
      </c>
      <c r="T18" s="223"/>
      <c r="U18" s="166"/>
    </row>
    <row r="19" spans="2:24" x14ac:dyDescent="0.25">
      <c r="B19" s="165"/>
      <c r="C19" s="58" t="s">
        <v>11</v>
      </c>
      <c r="D19" s="105" t="s">
        <v>480</v>
      </c>
      <c r="E19" s="56" t="str">
        <f>VLOOKUP($C19,'Summary | 01 '!$C$6:$R$43,E$5,0)</f>
        <v>Unrealized</v>
      </c>
      <c r="F19" s="56" t="str">
        <f>VLOOKUP($C19,'Summary | 01 '!$C$6:$R$43,F$5,0)</f>
        <v>Elaine</v>
      </c>
      <c r="G19" s="56" t="str">
        <f>VLOOKUP($C19,'Summary | 01 '!$C$6:$R$43,G$5,0)</f>
        <v>Mozn</v>
      </c>
      <c r="H19" s="60">
        <f>VLOOKUP($C19,'Summary | 01 '!$C$6:$R$43,H$5,0)</f>
        <v>2020</v>
      </c>
      <c r="I19" s="60" t="str">
        <f>VLOOKUP($C19,'Summary | 01 '!$C$6:$R$43,I$5,0)</f>
        <v>Registered Capital</v>
      </c>
      <c r="J19" s="226">
        <f>VLOOKUP($C19,'Summary | 01 '!$C$6:$R$43,J$5,0)</f>
        <v>0.14380000000000001</v>
      </c>
      <c r="K19" s="71">
        <f>VLOOKUP($C19,'Summary | 01 '!$C$6:$R$43,K$5,0)</f>
        <v>60</v>
      </c>
      <c r="L19" s="71">
        <f ca="1">VLOOKUP($C19,'Summary | 01 '!$C$6:$R$43,L$5,0)</f>
        <v>60</v>
      </c>
      <c r="M19" s="71">
        <f ca="1">VLOOKUP($C19,'Summary | 01 '!$C$6:$R$43,M$5,0)</f>
        <v>0</v>
      </c>
      <c r="N19" s="71">
        <f>VLOOKUP($C19,'Summary | 01 '!$C$6:$R$43,N$5,0)</f>
        <v>119.24980363636364</v>
      </c>
      <c r="O19" s="71">
        <f ca="1">VLOOKUP($C19,'Summary | 01 '!$C$6:$R$43,O$5,0)</f>
        <v>59.249803636363637</v>
      </c>
      <c r="P19" s="71">
        <v>-39.700000000000003</v>
      </c>
      <c r="Q19" s="226">
        <f>VLOOKUP($C19,'Summary | 01 '!$C$6:$R$43,Q$5,0)</f>
        <v>0.3430626928806304</v>
      </c>
      <c r="R19" s="64">
        <f ca="1">VLOOKUP($C19,'Summary | 01 '!$C$6:$R$43,R$5,0)</f>
        <v>1.9874967272727273</v>
      </c>
      <c r="S19" s="71">
        <f>VLOOKUP($C19,'Summary | 01 '!$C$6:$R$43,S$5,0)</f>
        <v>0</v>
      </c>
      <c r="T19" s="223"/>
      <c r="U19" s="166"/>
    </row>
    <row r="20" spans="2:24" x14ac:dyDescent="0.25">
      <c r="B20" s="165"/>
      <c r="C20" s="58" t="s">
        <v>47</v>
      </c>
      <c r="D20" s="105" t="s">
        <v>480</v>
      </c>
      <c r="E20" s="56" t="str">
        <f>VLOOKUP($C20,'Summary | 01 '!$C$6:$R$43,E$5,0)</f>
        <v>Unrealized</v>
      </c>
      <c r="F20" s="56" t="str">
        <f>VLOOKUP($C20,'Summary | 01 '!$C$6:$R$43,F$5,0)</f>
        <v>Divyesh</v>
      </c>
      <c r="G20" s="56" t="str">
        <f>VLOOKUP($C20,'Summary | 01 '!$C$6:$R$43,G$5,0)</f>
        <v>Mozn</v>
      </c>
      <c r="H20" s="60">
        <f>VLOOKUP($C20,'Summary | 01 '!$C$6:$R$43,H$5,0)</f>
        <v>2020</v>
      </c>
      <c r="I20" s="60" t="str">
        <f>VLOOKUP($C20,'Summary | 01 '!$C$6:$R$43,I$5,0)</f>
        <v>C Prefs</v>
      </c>
      <c r="J20" s="226">
        <f>VLOOKUP($C20,'Summary | 01 '!$C$6:$R$43,J$5,0)</f>
        <v>9.7394820318943254E-2</v>
      </c>
      <c r="K20" s="71">
        <f>VLOOKUP($C20,'Summary | 01 '!$C$6:$R$43,K$5,0)</f>
        <v>90</v>
      </c>
      <c r="L20" s="71">
        <f ca="1">VLOOKUP($C20,'Summary | 01 '!$C$6:$R$43,L$5,0)</f>
        <v>90</v>
      </c>
      <c r="M20" s="71">
        <f ca="1">VLOOKUP($C20,'Summary | 01 '!$C$6:$R$43,M$5,0)</f>
        <v>0</v>
      </c>
      <c r="N20" s="71">
        <f>VLOOKUP($C20,'Summary | 01 '!$C$6:$R$43,N$5,0)</f>
        <v>91.001540300000002</v>
      </c>
      <c r="O20" s="71">
        <f ca="1">VLOOKUP($C20,'Summary | 01 '!$C$6:$R$43,O$5,0)</f>
        <v>1.001540300000002</v>
      </c>
      <c r="P20" s="71">
        <v>0</v>
      </c>
      <c r="Q20" s="226">
        <f>VLOOKUP($C20,'Summary | 01 '!$C$6:$R$43,Q$5,0)</f>
        <v>3.8127034902572634E-3</v>
      </c>
      <c r="R20" s="64">
        <f ca="1">VLOOKUP($C20,'Summary | 01 '!$C$6:$R$43,R$5,0)</f>
        <v>1.0111282255555556</v>
      </c>
      <c r="S20" s="71">
        <f>VLOOKUP($C20,'Summary | 01 '!$C$6:$R$43,S$5,0)</f>
        <v>0</v>
      </c>
      <c r="T20" s="223"/>
      <c r="U20" s="166"/>
    </row>
    <row r="21" spans="2:24" x14ac:dyDescent="0.25">
      <c r="B21" s="165"/>
      <c r="C21" s="58" t="s">
        <v>133</v>
      </c>
      <c r="D21" s="105" t="s">
        <v>480</v>
      </c>
      <c r="E21" s="56" t="str">
        <f>VLOOKUP($C21,'Summary | 01 '!$C$6:$R$43,E$5,0)</f>
        <v>Unrealized</v>
      </c>
      <c r="F21" s="56" t="str">
        <f>VLOOKUP($C21,'Summary | 01 '!$C$6:$R$43,F$5,0)</f>
        <v>Divyesh</v>
      </c>
      <c r="G21" s="56" t="str">
        <f>VLOOKUP($C21,'Summary | 01 '!$C$6:$R$43,G$5,0)</f>
        <v>Mozn</v>
      </c>
      <c r="H21" s="60">
        <f>VLOOKUP($C21,'Summary | 01 '!$C$6:$R$43,H$5,0)</f>
        <v>2020</v>
      </c>
      <c r="I21" s="60" t="str">
        <f>VLOOKUP($C21,'Summary | 01 '!$C$6:$R$43,I$5,0)</f>
        <v>Ordinary Shares</v>
      </c>
      <c r="J21" s="226">
        <f>VLOOKUP($C21,'Summary | 01 '!$C$6:$R$43,J$5,0)</f>
        <v>5.3819975256209518E-2</v>
      </c>
      <c r="K21" s="71">
        <f>VLOOKUP($C21,'Summary | 01 '!$C$6:$R$43,K$5,0)</f>
        <v>141.4702596743665</v>
      </c>
      <c r="L21" s="71">
        <f ca="1">VLOOKUP($C21,'Summary | 01 '!$C$6:$R$43,L$5,0)</f>
        <v>141.4702596743665</v>
      </c>
      <c r="M21" s="71">
        <f ca="1">VLOOKUP($C21,'Summary | 01 '!$C$6:$R$43,M$5,0)</f>
        <v>0</v>
      </c>
      <c r="N21" s="71">
        <f>VLOOKUP($C21,'Summary | 01 '!$C$6:$R$43,N$5,0)</f>
        <v>122.38018713359999</v>
      </c>
      <c r="O21" s="71">
        <f ca="1">VLOOKUP($C21,'Summary | 01 '!$C$6:$R$43,O$5,0)</f>
        <v>-19.090072540766513</v>
      </c>
      <c r="P21" s="71">
        <v>275.8</v>
      </c>
      <c r="Q21" s="226">
        <f>VLOOKUP($C21,'Summary | 01 '!$C$6:$R$43,Q$5,0)</f>
        <v>-5.0375112891197213E-2</v>
      </c>
      <c r="R21" s="64">
        <f ca="1">VLOOKUP($C21,'Summary | 01 '!$C$6:$R$43,R$5,0)</f>
        <v>0.86505946490302854</v>
      </c>
      <c r="S21" s="71">
        <f>VLOOKUP($C21,'Summary | 01 '!$C$6:$R$43,S$5,0)</f>
        <v>0</v>
      </c>
      <c r="T21" s="223"/>
      <c r="U21" s="166"/>
    </row>
    <row r="22" spans="2:24" ht="17.25" x14ac:dyDescent="0.25">
      <c r="B22" s="165"/>
      <c r="C22" s="58" t="s">
        <v>48</v>
      </c>
      <c r="D22" s="105" t="s">
        <v>480</v>
      </c>
      <c r="E22" s="56" t="str">
        <f>VLOOKUP($C22,'Summary | 01 '!$C$6:$R$43,E$5,0)</f>
        <v>Unrealized</v>
      </c>
      <c r="F22" s="56" t="str">
        <f>VLOOKUP($C22,'Summary | 01 '!$C$6:$R$43,F$5,0)</f>
        <v>Sushil</v>
      </c>
      <c r="G22" s="56" t="str">
        <f>VLOOKUP($C22,'Summary | 01 '!$C$6:$R$43,G$5,0)</f>
        <v>Mozn</v>
      </c>
      <c r="H22" s="60">
        <f>VLOOKUP($C22,'Summary | 01 '!$C$6:$R$43,H$5,0)</f>
        <v>2019</v>
      </c>
      <c r="I22" s="60" t="str">
        <f>VLOOKUP($C22,'Summary | 01 '!$C$6:$R$43,I$5,0)</f>
        <v>B-1,2 Prefs</v>
      </c>
      <c r="J22" s="226">
        <f>VLOOKUP($C22,'Summary | 01 '!$C$6:$R$43,J$5,0)</f>
        <v>8.5025484621212399E-2</v>
      </c>
      <c r="K22" s="71">
        <f>VLOOKUP($C22,'Summary | 01 '!$C$6:$R$43,K$5,0)</f>
        <v>10</v>
      </c>
      <c r="L22" s="71">
        <f ca="1">VLOOKUP($C22,'Summary | 01 '!$C$6:$R$43,L$5,0)</f>
        <v>10</v>
      </c>
      <c r="M22" s="71">
        <f ca="1">VLOOKUP($C22,'Summary | 01 '!$C$6:$R$43,M$5,0)</f>
        <v>0</v>
      </c>
      <c r="N22" s="71">
        <f>VLOOKUP($C22,'Summary | 01 '!$C$6:$R$43,N$5,0)</f>
        <v>78.082229999999996</v>
      </c>
      <c r="O22" s="71">
        <f ca="1">VLOOKUP($C22,'Summary | 01 '!$C$6:$R$43,O$5,0)</f>
        <v>68.082229999999996</v>
      </c>
      <c r="P22" s="71">
        <v>68.099999999999994</v>
      </c>
      <c r="Q22" s="226">
        <f>VLOOKUP($C22,'Summary | 01 '!$C$6:$R$43,Q$5,0)</f>
        <v>0.78328729867935198</v>
      </c>
      <c r="R22" s="64">
        <f ca="1">VLOOKUP($C22,'Summary | 01 '!$C$6:$R$43,R$5,0)</f>
        <v>7.8082229999999999</v>
      </c>
      <c r="S22" s="71">
        <f>VLOOKUP($C22,'Summary | 01 '!$C$6:$R$43,S$5,0)</f>
        <v>0</v>
      </c>
      <c r="T22" s="223" t="s">
        <v>207</v>
      </c>
      <c r="U22" s="166"/>
    </row>
    <row r="23" spans="2:24" x14ac:dyDescent="0.25">
      <c r="B23" s="165"/>
      <c r="C23" s="58" t="s">
        <v>0</v>
      </c>
      <c r="D23" s="105" t="s">
        <v>480</v>
      </c>
      <c r="E23" s="56" t="str">
        <f>VLOOKUP($C23,'Summary | 01 '!$C$6:$R$43,E$5,0)</f>
        <v>Unrealized</v>
      </c>
      <c r="F23" s="56" t="str">
        <f>VLOOKUP($C23,'Summary | 01 '!$C$6:$R$43,F$5,0)</f>
        <v>Elaine</v>
      </c>
      <c r="G23" s="56" t="str">
        <f>VLOOKUP($C23,'Summary | 01 '!$C$6:$R$43,G$5,0)</f>
        <v>Mozn</v>
      </c>
      <c r="H23" s="60">
        <f>VLOOKUP($C23,'Summary | 01 '!$C$6:$R$43,H$5,0)</f>
        <v>2019</v>
      </c>
      <c r="I23" s="60" t="str">
        <f>VLOOKUP($C23,'Summary | 01 '!$C$6:$R$43,I$5,0)</f>
        <v>B Prefs</v>
      </c>
      <c r="J23" s="226">
        <f>VLOOKUP($C23,'Summary | 01 '!$C$6:$R$43,J$5,0)</f>
        <v>0.14000000235296001</v>
      </c>
      <c r="K23" s="71">
        <f>VLOOKUP($C23,'Summary | 01 '!$C$6:$R$43,K$5,0)</f>
        <v>8</v>
      </c>
      <c r="L23" s="71">
        <f ca="1">VLOOKUP($C23,'Summary | 01 '!$C$6:$R$43,L$5,0)</f>
        <v>8</v>
      </c>
      <c r="M23" s="71">
        <f ca="1">VLOOKUP($C23,'Summary | 01 '!$C$6:$R$43,M$5,0)</f>
        <v>0</v>
      </c>
      <c r="N23" s="71">
        <f>VLOOKUP($C23,'Summary | 01 '!$C$6:$R$43,N$5,0)</f>
        <v>3.1</v>
      </c>
      <c r="O23" s="71">
        <f ca="1">VLOOKUP($C23,'Summary | 01 '!$C$6:$R$43,O$5,0)</f>
        <v>-4.9000000000000004</v>
      </c>
      <c r="P23" s="71">
        <v>-6.3</v>
      </c>
      <c r="Q23" s="226">
        <f>VLOOKUP($C23,'Summary | 01 '!$C$6:$R$43,Q$5,0)</f>
        <v>-0.21191685423254969</v>
      </c>
      <c r="R23" s="64">
        <f ca="1">VLOOKUP($C23,'Summary | 01 '!$C$6:$R$43,R$5,0)</f>
        <v>0.38750000000000001</v>
      </c>
      <c r="S23" s="71">
        <f>VLOOKUP($C23,'Summary | 01 '!$C$6:$R$43,S$5,0)</f>
        <v>0</v>
      </c>
      <c r="T23" s="223"/>
      <c r="U23" s="166"/>
    </row>
    <row r="24" spans="2:24" x14ac:dyDescent="0.25">
      <c r="B24" s="165"/>
      <c r="C24" s="58" t="s">
        <v>58</v>
      </c>
      <c r="D24" s="105" t="s">
        <v>481</v>
      </c>
      <c r="E24" s="56" t="str">
        <f>VLOOKUP($C24,'Summary | 01 '!$C$6:$R$43,E$5,0)</f>
        <v>In default</v>
      </c>
      <c r="F24" s="56" t="str">
        <f>VLOOKUP($C24,'Summary | 01 '!$C$6:$R$43,F$5,0)</f>
        <v xml:space="preserve">Marty </v>
      </c>
      <c r="G24" s="56" t="str">
        <f>VLOOKUP($C24,'Summary | 01 '!$C$6:$R$43,G$5,0)</f>
        <v>Mozn</v>
      </c>
      <c r="H24" s="60">
        <f>VLOOKUP($C24,'Summary | 01 '!$C$6:$R$43,H$5,0)</f>
        <v>2019</v>
      </c>
      <c r="I24" s="60" t="str">
        <f>VLOOKUP($C24,'Summary | 01 '!$C$6:$R$43,I$5,0)</f>
        <v>Promissory Note</v>
      </c>
      <c r="J24" s="226" t="str">
        <f>VLOOKUP($C24,'Summary | 01 '!$C$6:$R$43,J$5,0)</f>
        <v>n/a</v>
      </c>
      <c r="K24" s="71">
        <f>VLOOKUP($C24,'Summary | 01 '!$C$6:$R$43,K$5,0)</f>
        <v>8</v>
      </c>
      <c r="L24" s="71">
        <f>VLOOKUP($C24,'Summary | 01 '!$C$6:$R$43,L$5,0)</f>
        <v>8</v>
      </c>
      <c r="M24" s="71">
        <f>VLOOKUP($C24,'Summary | 01 '!$C$6:$R$43,M$5,0)</f>
        <v>0</v>
      </c>
      <c r="N24" s="71">
        <f>VLOOKUP($C24,'Summary | 01 '!$C$6:$R$43,N$5,0)</f>
        <v>0</v>
      </c>
      <c r="O24" s="71">
        <f>VLOOKUP($C24,'Summary | 01 '!$C$6:$R$43,O$5,0)</f>
        <v>-8</v>
      </c>
      <c r="P24" s="71">
        <v>-8</v>
      </c>
      <c r="Q24" s="226" t="str">
        <f>VLOOKUP($C24,'Summary | 01 '!$C$6:$R$43,Q$5,0)</f>
        <v>NM</v>
      </c>
      <c r="R24" s="64">
        <f>VLOOKUP($C24,'Summary | 01 '!$C$6:$R$43,R$5,0)</f>
        <v>0</v>
      </c>
      <c r="S24" s="71">
        <f>VLOOKUP($C24,'Summary | 01 '!$C$6:$R$43,S$5,0)</f>
        <v>0</v>
      </c>
      <c r="T24" s="223"/>
      <c r="U24" s="166"/>
    </row>
    <row r="25" spans="2:24" x14ac:dyDescent="0.25">
      <c r="B25" s="165"/>
      <c r="C25" s="58" t="s">
        <v>57</v>
      </c>
      <c r="D25" s="105" t="s">
        <v>480</v>
      </c>
      <c r="E25" s="56" t="str">
        <f>VLOOKUP($C25,'Summary | 01 '!$C$6:$R$43,E$5,0)</f>
        <v>In Liquidation</v>
      </c>
      <c r="F25" s="56" t="str">
        <f>VLOOKUP($C25,'Summary | 01 '!$C$6:$R$43,F$5,0)</f>
        <v>Elaine</v>
      </c>
      <c r="G25" s="56" t="str">
        <f>VLOOKUP($C25,'Summary | 01 '!$C$6:$R$43,G$5,0)</f>
        <v>Mozn</v>
      </c>
      <c r="H25" s="60">
        <f>VLOOKUP($C25,'Summary | 01 '!$C$6:$R$43,H$5,0)</f>
        <v>2019</v>
      </c>
      <c r="I25" s="60" t="str">
        <f>VLOOKUP($C25,'Summary | 01 '!$C$6:$R$43,I$5,0)</f>
        <v>C+ Prefs</v>
      </c>
      <c r="J25" s="226">
        <f>VLOOKUP($C25,'Summary | 01 '!$C$6:$R$43,J$5,0)</f>
        <v>5.6999998161926343E-2</v>
      </c>
      <c r="K25" s="71">
        <f>VLOOKUP($C25,'Summary | 01 '!$C$6:$R$43,K$5,0)</f>
        <v>65</v>
      </c>
      <c r="L25" s="71">
        <f ca="1">VLOOKUP($C25,'Summary | 01 '!$C$6:$R$43,L$5,0)</f>
        <v>65</v>
      </c>
      <c r="M25" s="71">
        <f ca="1">VLOOKUP($C25,'Summary | 01 '!$C$6:$R$43,M$5,0)</f>
        <v>0</v>
      </c>
      <c r="N25" s="71">
        <f>VLOOKUP($C25,'Summary | 01 '!$C$6:$R$43,N$5,0)</f>
        <v>0</v>
      </c>
      <c r="O25" s="71">
        <f ca="1">VLOOKUP($C25,'Summary | 01 '!$C$6:$R$43,O$5,0)</f>
        <v>-65</v>
      </c>
      <c r="P25" s="71">
        <v>-65</v>
      </c>
      <c r="Q25" s="226" t="str">
        <f>VLOOKUP($C25,'Summary | 01 '!$C$6:$R$43,Q$5,0)</f>
        <v>NM</v>
      </c>
      <c r="R25" s="64">
        <f ca="1">VLOOKUP($C25,'Summary | 01 '!$C$6:$R$43,R$5,0)</f>
        <v>0</v>
      </c>
      <c r="S25" s="71">
        <f>VLOOKUP($C25,'Summary | 01 '!$C$6:$R$43,S$5,0)</f>
        <v>0</v>
      </c>
      <c r="T25" s="223"/>
      <c r="U25" s="166"/>
    </row>
    <row r="26" spans="2:24" x14ac:dyDescent="0.25">
      <c r="B26" s="165"/>
      <c r="C26" s="59"/>
      <c r="D26" s="67"/>
      <c r="E26" s="61"/>
      <c r="F26" s="61"/>
      <c r="G26" s="61"/>
      <c r="H26" s="61"/>
      <c r="I26" s="68"/>
      <c r="J26" s="486"/>
      <c r="K26" s="78"/>
      <c r="L26" s="78"/>
      <c r="M26" s="78"/>
      <c r="N26" s="78"/>
      <c r="O26" s="78"/>
      <c r="P26" s="78"/>
      <c r="Q26" s="486"/>
      <c r="R26" s="69"/>
      <c r="S26" s="78"/>
      <c r="T26" s="510"/>
      <c r="U26" s="166"/>
    </row>
    <row r="27" spans="2:24" x14ac:dyDescent="0.25">
      <c r="B27" s="165"/>
      <c r="C27" s="63"/>
      <c r="D27" s="63"/>
      <c r="E27" s="63"/>
      <c r="F27" s="63"/>
      <c r="G27" s="63"/>
      <c r="H27" s="63"/>
      <c r="I27" s="63"/>
      <c r="J27" s="229"/>
      <c r="K27" s="72">
        <f>SUM(K9:K25)</f>
        <v>979.2638278689243</v>
      </c>
      <c r="L27" s="72">
        <f ca="1">SUM(L9:L25)</f>
        <v>969.01066643284389</v>
      </c>
      <c r="M27" s="72">
        <f ca="1">SUM(M9:M25)</f>
        <v>5.4707846499999997</v>
      </c>
      <c r="N27" s="72">
        <f>SUM(N9:N25)</f>
        <v>928.00806481025916</v>
      </c>
      <c r="O27" s="72">
        <f ca="1">SUM(O9:O25)</f>
        <v>-35.531816972584615</v>
      </c>
      <c r="P27" s="72">
        <f>SUM(P9:P26)</f>
        <v>227.40000000000003</v>
      </c>
      <c r="Q27" s="75">
        <f>'4. Mozn-IRR'!L16</f>
        <v>-1.9320041127502924E-2</v>
      </c>
      <c r="R27" s="65">
        <f ca="1">(M27+N27)/L27</f>
        <v>0.96333186186341413</v>
      </c>
      <c r="S27" s="72">
        <f>SUM(S9:S25)</f>
        <v>10.25</v>
      </c>
      <c r="T27" s="63">
        <f ca="1">N27+M27-L27</f>
        <v>-35.531816972584693</v>
      </c>
      <c r="U27" s="166"/>
    </row>
    <row r="28" spans="2:24" x14ac:dyDescent="0.25">
      <c r="B28" s="165"/>
      <c r="C28" s="58"/>
      <c r="D28" s="105"/>
      <c r="E28" s="56"/>
      <c r="F28" s="56"/>
      <c r="G28" s="56"/>
      <c r="H28" s="56"/>
      <c r="I28" s="60"/>
      <c r="J28" s="226"/>
      <c r="K28" s="71"/>
      <c r="L28" s="71"/>
      <c r="M28" s="71"/>
      <c r="N28" s="71"/>
      <c r="O28" s="71"/>
      <c r="P28" s="71"/>
      <c r="Q28" s="226"/>
      <c r="R28" s="64"/>
      <c r="S28" s="71"/>
      <c r="T28" s="223"/>
      <c r="U28" s="166"/>
    </row>
    <row r="29" spans="2:24" ht="15.75" thickBot="1" x14ac:dyDescent="0.3">
      <c r="B29" s="165"/>
      <c r="C29" s="58" t="s">
        <v>44</v>
      </c>
      <c r="D29" s="105" t="s">
        <v>480</v>
      </c>
      <c r="E29" s="56" t="str">
        <f>VLOOKUP($C29,'Summary | 01 '!$C$6:$R$43,E$5,0)</f>
        <v>Unrealized</v>
      </c>
      <c r="F29" s="56" t="str">
        <f>VLOOKUP($C29,'Summary | 01 '!$C$6:$R$43,F$5,0)</f>
        <v>Elaine</v>
      </c>
      <c r="G29" s="56" t="str">
        <f>VLOOKUP($C29,'Summary | 01 '!$C$6:$R$43,G$5,0)</f>
        <v>G42 3</v>
      </c>
      <c r="H29" s="60">
        <f>VLOOKUP($C29,'Summary | 01 '!$C$6:$R$43,H$5,0)</f>
        <v>2022</v>
      </c>
      <c r="I29" s="60" t="str">
        <f>VLOOKUP($C29,'Summary | 01 '!$C$6:$R$43,I$5,0)</f>
        <v>Equity-TBC</v>
      </c>
      <c r="J29" s="226">
        <f>VLOOKUP($C29,'Summary | 01 '!$C$6:$R$43,J$5,0)</f>
        <v>1.8823528000000003E-2</v>
      </c>
      <c r="K29" s="71">
        <f ca="1">VLOOKUP($C29,'Summary | 01 '!$C$6:$R$43,K$5,0)</f>
        <v>800</v>
      </c>
      <c r="L29" s="71">
        <f ca="1">VLOOKUP($C29,'Summary | 01 '!$C$6:$R$43,L$5,0)</f>
        <v>800</v>
      </c>
      <c r="M29" s="71">
        <f ca="1">VLOOKUP($C29,'Summary | 01 '!$C$6:$R$43,M$5,0)</f>
        <v>0</v>
      </c>
      <c r="N29" s="71">
        <f>VLOOKUP($C29,'Summary | 01 '!$C$6:$R$43,N$5,0)</f>
        <v>848.76998981818178</v>
      </c>
      <c r="O29" s="71">
        <f ca="1">VLOOKUP($C29,'Summary | 01 '!$C$6:$R$43,O$5,0)</f>
        <v>48.769989818181784</v>
      </c>
      <c r="P29" s="71" t="s">
        <v>180</v>
      </c>
      <c r="Q29" s="226" t="str">
        <f>VLOOKUP($C29,'Summary | 01 '!$C$6:$R$43,Q$5,0)</f>
        <v>NM</v>
      </c>
      <c r="R29" s="64">
        <f ca="1">VLOOKUP($C29,'Summary | 01 '!$C$6:$R$43,R$5,0)</f>
        <v>1.0609624872727272</v>
      </c>
      <c r="S29" s="71">
        <f ca="1">VLOOKUP($C29,'Summary | 01 '!$C$6:$R$43,S$5,0)</f>
        <v>0</v>
      </c>
      <c r="T29" s="223"/>
      <c r="U29" s="166"/>
      <c r="W29" s="609" t="s">
        <v>13</v>
      </c>
      <c r="X29" s="609"/>
    </row>
    <row r="30" spans="2:24" ht="17.25" x14ac:dyDescent="0.25">
      <c r="B30" s="165"/>
      <c r="C30" s="58" t="s">
        <v>25</v>
      </c>
      <c r="D30" s="105" t="s">
        <v>480</v>
      </c>
      <c r="E30" s="56" t="str">
        <f>VLOOKUP($C30,'Summary | 01 '!$C$6:$R$43,E$5,0)</f>
        <v>Unrealized</v>
      </c>
      <c r="F30" s="56" t="str">
        <f>VLOOKUP($C30,'Summary | 01 '!$C$6:$R$43,F$5,0)</f>
        <v>Anton</v>
      </c>
      <c r="G30" s="56" t="str">
        <f>VLOOKUP($C30,'Summary | 01 '!$C$6:$R$43,G$5,0)</f>
        <v>G42</v>
      </c>
      <c r="H30" s="60">
        <f>VLOOKUP($C30,'Summary | 01 '!$C$6:$R$43,H$5,0)</f>
        <v>2022</v>
      </c>
      <c r="I30" s="60" t="str">
        <f>VLOOKUP($C30,'Summary | 01 '!$C$6:$R$43,I$5,0)</f>
        <v>Equity-TBC</v>
      </c>
      <c r="J30" s="226">
        <f>VLOOKUP($C30,'Summary | 01 '!$C$6:$R$43,J$5,0)</f>
        <v>9.4299999999999995E-2</v>
      </c>
      <c r="K30" s="71">
        <f>VLOOKUP($C30,'Summary | 01 '!$C$6:$R$43,K$5,0)</f>
        <v>300</v>
      </c>
      <c r="L30" s="71">
        <f ca="1">VLOOKUP($C30,'Summary | 01 '!$C$6:$R$43,L$5,0)</f>
        <v>300</v>
      </c>
      <c r="M30" s="71">
        <f ca="1">VLOOKUP($C30,'Summary | 01 '!$C$6:$R$43,M$5,0)</f>
        <v>0</v>
      </c>
      <c r="N30" s="71">
        <f>VLOOKUP($C30,'Summary | 01 '!$C$6:$R$43,N$5,0)</f>
        <v>300</v>
      </c>
      <c r="O30" s="71">
        <f ca="1">VLOOKUP($C30,'Summary | 01 '!$C$6:$R$43,O$5,0)</f>
        <v>0</v>
      </c>
      <c r="P30" s="71" t="s">
        <v>180</v>
      </c>
      <c r="Q30" s="226" t="str">
        <f>VLOOKUP($C30,'Summary | 01 '!$C$6:$R$43,Q$5,0)</f>
        <v>NM</v>
      </c>
      <c r="R30" s="64">
        <f ca="1">VLOOKUP($C30,'Summary | 01 '!$C$6:$R$43,R$5,0)</f>
        <v>1</v>
      </c>
      <c r="S30" s="71">
        <f>VLOOKUP($C30,'Summary | 01 '!$C$6:$R$43,S$5,0)</f>
        <v>0</v>
      </c>
      <c r="T30" s="223" t="s">
        <v>208</v>
      </c>
      <c r="U30" s="166"/>
    </row>
    <row r="31" spans="2:24" ht="17.25" x14ac:dyDescent="0.25">
      <c r="B31" s="165"/>
      <c r="C31" s="58" t="s">
        <v>134</v>
      </c>
      <c r="D31" s="105" t="s">
        <v>480</v>
      </c>
      <c r="E31" s="56" t="str">
        <f>VLOOKUP($C31,'Summary | 01 '!$C$6:$R$43,E$5,0)</f>
        <v>Unrealized</v>
      </c>
      <c r="F31" s="56" t="str">
        <f>VLOOKUP($C31,'Summary | 01 '!$C$6:$R$43,F$5,0)</f>
        <v>Divyesh</v>
      </c>
      <c r="G31" s="56" t="str">
        <f>VLOOKUP($C31,'Summary | 01 '!$C$6:$R$43,G$5,0)</f>
        <v>G42</v>
      </c>
      <c r="H31" s="60">
        <f>VLOOKUP($C31,'Summary | 01 '!$C$6:$R$43,H$5,0)</f>
        <v>2022</v>
      </c>
      <c r="I31" s="60" t="str">
        <f>VLOOKUP($C31,'Summary | 01 '!$C$6:$R$43,I$5,0)</f>
        <v>Ordinary Shares</v>
      </c>
      <c r="J31" s="226">
        <f>VLOOKUP($C31,'Summary | 01 '!$C$6:$R$43,J$5,0)</f>
        <v>9.9316564009108654E-2</v>
      </c>
      <c r="K31" s="71">
        <f ca="1">VLOOKUP($C31,'Summary | 01 '!$C$6:$R$43,K$5,0)</f>
        <v>24.53125</v>
      </c>
      <c r="L31" s="71">
        <f ca="1">VLOOKUP($C31,'Summary | 01 '!$C$6:$R$43,L$5,0)</f>
        <v>24.53125</v>
      </c>
      <c r="M31" s="71">
        <f ca="1">VLOOKUP($C31,'Summary | 01 '!$C$6:$R$43,M$5,0)</f>
        <v>0</v>
      </c>
      <c r="N31" s="71">
        <f>VLOOKUP($C31,'Summary | 01 '!$C$6:$R$43,N$5,0)</f>
        <v>8.3900321371999986</v>
      </c>
      <c r="O31" s="71">
        <f ca="1">VLOOKUP($C31,'Summary | 01 '!$C$6:$R$43,O$5,0)</f>
        <v>-16.141217862800001</v>
      </c>
      <c r="P31" s="71" t="s">
        <v>180</v>
      </c>
      <c r="Q31" s="226" t="str">
        <f>VLOOKUP($C31,'Summary | 01 '!$C$6:$R$43,Q$5,0)</f>
        <v>NM</v>
      </c>
      <c r="R31" s="64">
        <f ca="1">VLOOKUP($C31,'Summary | 01 '!$C$6:$R$43,R$5,0)</f>
        <v>0.34201404890496812</v>
      </c>
      <c r="S31" s="71">
        <f ca="1">VLOOKUP($C31,'Summary | 01 '!$C$6:$R$43,S$5,0)</f>
        <v>0</v>
      </c>
      <c r="T31" s="223" t="s">
        <v>233</v>
      </c>
      <c r="U31" s="166"/>
      <c r="W31" s="80" t="s">
        <v>2</v>
      </c>
      <c r="X31" s="608">
        <f ca="1">K38</f>
        <v>1522.4478575631017</v>
      </c>
    </row>
    <row r="32" spans="2:24" x14ac:dyDescent="0.25">
      <c r="B32" s="165"/>
      <c r="C32" s="58" t="s">
        <v>1</v>
      </c>
      <c r="D32" s="105" t="s">
        <v>482</v>
      </c>
      <c r="E32" s="56" t="str">
        <f>VLOOKUP($C32,'Summary | 01 '!$C$6:$R$43,E$5,0)</f>
        <v>Unrealized</v>
      </c>
      <c r="F32" s="56" t="str">
        <f>VLOOKUP($C32,'Summary | 01 '!$C$6:$R$43,F$5,0)</f>
        <v>Elaine</v>
      </c>
      <c r="G32" s="56" t="str">
        <f>VLOOKUP($C32,'Summary | 01 '!$C$6:$R$43,G$5,0)</f>
        <v>G42</v>
      </c>
      <c r="H32" s="60">
        <f>VLOOKUP($C32,'Summary | 01 '!$C$6:$R$43,H$5,0)</f>
        <v>2020</v>
      </c>
      <c r="I32" s="60" t="str">
        <f>VLOOKUP($C32,'Summary | 01 '!$C$6:$R$43,I$5,0)</f>
        <v xml:space="preserve">LP </v>
      </c>
      <c r="J32" s="226" t="str">
        <f>VLOOKUP($C32,'Summary | 01 '!$C$6:$R$43,J$5,0)</f>
        <v>n/a</v>
      </c>
      <c r="K32" s="71">
        <f>VLOOKUP($C32,'Summary | 01 '!$C$6:$R$43,K$5,0)</f>
        <v>300</v>
      </c>
      <c r="L32" s="71">
        <f>VLOOKUP($C32,'Summary | 01 '!$C$6:$R$43,L$5,0)</f>
        <v>83.214652999999984</v>
      </c>
      <c r="M32" s="71">
        <f>VLOOKUP($C32,'Summary | 01 '!$C$6:$R$43,M$5,0)</f>
        <v>1.0279609999999999</v>
      </c>
      <c r="N32" s="71">
        <f>VLOOKUP($C32,'Summary | 01 '!$C$6:$R$43,N$5,0)</f>
        <v>70.03</v>
      </c>
      <c r="O32" s="71">
        <f>VLOOKUP($C32,'Summary | 01 '!$C$6:$R$43,O$5,0)</f>
        <v>-12.156691999999978</v>
      </c>
      <c r="P32" s="71">
        <v>6.6</v>
      </c>
      <c r="Q32" s="226">
        <f>VLOOKUP($C32,'Summary | 01 '!$C$6:$R$43,Q$5,0)</f>
        <v>-6.4168629050254805E-2</v>
      </c>
      <c r="R32" s="64">
        <f>VLOOKUP($C32,'Summary | 01 '!$C$6:$R$43,R$5,0)</f>
        <v>0.96555063445376632</v>
      </c>
      <c r="S32" s="71">
        <f>VLOOKUP($C32,'Summary | 01 '!$C$6:$R$43,S$5,0)</f>
        <v>217.81330800000001</v>
      </c>
      <c r="T32" s="56"/>
      <c r="U32" s="166"/>
      <c r="W32" s="80" t="s">
        <v>426</v>
      </c>
      <c r="X32" s="608">
        <f>N38</f>
        <v>1279.449386519773</v>
      </c>
    </row>
    <row r="33" spans="2:24" x14ac:dyDescent="0.25">
      <c r="B33" s="165"/>
      <c r="C33" s="58" t="s">
        <v>174</v>
      </c>
      <c r="D33" s="105" t="s">
        <v>482</v>
      </c>
      <c r="E33" s="56" t="str">
        <f>VLOOKUP($C33,'Summary | 01 '!$C$6:$R$43,E$5,0)</f>
        <v>Unrealized</v>
      </c>
      <c r="F33" s="56" t="str">
        <f>VLOOKUP($C33,'Summary | 01 '!$C$6:$R$43,F$5,0)</f>
        <v>Sushil</v>
      </c>
      <c r="G33" s="56" t="str">
        <f>VLOOKUP($C33,'Summary | 01 '!$C$6:$R$43,G$5,0)</f>
        <v>G42</v>
      </c>
      <c r="H33" s="60">
        <f>VLOOKUP($C33,'Summary | 01 '!$C$6:$R$43,H$5,0)</f>
        <v>2020</v>
      </c>
      <c r="I33" s="60" t="str">
        <f>VLOOKUP($C33,'Summary | 01 '!$C$6:$R$43,I$5,0)</f>
        <v xml:space="preserve">LP </v>
      </c>
      <c r="J33" s="226" t="str">
        <f>VLOOKUP($C33,'Summary | 01 '!$C$6:$R$43,J$5,0)</f>
        <v>n/a</v>
      </c>
      <c r="K33" s="71">
        <f>VLOOKUP($C33,'Summary | 01 '!$C$6:$R$43,K$5,0)</f>
        <v>28.098225210160507</v>
      </c>
      <c r="L33" s="71">
        <f>VLOOKUP($C33,'Summary | 01 '!$C$6:$R$43,L$5,0)</f>
        <v>11.058034651530003</v>
      </c>
      <c r="M33" s="71">
        <f>VLOOKUP($C33,'Summary | 01 '!$C$6:$R$43,M$5,0)</f>
        <v>2.9557743514081998</v>
      </c>
      <c r="N33" s="71">
        <f>VLOOKUP($C33,'Summary | 01 '!$C$6:$R$43,N$5,0)</f>
        <v>14.29489121145</v>
      </c>
      <c r="O33" s="71">
        <f>VLOOKUP($C33,'Summary | 01 '!$C$6:$R$43,O$5,0)</f>
        <v>6.1926309113281963</v>
      </c>
      <c r="P33" s="71">
        <v>1</v>
      </c>
      <c r="Q33" s="226">
        <f>VLOOKUP($C33,'Summary | 01 '!$C$6:$R$43,Q$5,0)</f>
        <v>0.10904429554939268</v>
      </c>
      <c r="R33" s="64">
        <f>VLOOKUP($C33,'Summary | 01 '!$C$6:$R$43,R$5,0)</f>
        <v>1.4784782580540818</v>
      </c>
      <c r="S33" s="71">
        <f>VLOOKUP($C33,'Summary | 01 '!$C$6:$R$43,S$5,0)</f>
        <v>17.040190558630503</v>
      </c>
      <c r="T33" s="56"/>
      <c r="U33" s="166"/>
      <c r="W33" s="80" t="s">
        <v>516</v>
      </c>
      <c r="X33" s="608">
        <f ca="1">O38</f>
        <v>25.694725716709854</v>
      </c>
    </row>
    <row r="34" spans="2:24" x14ac:dyDescent="0.25">
      <c r="B34" s="165"/>
      <c r="C34" s="58" t="s">
        <v>156</v>
      </c>
      <c r="D34" s="105" t="s">
        <v>482</v>
      </c>
      <c r="E34" s="56" t="str">
        <f>VLOOKUP($C34,'Summary | 01 '!$C$6:$R$43,E$5,0)</f>
        <v>Unrealized</v>
      </c>
      <c r="F34" s="56" t="str">
        <f>VLOOKUP($C34,'Summary | 01 '!$C$6:$R$43,F$5,0)</f>
        <v>Sushil</v>
      </c>
      <c r="G34" s="56" t="str">
        <f>VLOOKUP($C34,'Summary | 01 '!$C$6:$R$43,G$5,0)</f>
        <v>G42</v>
      </c>
      <c r="H34" s="60">
        <f>VLOOKUP($C34,'Summary | 01 '!$C$6:$R$43,H$5,0)</f>
        <v>2020</v>
      </c>
      <c r="I34" s="60" t="str">
        <f>VLOOKUP($C34,'Summary | 01 '!$C$6:$R$43,I$5,0)</f>
        <v>GP</v>
      </c>
      <c r="J34" s="226" t="str">
        <f>VLOOKUP($C34,'Summary | 01 '!$C$6:$R$43,J$5,0)</f>
        <v>n/a</v>
      </c>
      <c r="K34" s="71">
        <f>VLOOKUP($C34,'Summary | 01 '!$C$6:$R$43,K$5,0)</f>
        <v>2.7058823529411762</v>
      </c>
      <c r="L34" s="71">
        <f>VLOOKUP($C34,'Summary | 01 '!$C$6:$R$43,L$5,0)</f>
        <v>2.7058823529411762</v>
      </c>
      <c r="M34" s="71">
        <f>VLOOKUP($C34,'Summary | 01 '!$C$6:$R$43,M$5,0)</f>
        <v>0</v>
      </c>
      <c r="N34" s="71">
        <f>VLOOKUP($C34,'Summary | 01 '!$C$6:$R$43,N$5,0)</f>
        <v>2.7058823529411762</v>
      </c>
      <c r="O34" s="71">
        <f>VLOOKUP($C34,'Summary | 01 '!$C$6:$R$43,O$5,0)</f>
        <v>0</v>
      </c>
      <c r="P34" s="71">
        <v>0</v>
      </c>
      <c r="Q34" s="226">
        <f>VLOOKUP($C34,'Summary | 01 '!$C$6:$R$43,Q$5,0)</f>
        <v>0</v>
      </c>
      <c r="R34" s="64">
        <f>VLOOKUP($C34,'Summary | 01 '!$C$6:$R$43,R$5,0)</f>
        <v>1</v>
      </c>
      <c r="S34" s="71">
        <f>VLOOKUP($C34,'Summary | 01 '!$C$6:$R$43,S$5,0)</f>
        <v>0</v>
      </c>
      <c r="T34" s="191"/>
      <c r="U34" s="166"/>
      <c r="W34" s="80" t="s">
        <v>517</v>
      </c>
      <c r="X34" s="608">
        <f ca="1">X33-11.1</f>
        <v>14.594725716709855</v>
      </c>
    </row>
    <row r="35" spans="2:24" x14ac:dyDescent="0.25">
      <c r="B35" s="165"/>
      <c r="C35" s="58" t="s">
        <v>15</v>
      </c>
      <c r="D35" s="105" t="s">
        <v>482</v>
      </c>
      <c r="E35" s="56" t="str">
        <f>VLOOKUP($C35,'Summary | 01 '!$C$6:$R$43,E$5,0)</f>
        <v>Unrealized</v>
      </c>
      <c r="F35" s="56" t="str">
        <f>VLOOKUP($C35,'Summary | 01 '!$C$6:$R$43,F$5,0)</f>
        <v>Elaine</v>
      </c>
      <c r="G35" s="56" t="str">
        <f>VLOOKUP($C35,'Summary | 01 '!$C$6:$R$43,G$5,0)</f>
        <v>G42</v>
      </c>
      <c r="H35" s="60">
        <f>VLOOKUP($C35,'Summary | 01 '!$C$6:$R$43,H$5,0)</f>
        <v>2020</v>
      </c>
      <c r="I35" s="60" t="str">
        <f>VLOOKUP($C35,'Summary | 01 '!$C$6:$R$43,I$5,0)</f>
        <v xml:space="preserve">LP </v>
      </c>
      <c r="J35" s="226" t="str">
        <f>VLOOKUP($C35,'Summary | 01 '!$C$6:$R$43,J$5,0)</f>
        <v>n/a</v>
      </c>
      <c r="K35" s="71">
        <f>VLOOKUP($C35,'Summary | 01 '!$C$6:$R$43,K$5,0)</f>
        <v>50</v>
      </c>
      <c r="L35" s="71">
        <f>VLOOKUP($C35,'Summary | 01 '!$C$6:$R$43,L$5,0)</f>
        <v>22.657267000000001</v>
      </c>
      <c r="M35" s="71">
        <f>VLOOKUP($C35,'Summary | 01 '!$C$6:$R$43,M$5,0)</f>
        <v>0.44382834999999998</v>
      </c>
      <c r="N35" s="71">
        <f>VLOOKUP($C35,'Summary | 01 '!$C$6:$R$43,N$5,0)</f>
        <v>21.515750000000001</v>
      </c>
      <c r="O35" s="71">
        <f>VLOOKUP($C35,'Summary | 01 '!$C$6:$R$43,O$5,0)</f>
        <v>-0.69768864999999991</v>
      </c>
      <c r="P35" s="71">
        <v>3.5</v>
      </c>
      <c r="Q35" s="226">
        <f>VLOOKUP($C35,'Summary | 01 '!$C$6:$R$43,Q$5,0)</f>
        <v>-1.8159523606300351E-2</v>
      </c>
      <c r="R35" s="64">
        <f>VLOOKUP($C35,'Summary | 01 '!$C$6:$R$43,R$5,0)</f>
        <v>0.97193723963305834</v>
      </c>
      <c r="S35" s="71">
        <f>VLOOKUP($C35,'Summary | 01 '!$C$6:$R$43,S$5,0)</f>
        <v>27.342732999999999</v>
      </c>
      <c r="T35" s="191"/>
      <c r="U35" s="166"/>
      <c r="W35" s="80" t="s">
        <v>32</v>
      </c>
      <c r="X35" s="417">
        <f>Q38</f>
        <v>2.2939893603324889E-2</v>
      </c>
    </row>
    <row r="36" spans="2:24" x14ac:dyDescent="0.25">
      <c r="B36" s="165"/>
      <c r="C36" s="58" t="s">
        <v>237</v>
      </c>
      <c r="D36" s="105" t="s">
        <v>482</v>
      </c>
      <c r="E36" s="56" t="str">
        <f>VLOOKUP($C36,'Summary | 01 '!$C$6:$R$43,E$5,0)</f>
        <v>Unrealized</v>
      </c>
      <c r="F36" s="56" t="str">
        <f>VLOOKUP($C36,'Summary | 01 '!$C$6:$R$43,F$5,0)</f>
        <v>Divyesh</v>
      </c>
      <c r="G36" s="56" t="str">
        <f>VLOOKUP($C36,'Summary | 01 '!$C$6:$R$43,G$5,0)</f>
        <v>G42</v>
      </c>
      <c r="H36" s="60">
        <f>VLOOKUP($C36,'Summary | 01 '!$C$6:$R$43,H$5,0)</f>
        <v>2021</v>
      </c>
      <c r="I36" s="60" t="str">
        <f>VLOOKUP($C36,'Summary | 01 '!$C$6:$R$43,I$5,0)</f>
        <v xml:space="preserve">LP </v>
      </c>
      <c r="J36" s="226">
        <f>VLOOKUP($C36,'Summary | 01 '!$C$6:$R$43,J$5,0)</f>
        <v>0.33</v>
      </c>
      <c r="K36" s="71">
        <f>VLOOKUP($C36,'Summary | 01 '!$C$6:$R$43,K$5,0)</f>
        <v>17.112500000000001</v>
      </c>
      <c r="L36" s="71">
        <f>VLOOKUP($C36,'Summary | 01 '!$C$6:$R$43,L$5,0)</f>
        <v>14.0151375</v>
      </c>
      <c r="M36" s="71">
        <f>VLOOKUP($C36,'Summary | 01 '!$C$6:$R$43,M$5,0)</f>
        <v>0</v>
      </c>
      <c r="N36" s="71">
        <f>VLOOKUP($C36,'Summary | 01 '!$C$6:$R$43,N$5,0)</f>
        <v>13.742841</v>
      </c>
      <c r="O36" s="71">
        <f>VLOOKUP($C36,'Summary | 01 '!$C$6:$R$43,O$5,0)</f>
        <v>-0.2722964999999995</v>
      </c>
      <c r="P36" s="71">
        <v>0</v>
      </c>
      <c r="Q36" s="226">
        <f>VLOOKUP($C36,'Summary | 01 '!$C$6:$R$43,Q$5,0)</f>
        <v>-2.1553859114646915E-2</v>
      </c>
      <c r="R36" s="64">
        <f>VLOOKUP($C36,'Summary | 01 '!$C$6:$R$43,R$5,0)</f>
        <v>0.97333027504590375</v>
      </c>
      <c r="S36" s="71">
        <f>VLOOKUP($C36,'Summary | 01 '!$C$6:$R$43,S$5,0)</f>
        <v>3.0973625000000009</v>
      </c>
      <c r="T36" s="56" t="s">
        <v>108</v>
      </c>
      <c r="U36" s="166"/>
    </row>
    <row r="37" spans="2:24" x14ac:dyDescent="0.25">
      <c r="B37" s="165"/>
      <c r="C37" s="58"/>
      <c r="D37" s="105"/>
      <c r="E37" s="56"/>
      <c r="F37" s="56"/>
      <c r="G37" s="56"/>
      <c r="H37" s="56"/>
      <c r="I37" s="60"/>
      <c r="J37" s="226"/>
      <c r="K37" s="71"/>
      <c r="L37" s="71"/>
      <c r="M37" s="71"/>
      <c r="N37" s="71"/>
      <c r="O37" s="71"/>
      <c r="P37" s="71"/>
      <c r="Q37" s="226"/>
      <c r="R37" s="64"/>
      <c r="S37" s="71"/>
      <c r="T37" s="223"/>
      <c r="U37" s="166"/>
    </row>
    <row r="38" spans="2:24" s="169" customFormat="1" x14ac:dyDescent="0.25">
      <c r="B38" s="167"/>
      <c r="C38" s="63"/>
      <c r="D38" s="63"/>
      <c r="E38" s="63"/>
      <c r="F38" s="63"/>
      <c r="G38" s="63"/>
      <c r="H38" s="63"/>
      <c r="I38" s="63"/>
      <c r="J38" s="229"/>
      <c r="K38" s="72">
        <f ca="1">SUM(K29:K36)</f>
        <v>1522.4478575631017</v>
      </c>
      <c r="L38" s="72">
        <f ca="1">SUM(L29:L36)</f>
        <v>1258.1822245044714</v>
      </c>
      <c r="M38" s="72">
        <f ca="1">SUM(M29:M36)</f>
        <v>4.4275637014082001</v>
      </c>
      <c r="N38" s="72">
        <f>SUM(N29:N36)</f>
        <v>1279.449386519773</v>
      </c>
      <c r="O38" s="72">
        <f ca="1">N38+M38-L38</f>
        <v>25.694725716709854</v>
      </c>
      <c r="P38" s="72">
        <f>SUM(P29:P36)</f>
        <v>11.1</v>
      </c>
      <c r="Q38" s="75">
        <f>'4. G42-IRR'!L16</f>
        <v>2.2939893603324889E-2</v>
      </c>
      <c r="R38" s="65">
        <f ca="1">(M38+N38)/L38</f>
        <v>1.0204221019946691</v>
      </c>
      <c r="S38" s="72">
        <f ca="1">SUM(S29:S36)</f>
        <v>265.2935940586305</v>
      </c>
      <c r="T38" s="63">
        <f ca="1">N38+M38-L38</f>
        <v>25.694725716709854</v>
      </c>
      <c r="U38" s="168"/>
    </row>
    <row r="39" spans="2:24" s="405" customFormat="1" x14ac:dyDescent="0.25">
      <c r="B39" s="403"/>
      <c r="C39" s="397"/>
      <c r="D39" s="397"/>
      <c r="E39" s="397"/>
      <c r="F39" s="397"/>
      <c r="G39" s="397"/>
      <c r="H39" s="397"/>
      <c r="I39" s="397"/>
      <c r="J39" s="228"/>
      <c r="K39" s="398"/>
      <c r="L39" s="398"/>
      <c r="M39" s="398"/>
      <c r="N39" s="398"/>
      <c r="O39" s="398"/>
      <c r="P39" s="398"/>
      <c r="Q39" s="242"/>
      <c r="R39" s="399"/>
      <c r="S39" s="398"/>
      <c r="T39" s="397"/>
      <c r="U39" s="404"/>
    </row>
    <row r="40" spans="2:24" s="169" customFormat="1" x14ac:dyDescent="0.25">
      <c r="B40" s="167"/>
      <c r="C40" s="527"/>
      <c r="D40" s="527"/>
      <c r="E40" s="528"/>
      <c r="F40" s="528"/>
      <c r="G40" s="528"/>
      <c r="H40" s="528"/>
      <c r="I40" s="528"/>
      <c r="J40" s="529"/>
      <c r="K40" s="530">
        <f ca="1">K27+K38</f>
        <v>2501.7116854320261</v>
      </c>
      <c r="L40" s="530">
        <f ca="1">L27+L38</f>
        <v>2227.1928909373155</v>
      </c>
      <c r="M40" s="530">
        <f ca="1">M27+M38</f>
        <v>9.8983483514081989</v>
      </c>
      <c r="N40" s="530">
        <f>N27+N38</f>
        <v>2207.4574513300322</v>
      </c>
      <c r="O40" s="530">
        <f ca="1">O27+O38</f>
        <v>-9.8370912558747605</v>
      </c>
      <c r="P40" s="530"/>
      <c r="Q40" s="529"/>
      <c r="R40" s="531">
        <f ca="1">(M40+N40)/L40</f>
        <v>0.99558318846297356</v>
      </c>
      <c r="S40" s="530">
        <f ca="1">S27+S38</f>
        <v>275.5435940586305</v>
      </c>
      <c r="T40" s="528"/>
      <c r="U40" s="168"/>
    </row>
    <row r="41" spans="2:24" s="501" customFormat="1" ht="15.75" thickBot="1" x14ac:dyDescent="0.3">
      <c r="B41" s="494"/>
      <c r="C41" s="495"/>
      <c r="D41" s="495"/>
      <c r="E41" s="496"/>
      <c r="F41" s="496"/>
      <c r="G41" s="496"/>
      <c r="H41" s="496"/>
      <c r="I41" s="496"/>
      <c r="J41" s="497"/>
      <c r="K41" s="498"/>
      <c r="L41" s="498"/>
      <c r="M41" s="498"/>
      <c r="N41" s="498"/>
      <c r="O41" s="498"/>
      <c r="P41" s="498"/>
      <c r="Q41" s="497"/>
      <c r="R41" s="499"/>
      <c r="S41" s="498"/>
      <c r="T41" s="496"/>
      <c r="U41" s="500"/>
    </row>
    <row r="42" spans="2:24" x14ac:dyDescent="0.25">
      <c r="J42" s="175"/>
      <c r="Q42" s="175"/>
    </row>
    <row r="43" spans="2:24" x14ac:dyDescent="0.25">
      <c r="B43" s="177"/>
      <c r="I43" s="561" t="s">
        <v>497</v>
      </c>
      <c r="J43" s="555"/>
      <c r="K43" s="555" t="b">
        <f ca="1">K40='Summary | 01 '!J43</f>
        <v>1</v>
      </c>
      <c r="L43" s="555" t="b">
        <f ca="1">ROUND(L40,3)=ROUND('Summary | 01 '!K43,3)</f>
        <v>1</v>
      </c>
      <c r="M43" s="555" t="b">
        <f ca="1">M40='Summary | 01 '!M43</f>
        <v>1</v>
      </c>
      <c r="N43" s="555" t="b">
        <f>N40='Summary | 01 '!N43</f>
        <v>1</v>
      </c>
      <c r="O43" s="555" t="b">
        <f ca="1">ROUND(O40,3)=ROUND('Summary | 01 '!O43,3)</f>
        <v>1</v>
      </c>
      <c r="P43" s="555"/>
      <c r="S43" s="555" t="b">
        <f ca="1">S40='Summary | 01 '!L43</f>
        <v>1</v>
      </c>
    </row>
    <row r="44" spans="2:24" s="164" customFormat="1" x14ac:dyDescent="0.25">
      <c r="B44" s="352" t="s">
        <v>498</v>
      </c>
      <c r="C44" s="59"/>
      <c r="D44" s="59"/>
      <c r="E44" s="61"/>
      <c r="F44" s="61"/>
      <c r="G44" s="61"/>
      <c r="H44" s="61"/>
      <c r="I44" s="562"/>
      <c r="J44" s="256"/>
      <c r="K44" s="563"/>
      <c r="M44" s="563"/>
      <c r="N44" s="563"/>
      <c r="O44" s="563"/>
      <c r="P44" s="563"/>
      <c r="Q44" s="77"/>
      <c r="R44" s="69"/>
      <c r="S44" s="563"/>
      <c r="T44" s="61"/>
    </row>
    <row r="45" spans="2:24" x14ac:dyDescent="0.25">
      <c r="B45" s="177"/>
      <c r="C45" s="67"/>
      <c r="D45" s="67"/>
      <c r="E45" s="552"/>
      <c r="F45" s="552"/>
      <c r="G45" s="552"/>
      <c r="H45" s="552"/>
      <c r="I45" s="552"/>
      <c r="J45" s="552"/>
      <c r="K45" s="552"/>
      <c r="M45" s="552"/>
      <c r="N45" s="552"/>
      <c r="O45" s="552">
        <f ca="1">P27-O27</f>
        <v>262.93181697258467</v>
      </c>
      <c r="P45" s="552"/>
      <c r="Q45" s="552"/>
      <c r="R45" s="552"/>
      <c r="S45" s="552"/>
    </row>
    <row r="46" spans="2:24" s="81" customFormat="1" x14ac:dyDescent="0.25">
      <c r="B46" s="177"/>
      <c r="C46" s="67"/>
      <c r="D46" s="67"/>
      <c r="O46" s="552">
        <f ca="1">K38-L38</f>
        <v>264.26563305863033</v>
      </c>
      <c r="U46" s="80"/>
    </row>
    <row r="47" spans="2:24" s="81" customFormat="1" x14ac:dyDescent="0.25">
      <c r="B47" s="177"/>
      <c r="C47" s="153"/>
      <c r="D47" s="153"/>
      <c r="E47" s="552"/>
      <c r="F47" s="552"/>
      <c r="G47" s="552"/>
      <c r="H47" s="553"/>
      <c r="I47" s="552"/>
      <c r="J47" s="552"/>
      <c r="K47" s="552"/>
      <c r="L47" s="552"/>
      <c r="M47" s="552"/>
      <c r="N47" s="552"/>
      <c r="O47" s="552">
        <f ca="1">O38-P38</f>
        <v>14.594725716709855</v>
      </c>
      <c r="P47" s="552"/>
      <c r="Q47" s="552"/>
      <c r="R47" s="552"/>
      <c r="S47" s="552"/>
      <c r="U47" s="80"/>
    </row>
    <row r="48" spans="2:24" s="81" customFormat="1" x14ac:dyDescent="0.25">
      <c r="B48" s="177"/>
      <c r="C48" s="67"/>
      <c r="D48" s="67"/>
      <c r="E48" s="552"/>
      <c r="F48" s="552"/>
      <c r="G48" s="552"/>
      <c r="H48" s="554"/>
      <c r="O48" s="610">
        <f ca="1">SUM(M29:N31)-SUM(L29:L31)</f>
        <v>32.628771955381808</v>
      </c>
      <c r="Q48" s="552"/>
      <c r="R48" s="552"/>
      <c r="U48" s="80"/>
    </row>
    <row r="49" spans="2:21" s="81" customFormat="1" x14ac:dyDescent="0.25">
      <c r="B49" s="177"/>
      <c r="C49" s="67"/>
      <c r="D49" s="67"/>
      <c r="E49" s="552"/>
      <c r="F49" s="552"/>
      <c r="G49" s="552"/>
      <c r="H49" s="552"/>
      <c r="I49" s="552"/>
      <c r="J49" s="552"/>
      <c r="K49" s="552"/>
      <c r="L49" s="552"/>
      <c r="M49" s="552"/>
      <c r="N49" s="552"/>
      <c r="O49" s="610">
        <f>SUM(M32:N36)-SUM(L32:L36)</f>
        <v>-6.9340462386718116</v>
      </c>
      <c r="P49" s="552"/>
      <c r="Q49" s="552"/>
      <c r="R49" s="552"/>
      <c r="S49" s="552"/>
      <c r="U49" s="80"/>
    </row>
    <row r="50" spans="2:21" s="81" customFormat="1" x14ac:dyDescent="0.25">
      <c r="B50" s="80"/>
      <c r="C50" s="67"/>
      <c r="D50" s="67"/>
      <c r="E50" s="552"/>
      <c r="F50" s="552"/>
      <c r="G50" s="552"/>
      <c r="H50" s="552"/>
      <c r="I50" s="552"/>
      <c r="J50" s="552"/>
      <c r="K50" s="552"/>
      <c r="L50" s="552"/>
      <c r="M50" s="552"/>
      <c r="N50" s="552"/>
      <c r="O50" s="611">
        <f ca="1">K38-L38</f>
        <v>264.26563305863033</v>
      </c>
      <c r="P50" s="552"/>
      <c r="Q50" s="552"/>
      <c r="R50" s="552"/>
      <c r="S50" s="552"/>
      <c r="U50" s="80"/>
    </row>
    <row r="51" spans="2:21" s="81" customFormat="1" x14ac:dyDescent="0.25">
      <c r="B51" s="80"/>
      <c r="C51" s="67"/>
      <c r="D51" s="67"/>
      <c r="E51" s="552"/>
      <c r="F51" s="552"/>
      <c r="G51" s="552"/>
      <c r="H51" s="552"/>
      <c r="I51" s="552"/>
      <c r="J51" s="552"/>
      <c r="K51" s="552"/>
      <c r="L51" s="552"/>
      <c r="M51" s="552"/>
      <c r="N51" s="552"/>
      <c r="O51" s="552"/>
      <c r="P51" s="552"/>
      <c r="Q51" s="552"/>
      <c r="R51" s="552"/>
      <c r="S51" s="552"/>
      <c r="U51" s="80"/>
    </row>
    <row r="52" spans="2:21" s="81" customFormat="1" x14ac:dyDescent="0.25">
      <c r="B52" s="80"/>
      <c r="C52" s="67"/>
      <c r="D52" s="67"/>
      <c r="E52" s="552"/>
      <c r="F52" s="552"/>
      <c r="G52" s="552"/>
      <c r="H52" s="552"/>
      <c r="I52" s="552"/>
      <c r="J52" s="552"/>
      <c r="K52" s="552"/>
      <c r="L52" s="552"/>
      <c r="M52" s="552"/>
      <c r="N52" s="552"/>
      <c r="O52" s="552"/>
      <c r="P52" s="552"/>
      <c r="Q52" s="552"/>
      <c r="R52" s="552"/>
      <c r="S52" s="552"/>
      <c r="U52" s="80"/>
    </row>
    <row r="53" spans="2:21" s="81" customFormat="1" x14ac:dyDescent="0.25">
      <c r="B53" s="80"/>
      <c r="C53" s="152"/>
      <c r="D53" s="152"/>
      <c r="N53" s="196"/>
      <c r="O53" s="196"/>
      <c r="P53" s="196"/>
      <c r="U53" s="80"/>
    </row>
    <row r="54" spans="2:21" s="81" customFormat="1" x14ac:dyDescent="0.25">
      <c r="B54" s="80"/>
      <c r="C54" s="153"/>
      <c r="D54" s="153"/>
      <c r="N54" s="196"/>
      <c r="O54" s="196"/>
      <c r="P54" s="196"/>
      <c r="U54" s="80"/>
    </row>
    <row r="55" spans="2:21" s="81" customFormat="1" x14ac:dyDescent="0.25">
      <c r="B55" s="80"/>
      <c r="C55" s="502"/>
      <c r="D55" s="502"/>
      <c r="N55" s="196"/>
      <c r="O55" s="196"/>
      <c r="P55" s="196"/>
      <c r="U55" s="80"/>
    </row>
    <row r="56" spans="2:21" s="81" customFormat="1" x14ac:dyDescent="0.25">
      <c r="B56" s="80"/>
      <c r="C56" s="153"/>
      <c r="D56" s="153"/>
      <c r="N56" s="196"/>
      <c r="O56" s="196"/>
      <c r="P56" s="196"/>
      <c r="U56" s="80"/>
    </row>
    <row r="57" spans="2:21" s="81" customFormat="1" x14ac:dyDescent="0.25">
      <c r="B57" s="80"/>
      <c r="C57" s="152"/>
      <c r="D57" s="152"/>
      <c r="N57" s="196"/>
      <c r="O57" s="196"/>
      <c r="P57" s="196"/>
      <c r="U57" s="80"/>
    </row>
    <row r="58" spans="2:21" s="81" customFormat="1" x14ac:dyDescent="0.25">
      <c r="B58" s="80"/>
      <c r="C58" s="152"/>
      <c r="D58" s="152"/>
      <c r="N58" s="196"/>
      <c r="O58" s="196"/>
      <c r="P58" s="196"/>
      <c r="U58" s="80"/>
    </row>
    <row r="59" spans="2:21" s="81" customFormat="1" x14ac:dyDescent="0.25">
      <c r="B59" s="80"/>
      <c r="C59" s="152"/>
      <c r="D59" s="152"/>
      <c r="U59" s="80"/>
    </row>
    <row r="60" spans="2:21" s="81" customFormat="1" x14ac:dyDescent="0.25">
      <c r="B60" s="80"/>
      <c r="C60" s="153"/>
      <c r="D60" s="153"/>
      <c r="U60" s="80"/>
    </row>
    <row r="61" spans="2:21" s="81" customFormat="1" x14ac:dyDescent="0.25">
      <c r="B61" s="80"/>
      <c r="C61" s="153"/>
      <c r="D61" s="153"/>
      <c r="U61" s="80"/>
    </row>
    <row r="62" spans="2:21" s="81" customFormat="1" x14ac:dyDescent="0.25">
      <c r="B62" s="80"/>
      <c r="C62" s="153"/>
      <c r="D62" s="153"/>
      <c r="U62" s="80"/>
    </row>
    <row r="63" spans="2:21" s="81" customFormat="1" x14ac:dyDescent="0.25">
      <c r="B63" s="80"/>
      <c r="C63" s="152"/>
      <c r="D63" s="152"/>
      <c r="U63" s="80"/>
    </row>
    <row r="64" spans="2:21" s="81" customFormat="1" x14ac:dyDescent="0.25">
      <c r="B64" s="80"/>
      <c r="C64" s="152"/>
      <c r="D64" s="152"/>
      <c r="H64" s="360"/>
      <c r="J64" s="153"/>
      <c r="R64" s="196"/>
      <c r="U64" s="80"/>
    </row>
    <row r="65" spans="2:21" s="81" customFormat="1" x14ac:dyDescent="0.25">
      <c r="B65" s="80"/>
      <c r="C65" s="152"/>
      <c r="D65" s="152"/>
      <c r="H65" s="360"/>
      <c r="J65" s="153"/>
      <c r="R65" s="196"/>
      <c r="U65" s="80"/>
    </row>
    <row r="66" spans="2:21" s="81" customFormat="1" x14ac:dyDescent="0.25">
      <c r="B66" s="80"/>
      <c r="C66" s="152"/>
      <c r="D66" s="152"/>
      <c r="H66" s="153"/>
      <c r="J66" s="153"/>
      <c r="R66" s="196"/>
      <c r="U66" s="80"/>
    </row>
    <row r="67" spans="2:21" s="81" customFormat="1" x14ac:dyDescent="0.25">
      <c r="B67" s="80"/>
      <c r="C67" s="153"/>
      <c r="D67" s="153"/>
      <c r="F67" s="153"/>
      <c r="H67" s="153"/>
      <c r="J67" s="153"/>
      <c r="R67" s="196"/>
      <c r="U67" s="80"/>
    </row>
    <row r="68" spans="2:21" s="81" customFormat="1" x14ac:dyDescent="0.25">
      <c r="B68" s="80"/>
      <c r="H68" s="153"/>
      <c r="J68" s="153"/>
      <c r="R68" s="196"/>
      <c r="U68" s="80"/>
    </row>
    <row r="69" spans="2:21" s="81" customFormat="1" x14ac:dyDescent="0.25">
      <c r="B69" s="80"/>
      <c r="R69" s="196"/>
      <c r="U69" s="80"/>
    </row>
    <row r="70" spans="2:21" s="81" customFormat="1" x14ac:dyDescent="0.25">
      <c r="B70" s="80"/>
      <c r="C70" s="152"/>
      <c r="D70" s="152"/>
      <c r="G70" s="153"/>
      <c r="R70" s="196"/>
      <c r="U70" s="80"/>
    </row>
  </sheetData>
  <dataConsolid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CF64-A973-430D-A6DD-FA3B31FE1EB7}">
  <sheetPr>
    <tabColor theme="7" tint="0.39997558519241921"/>
  </sheetPr>
  <dimension ref="B1:P77"/>
  <sheetViews>
    <sheetView showGridLines="0" zoomScale="90" zoomScaleNormal="90" workbookViewId="0">
      <selection activeCell="F40" sqref="F40"/>
    </sheetView>
  </sheetViews>
  <sheetFormatPr defaultRowHeight="15" x14ac:dyDescent="0.25"/>
  <cols>
    <col min="1" max="2" width="5.42578125" style="80" customWidth="1"/>
    <col min="3" max="3" width="31.7109375" style="152" customWidth="1"/>
    <col min="4" max="4" width="17.140625" style="81" customWidth="1"/>
    <col min="5" max="5" width="9.42578125" style="81" bestFit="1" customWidth="1"/>
    <col min="6" max="6" width="19.7109375" style="81" bestFit="1" customWidth="1"/>
    <col min="7" max="7" width="23.85546875" style="81" customWidth="1"/>
    <col min="8" max="8" width="20.5703125" style="81" customWidth="1"/>
    <col min="9" max="15" width="20.140625" style="81" customWidth="1"/>
    <col min="16" max="17" width="9.140625" style="80"/>
    <col min="18" max="19" width="18.5703125" style="80" customWidth="1"/>
    <col min="20" max="16384" width="9.140625" style="80"/>
  </cols>
  <sheetData>
    <row r="1" spans="2:16" s="164" customFormat="1" ht="21.75" customHeight="1" thickBot="1" x14ac:dyDescent="0.3">
      <c r="C1" s="349"/>
      <c r="D1" s="347"/>
      <c r="E1" s="347"/>
      <c r="F1" s="347"/>
      <c r="G1" s="347"/>
      <c r="H1" s="347"/>
      <c r="I1" s="347"/>
      <c r="J1" s="347"/>
      <c r="K1" s="347"/>
      <c r="L1" s="347"/>
      <c r="M1" s="347"/>
      <c r="N1" s="347"/>
      <c r="O1" s="347"/>
    </row>
    <row r="2" spans="2:16" ht="15.75" thickBot="1" x14ac:dyDescent="0.3">
      <c r="C2" s="401" t="s">
        <v>249</v>
      </c>
      <c r="D2" s="402">
        <f>'Summary | 01 '!D2</f>
        <v>45016</v>
      </c>
      <c r="E2" s="80"/>
      <c r="F2" s="80"/>
      <c r="G2" s="80"/>
      <c r="H2" s="80"/>
      <c r="I2" s="80"/>
      <c r="J2" s="80"/>
      <c r="K2" s="80"/>
      <c r="L2" s="80"/>
      <c r="M2" s="80"/>
      <c r="N2" s="80"/>
      <c r="O2" s="80"/>
    </row>
    <row r="3" spans="2:16" s="164" customFormat="1" ht="21.75" customHeight="1" thickBot="1" x14ac:dyDescent="0.3">
      <c r="C3" s="349"/>
      <c r="D3" s="347"/>
      <c r="E3" s="347"/>
      <c r="F3" s="347"/>
      <c r="G3" s="347"/>
      <c r="H3" s="347"/>
      <c r="I3" s="347"/>
      <c r="J3" s="347"/>
      <c r="K3" s="347"/>
      <c r="L3" s="347"/>
      <c r="M3" s="347"/>
      <c r="N3" s="347"/>
      <c r="O3" s="347"/>
    </row>
    <row r="4" spans="2:16" x14ac:dyDescent="0.25">
      <c r="B4" s="154"/>
      <c r="C4" s="155"/>
      <c r="D4" s="156"/>
      <c r="E4" s="156"/>
      <c r="F4" s="156"/>
      <c r="G4" s="156"/>
      <c r="H4" s="476"/>
      <c r="I4" s="476" t="s">
        <v>361</v>
      </c>
      <c r="J4" s="476"/>
      <c r="K4" s="476"/>
      <c r="L4" s="476"/>
      <c r="M4" s="476"/>
      <c r="N4" s="476"/>
      <c r="O4" s="476"/>
      <c r="P4" s="158"/>
    </row>
    <row r="5" spans="2:16" x14ac:dyDescent="0.25">
      <c r="B5" s="165"/>
      <c r="C5" s="465"/>
      <c r="D5" s="317"/>
      <c r="E5" s="317"/>
      <c r="F5" s="317"/>
      <c r="G5" s="317"/>
      <c r="H5" s="317"/>
      <c r="I5" s="81" t="s">
        <v>365</v>
      </c>
      <c r="J5" s="81" t="s">
        <v>366</v>
      </c>
      <c r="K5" s="81" t="s">
        <v>367</v>
      </c>
      <c r="L5" s="81" t="s">
        <v>368</v>
      </c>
      <c r="N5" s="81">
        <v>3</v>
      </c>
      <c r="O5" s="347">
        <v>4</v>
      </c>
      <c r="P5" s="166"/>
    </row>
    <row r="6" spans="2:16" s="161" customFormat="1" ht="60" customHeight="1" x14ac:dyDescent="0.25">
      <c r="B6" s="159"/>
      <c r="C6" s="57" t="s">
        <v>62</v>
      </c>
      <c r="D6" s="1" t="s">
        <v>33</v>
      </c>
      <c r="E6" s="1" t="s">
        <v>100</v>
      </c>
      <c r="F6" s="1" t="s">
        <v>40</v>
      </c>
      <c r="G6" s="1" t="s">
        <v>45</v>
      </c>
      <c r="H6" s="1" t="s">
        <v>384</v>
      </c>
      <c r="I6" s="667" t="s">
        <v>394</v>
      </c>
      <c r="J6" s="667"/>
      <c r="K6" s="667"/>
      <c r="L6" s="667"/>
      <c r="M6" s="667"/>
      <c r="N6" s="466" t="s">
        <v>382</v>
      </c>
      <c r="O6" s="479" t="s">
        <v>398</v>
      </c>
      <c r="P6" s="160"/>
    </row>
    <row r="7" spans="2:16" s="164" customFormat="1" x14ac:dyDescent="0.25">
      <c r="B7" s="162"/>
      <c r="C7" s="59"/>
      <c r="D7" s="62"/>
      <c r="E7" s="62"/>
      <c r="F7" s="62"/>
      <c r="G7" s="62"/>
      <c r="H7" s="62"/>
      <c r="I7" s="467" t="s">
        <v>369</v>
      </c>
      <c r="J7" s="467" t="s">
        <v>370</v>
      </c>
      <c r="K7" s="467" t="s">
        <v>371</v>
      </c>
      <c r="L7" s="467" t="s">
        <v>372</v>
      </c>
      <c r="M7" s="467" t="s">
        <v>373</v>
      </c>
      <c r="N7" s="468"/>
      <c r="O7" s="469"/>
      <c r="P7" s="163"/>
    </row>
    <row r="8" spans="2:16" s="164" customFormat="1" x14ac:dyDescent="0.25">
      <c r="B8" s="162"/>
      <c r="C8" s="59"/>
      <c r="D8" s="62"/>
      <c r="E8" s="62"/>
      <c r="F8" s="62"/>
      <c r="G8" s="62"/>
      <c r="H8" s="62"/>
      <c r="I8" s="62"/>
      <c r="J8" s="62"/>
      <c r="K8" s="62"/>
      <c r="L8" s="62"/>
      <c r="M8" s="62"/>
      <c r="N8" s="62"/>
      <c r="O8" s="471"/>
      <c r="P8" s="163"/>
    </row>
    <row r="9" spans="2:16" x14ac:dyDescent="0.25">
      <c r="B9" s="165"/>
      <c r="C9" s="70" t="s">
        <v>37</v>
      </c>
      <c r="D9" s="56"/>
      <c r="E9" s="56"/>
      <c r="F9" s="56"/>
      <c r="G9" s="56"/>
      <c r="H9" s="56"/>
      <c r="I9" s="56"/>
      <c r="J9" s="56"/>
      <c r="K9" s="56"/>
      <c r="L9" s="56"/>
      <c r="M9" s="56"/>
      <c r="N9" s="429"/>
      <c r="O9" s="472"/>
      <c r="P9" s="166"/>
    </row>
    <row r="10" spans="2:16" x14ac:dyDescent="0.25">
      <c r="B10" s="165"/>
      <c r="C10" s="58" t="str">
        <f>'Summary | 01 '!C10</f>
        <v>Jollychic Holding Limited</v>
      </c>
      <c r="D10" s="56" t="str">
        <f>'Summary | 01 '!D10</f>
        <v>In Liquidation</v>
      </c>
      <c r="E10" s="56" t="str">
        <f>'Summary | 01 '!E10</f>
        <v>Elaine</v>
      </c>
      <c r="F10" s="56" t="str">
        <f>'Summary | 01 '!F10</f>
        <v>Mozn</v>
      </c>
      <c r="G10" s="56" t="str">
        <f>'Summary | 01 '!H10</f>
        <v>C+ Prefs</v>
      </c>
      <c r="H10" s="56"/>
      <c r="I10" s="470">
        <f>'7. %'!D10</f>
        <v>13458655</v>
      </c>
      <c r="J10" s="470">
        <v>0</v>
      </c>
      <c r="K10" s="470">
        <v>0</v>
      </c>
      <c r="L10" s="470">
        <v>0</v>
      </c>
      <c r="M10" s="470">
        <f>I10</f>
        <v>13458655</v>
      </c>
      <c r="N10" s="470">
        <v>0</v>
      </c>
      <c r="O10" s="472">
        <v>1</v>
      </c>
      <c r="P10" s="166"/>
    </row>
    <row r="11" spans="2:16" x14ac:dyDescent="0.25">
      <c r="B11" s="165"/>
      <c r="C11" s="58" t="str">
        <f>'Summary | 01 '!C11</f>
        <v>Mena Mobile Inc</v>
      </c>
      <c r="D11" s="56" t="str">
        <f>'Summary | 01 '!D11</f>
        <v>Unrealized</v>
      </c>
      <c r="E11" s="56" t="str">
        <f>'Summary | 01 '!E11</f>
        <v>Elaine</v>
      </c>
      <c r="F11" s="56" t="str">
        <f>'Summary | 01 '!F11</f>
        <v>Mozn</v>
      </c>
      <c r="G11" s="56" t="str">
        <f>'Summary | 01 '!H11</f>
        <v>B Prefs</v>
      </c>
      <c r="H11" s="56"/>
      <c r="I11" s="470">
        <f>'7. %'!D11</f>
        <v>21419829</v>
      </c>
      <c r="J11" s="470">
        <v>0</v>
      </c>
      <c r="K11" s="470">
        <v>0</v>
      </c>
      <c r="L11" s="470">
        <v>0</v>
      </c>
      <c r="M11" s="470">
        <f>I11</f>
        <v>21419829</v>
      </c>
      <c r="N11" s="470">
        <v>0</v>
      </c>
      <c r="O11" s="472">
        <v>2</v>
      </c>
      <c r="P11" s="166"/>
    </row>
    <row r="12" spans="2:16" x14ac:dyDescent="0.25">
      <c r="B12" s="165"/>
      <c r="C12" s="58" t="str">
        <f>'Summary | 01 '!C12</f>
        <v>Flyr Inc</v>
      </c>
      <c r="D12" s="56" t="str">
        <f>'Summary | 01 '!D12</f>
        <v>Unrealized</v>
      </c>
      <c r="E12" s="56" t="str">
        <f>'Summary | 01 '!E12</f>
        <v>Sushil</v>
      </c>
      <c r="F12" s="56" t="str">
        <f>'Summary | 01 '!F12</f>
        <v>Mozn</v>
      </c>
      <c r="G12" s="56" t="str">
        <f>'Summary | 01 '!H12</f>
        <v>B-1,2 Prefs</v>
      </c>
      <c r="H12" s="56"/>
      <c r="I12" s="470">
        <f>'7. %'!D12</f>
        <v>5205482</v>
      </c>
      <c r="J12" s="470">
        <v>0</v>
      </c>
      <c r="K12" s="470">
        <v>0</v>
      </c>
      <c r="L12" s="470">
        <v>0</v>
      </c>
      <c r="M12" s="470"/>
      <c r="N12" s="470">
        <v>0</v>
      </c>
      <c r="O12" s="472">
        <v>3</v>
      </c>
      <c r="P12" s="166"/>
    </row>
    <row r="13" spans="2:16" x14ac:dyDescent="0.25">
      <c r="B13" s="165"/>
      <c r="C13" s="58" t="str">
        <f>'Summary | 01 '!C13</f>
        <v xml:space="preserve">Esyasoft Holding </v>
      </c>
      <c r="D13" s="56" t="str">
        <f>'Summary | 01 '!D13</f>
        <v>Realized</v>
      </c>
      <c r="E13" s="56" t="str">
        <f>'Summary | 01 '!E13</f>
        <v>Sushil</v>
      </c>
      <c r="F13" s="56" t="str">
        <f>'Summary | 01 '!F13</f>
        <v>Mozn</v>
      </c>
      <c r="G13" s="56" t="str">
        <f>'Summary | 01 '!H13</f>
        <v>Convertible Note</v>
      </c>
      <c r="H13" s="56"/>
      <c r="I13" s="470"/>
      <c r="J13" s="470">
        <v>0</v>
      </c>
      <c r="K13" s="470">
        <v>0</v>
      </c>
      <c r="L13" s="470">
        <v>0</v>
      </c>
      <c r="M13" s="470"/>
      <c r="N13" s="470">
        <v>0</v>
      </c>
      <c r="O13" s="472">
        <v>4</v>
      </c>
      <c r="P13" s="166"/>
    </row>
    <row r="14" spans="2:16" x14ac:dyDescent="0.25">
      <c r="B14" s="165"/>
      <c r="C14" s="58" t="str">
        <f>'Summary | 01 '!C14</f>
        <v>Beyond Limits</v>
      </c>
      <c r="D14" s="56" t="str">
        <f>'Summary | 01 '!D14</f>
        <v>Unrealized</v>
      </c>
      <c r="E14" s="56" t="str">
        <f>'Summary | 01 '!E14</f>
        <v>Divyesh</v>
      </c>
      <c r="F14" s="56" t="str">
        <f>'Summary | 01 '!F14</f>
        <v>Mozn</v>
      </c>
      <c r="G14" s="56" t="str">
        <f>'Summary | 01 '!H14</f>
        <v>C Prefs</v>
      </c>
      <c r="H14" s="56"/>
      <c r="I14" s="470">
        <f>'7. %'!D14</f>
        <v>17670202</v>
      </c>
      <c r="J14" s="470">
        <v>0</v>
      </c>
      <c r="K14" s="470">
        <v>0</v>
      </c>
      <c r="L14" s="470">
        <v>0</v>
      </c>
      <c r="M14" s="470">
        <f>I14</f>
        <v>17670202</v>
      </c>
      <c r="N14" s="470">
        <v>0</v>
      </c>
      <c r="O14" s="472">
        <v>5</v>
      </c>
      <c r="P14" s="166"/>
    </row>
    <row r="15" spans="2:16" x14ac:dyDescent="0.25">
      <c r="B15" s="165"/>
      <c r="C15" s="58" t="str">
        <f>'Summary | 01 '!C15</f>
        <v>ONT plc</v>
      </c>
      <c r="D15" s="56" t="str">
        <f>'Summary | 01 '!D15</f>
        <v>Unrealized</v>
      </c>
      <c r="E15" s="56" t="str">
        <f>'Summary | 01 '!E15</f>
        <v>Divyesh</v>
      </c>
      <c r="F15" s="56" t="str">
        <f>'Summary | 01 '!F15</f>
        <v>Mozn</v>
      </c>
      <c r="G15" s="56" t="str">
        <f>'Summary | 01 '!H15</f>
        <v>Ordinary Shares</v>
      </c>
      <c r="H15" s="56" t="s">
        <v>383</v>
      </c>
      <c r="I15" s="470">
        <f>'7. %'!D15</f>
        <v>44328120</v>
      </c>
      <c r="J15" s="470">
        <v>0</v>
      </c>
      <c r="K15" s="470">
        <v>0</v>
      </c>
      <c r="L15" s="470">
        <v>0</v>
      </c>
      <c r="M15" s="470">
        <f>I15</f>
        <v>44328120</v>
      </c>
      <c r="N15" s="470">
        <v>0</v>
      </c>
      <c r="O15" s="472">
        <v>6</v>
      </c>
      <c r="P15" s="166"/>
    </row>
    <row r="16" spans="2:16" x14ac:dyDescent="0.25">
      <c r="B16" s="165"/>
      <c r="C16" s="58" t="str">
        <f>'Summary | 01 '!C16</f>
        <v>Heygears</v>
      </c>
      <c r="D16" s="56" t="str">
        <f>'Summary | 01 '!D16</f>
        <v>Unrealized</v>
      </c>
      <c r="E16" s="56" t="str">
        <f>'Summary | 01 '!E16</f>
        <v>Elaine</v>
      </c>
      <c r="F16" s="56" t="str">
        <f>'Summary | 01 '!F16</f>
        <v>Mozn</v>
      </c>
      <c r="G16" s="56" t="str">
        <f>'Summary | 01 '!H16</f>
        <v>Registered Capital</v>
      </c>
      <c r="H16" s="56"/>
      <c r="I16" s="470">
        <f>'7. %'!D16</f>
        <v>3565017.22</v>
      </c>
      <c r="J16" s="470">
        <v>0</v>
      </c>
      <c r="K16" s="470">
        <v>0</v>
      </c>
      <c r="L16" s="470">
        <v>0</v>
      </c>
      <c r="M16" s="470">
        <f t="shared" ref="M16:M18" si="0">I16</f>
        <v>3565017.22</v>
      </c>
      <c r="N16" s="470">
        <v>0</v>
      </c>
      <c r="O16" s="472">
        <v>7</v>
      </c>
      <c r="P16" s="166"/>
    </row>
    <row r="17" spans="2:16" x14ac:dyDescent="0.25">
      <c r="B17" s="165"/>
      <c r="C17" s="58" t="str">
        <f>'Summary | 01 '!C17</f>
        <v>Jysan Technologies</v>
      </c>
      <c r="D17" s="56" t="str">
        <f>'Summary | 01 '!D17</f>
        <v>Unrealized</v>
      </c>
      <c r="E17" s="56" t="str">
        <f>'Summary | 01 '!E17</f>
        <v>Sushil</v>
      </c>
      <c r="F17" s="56" t="str">
        <f>'Summary | 01 '!F17</f>
        <v>Mozn 1</v>
      </c>
      <c r="G17" s="56" t="str">
        <f>'Summary | 01 '!H17</f>
        <v>A (Ordinary Shares)</v>
      </c>
      <c r="H17" s="56"/>
      <c r="I17" s="470">
        <f>NAV!F16</f>
        <v>7959497</v>
      </c>
      <c r="J17" s="470">
        <v>0</v>
      </c>
      <c r="K17" s="470">
        <v>0</v>
      </c>
      <c r="L17" s="470">
        <v>0</v>
      </c>
      <c r="M17" s="470">
        <f t="shared" si="0"/>
        <v>7959497</v>
      </c>
      <c r="N17" s="470">
        <v>0</v>
      </c>
      <c r="O17" s="472">
        <v>8</v>
      </c>
      <c r="P17" s="166"/>
    </row>
    <row r="18" spans="2:16" x14ac:dyDescent="0.25">
      <c r="B18" s="165"/>
      <c r="C18" s="58" t="str">
        <f>'Summary | 01 '!C18</f>
        <v>Cerebras Systems Inc</v>
      </c>
      <c r="D18" s="56" t="str">
        <f>'Summary | 01 '!D18</f>
        <v>Unrealized</v>
      </c>
      <c r="E18" s="56" t="str">
        <f>'Summary | 01 '!E18</f>
        <v>Ignasi</v>
      </c>
      <c r="F18" s="56" t="str">
        <f>'Summary | 01 '!F18</f>
        <v>Mozn</v>
      </c>
      <c r="G18" s="56" t="str">
        <f>'Summary | 01 '!H18</f>
        <v>F Prefs</v>
      </c>
      <c r="H18" s="56"/>
      <c r="I18" s="470">
        <f>NAV!F17</f>
        <v>1441711</v>
      </c>
      <c r="J18" s="470">
        <v>0</v>
      </c>
      <c r="K18" s="470">
        <v>0</v>
      </c>
      <c r="L18" s="470">
        <v>0</v>
      </c>
      <c r="M18" s="470">
        <f t="shared" si="0"/>
        <v>1441711</v>
      </c>
      <c r="N18" s="470">
        <v>0</v>
      </c>
      <c r="O18" s="472">
        <v>9</v>
      </c>
      <c r="P18" s="166"/>
    </row>
    <row r="19" spans="2:16" x14ac:dyDescent="0.25">
      <c r="B19" s="165"/>
      <c r="C19" s="58" t="str">
        <f>'Summary | 01 '!C19</f>
        <v>Endless Studios LLC</v>
      </c>
      <c r="D19" s="56" t="str">
        <f>'Summary | 01 '!D19</f>
        <v>Unrealized</v>
      </c>
      <c r="E19" s="56" t="str">
        <f>'Summary | 01 '!E19</f>
        <v>Sushil</v>
      </c>
      <c r="F19" s="56" t="str">
        <f>'Summary | 01 '!F19</f>
        <v>Mozn</v>
      </c>
      <c r="G19" s="56" t="str">
        <f>'Summary | 01 '!H19</f>
        <v>A Pref Units</v>
      </c>
      <c r="H19" s="56"/>
      <c r="I19" s="470">
        <f>NAV!F18</f>
        <v>3000000</v>
      </c>
      <c r="J19" s="470">
        <v>0</v>
      </c>
      <c r="K19" s="470">
        <v>0</v>
      </c>
      <c r="L19" s="470">
        <v>0</v>
      </c>
      <c r="M19" s="470">
        <f t="shared" ref="M19" si="1">I19</f>
        <v>3000000</v>
      </c>
      <c r="N19" s="470">
        <v>0</v>
      </c>
      <c r="O19" s="472">
        <v>10</v>
      </c>
      <c r="P19" s="166"/>
    </row>
    <row r="20" spans="2:16" x14ac:dyDescent="0.25">
      <c r="B20" s="165"/>
      <c r="C20" s="58" t="str">
        <f>'Summary | 01 '!C20</f>
        <v>Instadeep Limited</v>
      </c>
      <c r="D20" s="56" t="str">
        <f>'Summary | 01 '!D20</f>
        <v>To be Exited</v>
      </c>
      <c r="E20" s="56" t="str">
        <f>'Summary | 01 '!E20</f>
        <v>Ignasi</v>
      </c>
      <c r="F20" s="56" t="str">
        <f>'Summary | 01 '!F20</f>
        <v>Mozn</v>
      </c>
      <c r="G20" s="56" t="str">
        <f>'Summary | 01 '!H20</f>
        <v xml:space="preserve">B Prefs </v>
      </c>
      <c r="H20" s="56"/>
      <c r="I20" s="470">
        <f>NAV!F19</f>
        <v>33267</v>
      </c>
      <c r="J20" s="470">
        <v>0</v>
      </c>
      <c r="K20" s="470">
        <v>0</v>
      </c>
      <c r="L20" s="470">
        <v>0</v>
      </c>
      <c r="M20" s="470">
        <f t="shared" ref="M20" si="2">I20</f>
        <v>33267</v>
      </c>
      <c r="N20" s="470">
        <v>0</v>
      </c>
      <c r="O20" s="472">
        <v>11</v>
      </c>
      <c r="P20" s="166"/>
    </row>
    <row r="21" spans="2:16" x14ac:dyDescent="0.25">
      <c r="B21" s="165"/>
      <c r="C21" s="58" t="str">
        <f>'Summary | 01 '!C21</f>
        <v>X-fusion</v>
      </c>
      <c r="D21" s="56" t="str">
        <f>'Summary | 01 '!D21</f>
        <v>Unrealized</v>
      </c>
      <c r="E21" s="56" t="str">
        <f>'Summary | 01 '!E21</f>
        <v>Elaine</v>
      </c>
      <c r="F21" s="56" t="str">
        <f>'Summary | 01 '!F21</f>
        <v>Mozn 2</v>
      </c>
      <c r="G21" s="56" t="str">
        <f>'Summary | 01 '!H21</f>
        <v>Equity-TBC</v>
      </c>
      <c r="H21" s="56"/>
      <c r="I21" s="470"/>
      <c r="J21" s="470"/>
      <c r="K21" s="470"/>
      <c r="L21" s="470"/>
      <c r="M21" s="470"/>
      <c r="N21" s="470"/>
      <c r="O21" s="472">
        <v>12</v>
      </c>
      <c r="P21" s="166"/>
    </row>
    <row r="22" spans="2:16" x14ac:dyDescent="0.25">
      <c r="B22" s="165"/>
      <c r="C22" s="58" t="str">
        <f>'Summary | 01 '!C22</f>
        <v>DriveNets</v>
      </c>
      <c r="D22" s="56" t="str">
        <f>'Summary | 01 '!D22</f>
        <v>Unrealized</v>
      </c>
      <c r="E22" s="56" t="str">
        <f>'Summary | 01 '!E22</f>
        <v>Anton</v>
      </c>
      <c r="F22" s="56" t="str">
        <f>'Summary | 01 '!F22</f>
        <v>G42</v>
      </c>
      <c r="G22" s="56" t="str">
        <f>'Summary | 01 '!H22</f>
        <v>Equity-TBC</v>
      </c>
      <c r="H22" s="56"/>
      <c r="I22" s="470"/>
      <c r="J22" s="470"/>
      <c r="K22" s="470"/>
      <c r="L22" s="470"/>
      <c r="M22" s="470"/>
      <c r="N22" s="470"/>
      <c r="O22" s="472">
        <v>13</v>
      </c>
      <c r="P22" s="166"/>
    </row>
    <row r="23" spans="2:16" x14ac:dyDescent="0.25">
      <c r="B23" s="165"/>
      <c r="C23" s="58" t="str">
        <f>'Summary | 01 '!C23</f>
        <v>vTv Therapeutics Inc.</v>
      </c>
      <c r="D23" s="56" t="str">
        <f>'Summary | 01 '!D23</f>
        <v>Unrealized</v>
      </c>
      <c r="E23" s="56" t="str">
        <f>'Summary | 01 '!E23</f>
        <v>Divyesh</v>
      </c>
      <c r="F23" s="56" t="str">
        <f>'Summary | 01 '!F23</f>
        <v>G42</v>
      </c>
      <c r="G23" s="56" t="str">
        <f>'Summary | 01 '!H23</f>
        <v>Ordinary Shares</v>
      </c>
      <c r="H23" s="56" t="s">
        <v>383</v>
      </c>
      <c r="I23" s="470">
        <v>10386274</v>
      </c>
      <c r="J23" s="470">
        <v>0</v>
      </c>
      <c r="K23" s="470">
        <v>0</v>
      </c>
      <c r="L23" s="470">
        <v>0</v>
      </c>
      <c r="M23" s="470">
        <v>10386274</v>
      </c>
      <c r="N23" s="470">
        <v>0</v>
      </c>
      <c r="O23" s="472">
        <v>14</v>
      </c>
      <c r="P23" s="166"/>
    </row>
    <row r="24" spans="2:16" x14ac:dyDescent="0.25">
      <c r="B24" s="165"/>
      <c r="C24" s="58" t="str">
        <f>'Summary | 01 '!C24</f>
        <v>Honor Device Co Ltd</v>
      </c>
      <c r="D24" s="56" t="str">
        <f>'Summary | 01 '!D24</f>
        <v>Unrealized</v>
      </c>
      <c r="E24" s="56" t="str">
        <f>'Summary | 01 '!E24</f>
        <v>Elaine</v>
      </c>
      <c r="F24" s="56" t="str">
        <f>'Summary | 01 '!F24</f>
        <v>G42 3</v>
      </c>
      <c r="G24" s="56" t="str">
        <f>'Summary | 01 '!H24</f>
        <v>Equity-TBC</v>
      </c>
      <c r="H24" s="56"/>
      <c r="I24" s="470"/>
      <c r="J24" s="470"/>
      <c r="K24" s="470"/>
      <c r="L24" s="470"/>
      <c r="M24" s="470"/>
      <c r="N24" s="470"/>
      <c r="O24" s="472">
        <v>15</v>
      </c>
      <c r="P24" s="166"/>
    </row>
    <row r="25" spans="2:16" x14ac:dyDescent="0.25">
      <c r="B25" s="165"/>
      <c r="C25" s="58" t="str">
        <f>'Summary | 01 '!C25</f>
        <v>Applied AI Corporation Limited</v>
      </c>
      <c r="D25" s="56" t="str">
        <f>'Summary | 01 '!D25</f>
        <v>Unrealized</v>
      </c>
      <c r="E25" s="56" t="str">
        <f>'Summary | 01 '!E25</f>
        <v>Anton</v>
      </c>
      <c r="F25" s="56" t="str">
        <f>'Summary | 01 '!F25</f>
        <v>Mozn</v>
      </c>
      <c r="G25" s="56" t="str">
        <f>'Summary | 01 '!H25</f>
        <v>Convertible Note</v>
      </c>
      <c r="H25" s="56"/>
      <c r="I25" s="470"/>
      <c r="J25" s="470">
        <v>0</v>
      </c>
      <c r="K25" s="470">
        <v>0</v>
      </c>
      <c r="L25" s="470">
        <v>0</v>
      </c>
      <c r="M25" s="470"/>
      <c r="N25" s="470">
        <v>0</v>
      </c>
      <c r="O25" s="472">
        <v>16</v>
      </c>
      <c r="P25" s="166"/>
    </row>
    <row r="26" spans="2:16" x14ac:dyDescent="0.25">
      <c r="B26" s="165"/>
      <c r="C26" s="58" t="str">
        <f>'Summary | 01 '!C26</f>
        <v xml:space="preserve">eSpace </v>
      </c>
      <c r="D26" s="56" t="str">
        <f>'Summary | 01 '!D26</f>
        <v>Unrealized</v>
      </c>
      <c r="E26" s="56" t="str">
        <f>'Summary | 01 '!E26</f>
        <v>Anton</v>
      </c>
      <c r="F26" s="56" t="str">
        <f>'Summary | 01 '!F26</f>
        <v>Mozn 4</v>
      </c>
      <c r="G26" s="56" t="str">
        <f>'Summary | 01 '!H26</f>
        <v>SAFE note</v>
      </c>
      <c r="H26" s="56"/>
      <c r="I26" s="470"/>
      <c r="J26" s="470"/>
      <c r="K26" s="470"/>
      <c r="L26" s="470"/>
      <c r="M26" s="470"/>
      <c r="N26" s="470"/>
      <c r="O26" s="472">
        <v>17</v>
      </c>
      <c r="P26" s="166"/>
    </row>
    <row r="27" spans="2:16" s="169" customFormat="1" x14ac:dyDescent="0.25">
      <c r="B27" s="167"/>
      <c r="C27" s="219"/>
      <c r="D27" s="219"/>
      <c r="E27" s="219"/>
      <c r="F27" s="219"/>
      <c r="G27" s="219"/>
      <c r="H27" s="219"/>
      <c r="I27" s="430"/>
      <c r="J27" s="430"/>
      <c r="K27" s="430"/>
      <c r="L27" s="430"/>
      <c r="M27" s="430"/>
      <c r="N27" s="430"/>
      <c r="O27" s="473"/>
      <c r="P27" s="168"/>
    </row>
    <row r="28" spans="2:16" s="164" customFormat="1" x14ac:dyDescent="0.25">
      <c r="B28" s="162"/>
      <c r="C28" s="59"/>
      <c r="D28" s="62"/>
      <c r="E28" s="62"/>
      <c r="F28" s="62"/>
      <c r="G28" s="62"/>
      <c r="H28" s="62"/>
      <c r="I28" s="431"/>
      <c r="J28" s="431"/>
      <c r="K28" s="431"/>
      <c r="L28" s="431"/>
      <c r="M28" s="431"/>
      <c r="N28" s="431"/>
      <c r="O28" s="471"/>
      <c r="P28" s="163"/>
    </row>
    <row r="29" spans="2:16" x14ac:dyDescent="0.25">
      <c r="B29" s="165"/>
      <c r="C29" s="70" t="s">
        <v>38</v>
      </c>
      <c r="D29" s="56"/>
      <c r="E29" s="56"/>
      <c r="F29" s="56"/>
      <c r="G29" s="56"/>
      <c r="H29" s="56"/>
      <c r="I29" s="429"/>
      <c r="J29" s="429"/>
      <c r="K29" s="429"/>
      <c r="L29" s="429"/>
      <c r="M29" s="429"/>
      <c r="N29" s="429"/>
      <c r="O29" s="472"/>
      <c r="P29" s="166"/>
    </row>
    <row r="30" spans="2:16" x14ac:dyDescent="0.25">
      <c r="B30" s="165"/>
      <c r="C30" s="58" t="s">
        <v>58</v>
      </c>
      <c r="D30" s="56" t="s">
        <v>186</v>
      </c>
      <c r="E30" s="56"/>
      <c r="F30" s="56" t="s">
        <v>9</v>
      </c>
      <c r="G30" s="56" t="s">
        <v>182</v>
      </c>
      <c r="H30" s="56"/>
      <c r="I30" s="429"/>
      <c r="J30" s="429"/>
      <c r="K30" s="429"/>
      <c r="L30" s="429"/>
      <c r="M30" s="429"/>
      <c r="N30" s="429"/>
      <c r="O30" s="472">
        <v>16</v>
      </c>
      <c r="P30" s="166"/>
    </row>
    <row r="31" spans="2:16" x14ac:dyDescent="0.25">
      <c r="B31" s="165"/>
      <c r="C31" s="58" t="s">
        <v>422</v>
      </c>
      <c r="D31" s="56" t="s">
        <v>186</v>
      </c>
      <c r="E31" s="56" t="s">
        <v>102</v>
      </c>
      <c r="F31" s="56" t="s">
        <v>9</v>
      </c>
      <c r="G31" s="56" t="s">
        <v>184</v>
      </c>
      <c r="H31" s="56"/>
      <c r="I31" s="429"/>
      <c r="J31" s="429"/>
      <c r="K31" s="429"/>
      <c r="L31" s="429"/>
      <c r="M31" s="429"/>
      <c r="N31" s="429"/>
      <c r="O31" s="472">
        <v>17</v>
      </c>
      <c r="P31" s="166"/>
    </row>
    <row r="32" spans="2:16" x14ac:dyDescent="0.25">
      <c r="B32" s="165"/>
      <c r="C32" s="58" t="s">
        <v>411</v>
      </c>
      <c r="D32" s="56" t="s">
        <v>121</v>
      </c>
      <c r="E32" s="56" t="s">
        <v>101</v>
      </c>
      <c r="F32" s="56" t="s">
        <v>9</v>
      </c>
      <c r="G32" s="56" t="s">
        <v>184</v>
      </c>
      <c r="H32" s="56"/>
      <c r="I32" s="429"/>
      <c r="J32" s="429"/>
      <c r="K32" s="429"/>
      <c r="L32" s="429"/>
      <c r="M32" s="429"/>
      <c r="N32" s="429"/>
      <c r="O32" s="472">
        <v>18</v>
      </c>
      <c r="P32" s="166"/>
    </row>
    <row r="33" spans="2:16" s="169" customFormat="1" x14ac:dyDescent="0.25">
      <c r="B33" s="167"/>
      <c r="C33" s="219"/>
      <c r="D33" s="219"/>
      <c r="E33" s="219"/>
      <c r="F33" s="219"/>
      <c r="G33" s="219"/>
      <c r="H33" s="219"/>
      <c r="I33" s="430"/>
      <c r="J33" s="430"/>
      <c r="K33" s="430"/>
      <c r="L33" s="430"/>
      <c r="M33" s="430"/>
      <c r="N33" s="430"/>
      <c r="O33" s="473"/>
      <c r="P33" s="168"/>
    </row>
    <row r="34" spans="2:16" s="164" customFormat="1" x14ac:dyDescent="0.25">
      <c r="B34" s="162"/>
      <c r="C34" s="59"/>
      <c r="D34" s="62"/>
      <c r="E34" s="62"/>
      <c r="F34" s="62"/>
      <c r="G34" s="62"/>
      <c r="H34" s="62"/>
      <c r="I34" s="431"/>
      <c r="J34" s="431"/>
      <c r="K34" s="431"/>
      <c r="L34" s="431"/>
      <c r="M34" s="431"/>
      <c r="N34" s="431"/>
      <c r="O34" s="471"/>
      <c r="P34" s="163"/>
    </row>
    <row r="35" spans="2:16" x14ac:dyDescent="0.25">
      <c r="B35" s="165"/>
      <c r="C35" s="70" t="s">
        <v>39</v>
      </c>
      <c r="D35" s="56"/>
      <c r="E35" s="56"/>
      <c r="F35" s="56"/>
      <c r="G35" s="56"/>
      <c r="H35" s="56"/>
      <c r="I35" s="429"/>
      <c r="J35" s="429"/>
      <c r="K35" s="429"/>
      <c r="L35" s="429"/>
      <c r="M35" s="429"/>
      <c r="N35" s="429"/>
      <c r="O35" s="472"/>
      <c r="P35" s="166"/>
    </row>
    <row r="36" spans="2:16" x14ac:dyDescent="0.25">
      <c r="B36" s="165"/>
      <c r="C36" s="58" t="s">
        <v>174</v>
      </c>
      <c r="D36" s="56" t="s">
        <v>121</v>
      </c>
      <c r="E36" s="56" t="s">
        <v>101</v>
      </c>
      <c r="F36" s="56" t="s">
        <v>13</v>
      </c>
      <c r="G36" s="56" t="s">
        <v>69</v>
      </c>
      <c r="H36" s="56"/>
      <c r="I36" s="429"/>
      <c r="J36" s="429"/>
      <c r="K36" s="429"/>
      <c r="L36" s="429"/>
      <c r="M36" s="429"/>
      <c r="N36" s="429"/>
      <c r="O36" s="472">
        <v>19</v>
      </c>
      <c r="P36" s="166"/>
    </row>
    <row r="37" spans="2:16" x14ac:dyDescent="0.25">
      <c r="B37" s="165"/>
      <c r="C37" s="58" t="s">
        <v>156</v>
      </c>
      <c r="D37" s="56" t="s">
        <v>121</v>
      </c>
      <c r="E37" s="56" t="s">
        <v>101</v>
      </c>
      <c r="F37" s="56" t="s">
        <v>13</v>
      </c>
      <c r="G37" s="56" t="s">
        <v>99</v>
      </c>
      <c r="H37" s="56"/>
      <c r="I37" s="429"/>
      <c r="J37" s="429"/>
      <c r="K37" s="429"/>
      <c r="L37" s="429"/>
      <c r="M37" s="429"/>
      <c r="N37" s="429"/>
      <c r="O37" s="472">
        <v>20</v>
      </c>
      <c r="P37" s="166"/>
    </row>
    <row r="38" spans="2:16" x14ac:dyDescent="0.25">
      <c r="B38" s="165"/>
      <c r="C38" s="58" t="s">
        <v>1</v>
      </c>
      <c r="D38" s="56" t="s">
        <v>121</v>
      </c>
      <c r="E38" s="56" t="s">
        <v>102</v>
      </c>
      <c r="F38" s="56" t="s">
        <v>13</v>
      </c>
      <c r="G38" s="56" t="s">
        <v>69</v>
      </c>
      <c r="H38" s="56"/>
      <c r="I38" s="429"/>
      <c r="J38" s="429"/>
      <c r="K38" s="429"/>
      <c r="L38" s="429"/>
      <c r="M38" s="429"/>
      <c r="N38" s="429"/>
      <c r="O38" s="472">
        <v>21</v>
      </c>
      <c r="P38" s="166"/>
    </row>
    <row r="39" spans="2:16" x14ac:dyDescent="0.25">
      <c r="B39" s="165"/>
      <c r="C39" s="58" t="s">
        <v>15</v>
      </c>
      <c r="D39" s="56" t="s">
        <v>121</v>
      </c>
      <c r="E39" s="56" t="s">
        <v>102</v>
      </c>
      <c r="F39" s="56" t="s">
        <v>13</v>
      </c>
      <c r="G39" s="56" t="s">
        <v>69</v>
      </c>
      <c r="H39" s="56"/>
      <c r="I39" s="429"/>
      <c r="J39" s="429"/>
      <c r="K39" s="429"/>
      <c r="L39" s="429"/>
      <c r="M39" s="429"/>
      <c r="N39" s="429"/>
      <c r="O39" s="472">
        <v>22</v>
      </c>
      <c r="P39" s="166"/>
    </row>
    <row r="40" spans="2:16" x14ac:dyDescent="0.25">
      <c r="B40" s="165"/>
      <c r="C40" s="58" t="s">
        <v>237</v>
      </c>
      <c r="D40" s="56" t="s">
        <v>121</v>
      </c>
      <c r="E40" s="56" t="s">
        <v>103</v>
      </c>
      <c r="F40" s="56" t="s">
        <v>13</v>
      </c>
      <c r="G40" s="56" t="s">
        <v>69</v>
      </c>
      <c r="H40" s="56"/>
      <c r="I40" s="429"/>
      <c r="J40" s="429"/>
      <c r="K40" s="429"/>
      <c r="L40" s="429"/>
      <c r="M40" s="429"/>
      <c r="N40" s="429"/>
      <c r="O40" s="472">
        <v>23</v>
      </c>
      <c r="P40" s="166"/>
    </row>
    <row r="41" spans="2:16" s="169" customFormat="1" x14ac:dyDescent="0.25">
      <c r="B41" s="167"/>
      <c r="C41" s="219"/>
      <c r="D41" s="219"/>
      <c r="E41" s="219"/>
      <c r="F41" s="219"/>
      <c r="G41" s="219"/>
      <c r="H41" s="219"/>
      <c r="I41" s="430"/>
      <c r="J41" s="430"/>
      <c r="K41" s="430"/>
      <c r="L41" s="430"/>
      <c r="M41" s="430"/>
      <c r="N41" s="430"/>
      <c r="O41" s="473"/>
      <c r="P41" s="168"/>
    </row>
    <row r="42" spans="2:16" s="405" customFormat="1" x14ac:dyDescent="0.25">
      <c r="B42" s="403"/>
      <c r="C42" s="397"/>
      <c r="D42" s="397"/>
      <c r="E42" s="397"/>
      <c r="F42" s="397"/>
      <c r="G42" s="397"/>
      <c r="H42" s="397"/>
      <c r="I42" s="431"/>
      <c r="J42" s="431"/>
      <c r="K42" s="431"/>
      <c r="L42" s="431"/>
      <c r="M42" s="431"/>
      <c r="N42" s="431"/>
      <c r="O42" s="471"/>
      <c r="P42" s="404"/>
    </row>
    <row r="43" spans="2:16" s="169" customFormat="1" x14ac:dyDescent="0.25">
      <c r="B43" s="167"/>
      <c r="C43" s="400"/>
      <c r="D43" s="392"/>
      <c r="E43" s="392"/>
      <c r="F43" s="392"/>
      <c r="G43" s="392"/>
      <c r="H43" s="392"/>
      <c r="I43" s="392"/>
      <c r="J43" s="392"/>
      <c r="K43" s="392"/>
      <c r="L43" s="392"/>
      <c r="M43" s="392"/>
      <c r="N43" s="392"/>
      <c r="O43" s="474"/>
      <c r="P43" s="168"/>
    </row>
    <row r="44" spans="2:16" ht="15.75" thickBot="1" x14ac:dyDescent="0.3">
      <c r="B44" s="170"/>
      <c r="C44" s="171"/>
      <c r="D44" s="249"/>
      <c r="E44" s="249"/>
      <c r="F44" s="249"/>
      <c r="G44" s="249"/>
      <c r="H44" s="249"/>
      <c r="I44" s="249"/>
      <c r="J44" s="249"/>
      <c r="K44" s="249"/>
      <c r="L44" s="249"/>
      <c r="M44" s="249"/>
      <c r="N44" s="249"/>
      <c r="O44" s="249"/>
      <c r="P44" s="174"/>
    </row>
    <row r="46" spans="2:16" s="164" customFormat="1" x14ac:dyDescent="0.25">
      <c r="D46" s="61"/>
      <c r="E46" s="61"/>
      <c r="F46" s="61"/>
      <c r="G46" s="61"/>
      <c r="H46" s="61"/>
      <c r="I46" s="61"/>
      <c r="J46" s="61"/>
      <c r="K46" s="61"/>
      <c r="L46" s="61"/>
      <c r="M46" s="61"/>
      <c r="N46" s="61"/>
      <c r="O46" s="61"/>
    </row>
    <row r="47" spans="2:16" s="164" customFormat="1" x14ac:dyDescent="0.25">
      <c r="B47" s="485" t="s">
        <v>210</v>
      </c>
      <c r="D47" s="61"/>
      <c r="E47" s="61"/>
      <c r="F47" s="61"/>
      <c r="G47" s="61"/>
      <c r="H47" s="61"/>
      <c r="I47" s="61"/>
      <c r="J47" s="61"/>
      <c r="K47" s="61"/>
      <c r="L47" s="61"/>
      <c r="M47" s="61"/>
      <c r="N47" s="61"/>
      <c r="O47" s="61"/>
    </row>
    <row r="48" spans="2:16" s="164" customFormat="1" x14ac:dyDescent="0.25">
      <c r="B48" s="477">
        <v>1</v>
      </c>
      <c r="C48" s="481" t="s">
        <v>395</v>
      </c>
      <c r="D48" s="666" t="s">
        <v>403</v>
      </c>
      <c r="E48" s="666"/>
      <c r="F48" s="666"/>
      <c r="G48" s="666"/>
      <c r="H48" s="666"/>
      <c r="I48" s="666"/>
      <c r="J48" s="666"/>
      <c r="K48" s="666"/>
      <c r="L48" s="666"/>
      <c r="M48" s="666"/>
      <c r="N48" s="666"/>
      <c r="O48" s="666"/>
      <c r="P48" s="666"/>
    </row>
    <row r="49" spans="2:16" x14ac:dyDescent="0.25">
      <c r="B49" s="484">
        <v>2</v>
      </c>
      <c r="C49" s="483" t="s">
        <v>96</v>
      </c>
      <c r="D49" s="665" t="s">
        <v>404</v>
      </c>
      <c r="E49" s="665"/>
      <c r="F49" s="665"/>
      <c r="G49" s="665"/>
      <c r="H49" s="665"/>
      <c r="I49" s="665"/>
      <c r="J49" s="665"/>
      <c r="K49" s="665"/>
      <c r="L49" s="665"/>
      <c r="M49" s="665"/>
      <c r="N49" s="665"/>
      <c r="O49" s="665"/>
      <c r="P49" s="665"/>
    </row>
    <row r="50" spans="2:16" s="81" customFormat="1" x14ac:dyDescent="0.25">
      <c r="B50" s="477">
        <v>3</v>
      </c>
      <c r="C50" s="478" t="s">
        <v>397</v>
      </c>
      <c r="D50" s="666" t="s">
        <v>402</v>
      </c>
      <c r="E50" s="666"/>
      <c r="F50" s="666"/>
      <c r="G50" s="666"/>
      <c r="H50" s="666"/>
      <c r="I50" s="666"/>
      <c r="J50" s="666"/>
      <c r="K50" s="666"/>
      <c r="L50" s="666"/>
      <c r="M50" s="666"/>
      <c r="N50" s="666"/>
      <c r="O50" s="666"/>
      <c r="P50" s="666"/>
    </row>
    <row r="51" spans="2:16" ht="52.5" customHeight="1" x14ac:dyDescent="0.25">
      <c r="B51" s="484">
        <v>4</v>
      </c>
      <c r="C51" s="483" t="s">
        <v>396</v>
      </c>
      <c r="D51" s="665" t="s">
        <v>541</v>
      </c>
      <c r="E51" s="665"/>
      <c r="F51" s="665"/>
      <c r="G51" s="665"/>
      <c r="H51" s="665"/>
      <c r="I51" s="665"/>
      <c r="J51" s="665"/>
      <c r="K51" s="665"/>
      <c r="L51" s="665"/>
      <c r="M51" s="665"/>
      <c r="N51" s="665"/>
      <c r="O51" s="665"/>
      <c r="P51" s="665"/>
    </row>
    <row r="52" spans="2:16" x14ac:dyDescent="0.25">
      <c r="B52" s="477">
        <v>5</v>
      </c>
      <c r="C52" s="478" t="s">
        <v>47</v>
      </c>
      <c r="D52" s="666" t="s">
        <v>407</v>
      </c>
      <c r="E52" s="666"/>
      <c r="F52" s="666"/>
      <c r="G52" s="666"/>
      <c r="H52" s="666"/>
      <c r="I52" s="666"/>
      <c r="J52" s="666"/>
      <c r="K52" s="666"/>
      <c r="L52" s="666"/>
      <c r="M52" s="666"/>
      <c r="N52" s="666"/>
      <c r="O52" s="666"/>
      <c r="P52" s="666"/>
    </row>
    <row r="53" spans="2:16" x14ac:dyDescent="0.25">
      <c r="B53" s="484">
        <v>6</v>
      </c>
      <c r="C53" s="483" t="s">
        <v>133</v>
      </c>
      <c r="D53" s="665"/>
      <c r="E53" s="665"/>
      <c r="F53" s="665"/>
      <c r="G53" s="665"/>
      <c r="H53" s="665"/>
      <c r="I53" s="665"/>
      <c r="J53" s="665"/>
      <c r="K53" s="665"/>
      <c r="L53" s="665"/>
      <c r="M53" s="665"/>
      <c r="N53" s="665"/>
      <c r="O53" s="665"/>
      <c r="P53" s="665"/>
    </row>
    <row r="54" spans="2:16" ht="15" customHeight="1" x14ac:dyDescent="0.25">
      <c r="B54" s="477">
        <v>7</v>
      </c>
      <c r="C54" s="478" t="s">
        <v>11</v>
      </c>
      <c r="D54" s="666" t="s">
        <v>405</v>
      </c>
      <c r="E54" s="666"/>
      <c r="F54" s="666"/>
      <c r="G54" s="666"/>
      <c r="H54" s="666"/>
      <c r="I54" s="666"/>
      <c r="J54" s="666"/>
      <c r="K54" s="666"/>
      <c r="L54" s="666"/>
      <c r="M54" s="666"/>
      <c r="N54" s="666"/>
      <c r="O54" s="666"/>
      <c r="P54" s="666"/>
    </row>
    <row r="55" spans="2:16" x14ac:dyDescent="0.25">
      <c r="B55" s="484">
        <v>8</v>
      </c>
      <c r="C55" s="483" t="s">
        <v>24</v>
      </c>
      <c r="D55" s="665" t="s">
        <v>401</v>
      </c>
      <c r="E55" s="665"/>
      <c r="F55" s="665"/>
      <c r="G55" s="665"/>
      <c r="H55" s="665"/>
      <c r="I55" s="665"/>
      <c r="J55" s="665"/>
      <c r="K55" s="665"/>
      <c r="L55" s="665"/>
      <c r="M55" s="665"/>
      <c r="N55" s="665"/>
      <c r="O55" s="665"/>
      <c r="P55" s="665"/>
    </row>
    <row r="56" spans="2:16" ht="15" customHeight="1" x14ac:dyDescent="0.25">
      <c r="B56" s="477">
        <v>9</v>
      </c>
      <c r="C56" s="478" t="s">
        <v>50</v>
      </c>
      <c r="D56" s="666" t="s">
        <v>408</v>
      </c>
      <c r="E56" s="666"/>
      <c r="F56" s="666"/>
      <c r="G56" s="666"/>
      <c r="H56" s="666"/>
      <c r="I56" s="666"/>
      <c r="J56" s="666"/>
      <c r="K56" s="666"/>
      <c r="L56" s="666"/>
      <c r="M56" s="666"/>
      <c r="N56" s="666"/>
      <c r="O56" s="666"/>
      <c r="P56" s="666"/>
    </row>
    <row r="57" spans="2:16" x14ac:dyDescent="0.25">
      <c r="B57" s="484">
        <v>10</v>
      </c>
      <c r="C57" s="483" t="s">
        <v>51</v>
      </c>
      <c r="D57" s="665"/>
      <c r="E57" s="665"/>
      <c r="F57" s="665"/>
      <c r="G57" s="665"/>
      <c r="H57" s="665"/>
      <c r="I57" s="665"/>
      <c r="J57" s="665"/>
      <c r="K57" s="665"/>
      <c r="L57" s="665"/>
      <c r="M57" s="665"/>
      <c r="N57" s="665"/>
      <c r="O57" s="665"/>
      <c r="P57" s="665"/>
    </row>
    <row r="58" spans="2:16" ht="15" customHeight="1" x14ac:dyDescent="0.25">
      <c r="B58" s="477">
        <v>11</v>
      </c>
      <c r="C58" s="478" t="s">
        <v>52</v>
      </c>
      <c r="D58" s="666" t="s">
        <v>483</v>
      </c>
      <c r="E58" s="666"/>
      <c r="F58" s="666"/>
      <c r="G58" s="666"/>
      <c r="H58" s="666"/>
      <c r="I58" s="666"/>
      <c r="J58" s="666"/>
      <c r="K58" s="666"/>
      <c r="L58" s="666"/>
      <c r="M58" s="666"/>
      <c r="N58" s="666"/>
      <c r="O58" s="666"/>
      <c r="P58" s="666"/>
    </row>
    <row r="59" spans="2:16" x14ac:dyDescent="0.25">
      <c r="B59" s="484">
        <v>12</v>
      </c>
      <c r="C59" s="483" t="s">
        <v>113</v>
      </c>
      <c r="D59" s="665" t="s">
        <v>400</v>
      </c>
      <c r="E59" s="665"/>
      <c r="F59" s="665"/>
      <c r="G59" s="665"/>
      <c r="H59" s="665"/>
      <c r="I59" s="665"/>
      <c r="J59" s="665"/>
      <c r="K59" s="665"/>
      <c r="L59" s="665"/>
      <c r="M59" s="665"/>
      <c r="N59" s="665"/>
      <c r="O59" s="665"/>
      <c r="P59" s="665"/>
    </row>
    <row r="60" spans="2:16" ht="15" customHeight="1" x14ac:dyDescent="0.25">
      <c r="B60" s="477">
        <v>13</v>
      </c>
      <c r="C60" s="478" t="s">
        <v>392</v>
      </c>
      <c r="D60" s="666" t="s">
        <v>406</v>
      </c>
      <c r="E60" s="666"/>
      <c r="F60" s="666"/>
      <c r="G60" s="666"/>
      <c r="H60" s="666"/>
      <c r="I60" s="666"/>
      <c r="J60" s="666"/>
      <c r="K60" s="666"/>
      <c r="L60" s="666"/>
      <c r="M60" s="666"/>
      <c r="N60" s="666"/>
      <c r="O60" s="666"/>
      <c r="P60" s="666"/>
    </row>
    <row r="61" spans="2:16" ht="61.5" customHeight="1" x14ac:dyDescent="0.25">
      <c r="B61" s="484">
        <v>14</v>
      </c>
      <c r="C61" s="482" t="s">
        <v>385</v>
      </c>
      <c r="D61" s="665" t="s">
        <v>391</v>
      </c>
      <c r="E61" s="665"/>
      <c r="F61" s="665"/>
      <c r="G61" s="665"/>
      <c r="H61" s="665"/>
      <c r="I61" s="665"/>
      <c r="J61" s="665"/>
      <c r="K61" s="665"/>
      <c r="L61" s="665"/>
      <c r="M61" s="665"/>
      <c r="N61" s="665"/>
      <c r="O61" s="665"/>
      <c r="P61" s="665"/>
    </row>
    <row r="62" spans="2:16" x14ac:dyDescent="0.25">
      <c r="B62" s="477">
        <v>15</v>
      </c>
      <c r="C62" s="478" t="s">
        <v>393</v>
      </c>
      <c r="D62" s="666" t="s">
        <v>506</v>
      </c>
      <c r="E62" s="666"/>
      <c r="F62" s="666"/>
      <c r="G62" s="666"/>
      <c r="H62" s="666"/>
      <c r="I62" s="666"/>
      <c r="J62" s="666"/>
      <c r="K62" s="666"/>
      <c r="L62" s="666"/>
      <c r="M62" s="666"/>
      <c r="N62" s="666"/>
      <c r="O62" s="666"/>
      <c r="P62" s="666"/>
    </row>
    <row r="63" spans="2:16" x14ac:dyDescent="0.25">
      <c r="B63" s="484">
        <v>16</v>
      </c>
      <c r="C63" s="483" t="s">
        <v>399</v>
      </c>
      <c r="D63" s="665" t="s">
        <v>414</v>
      </c>
      <c r="E63" s="665"/>
      <c r="F63" s="665"/>
      <c r="G63" s="665"/>
      <c r="H63" s="665"/>
      <c r="I63" s="665"/>
      <c r="J63" s="665"/>
      <c r="K63" s="665"/>
      <c r="L63" s="665"/>
      <c r="M63" s="665"/>
      <c r="N63" s="665"/>
      <c r="O63" s="665"/>
      <c r="P63" s="665"/>
    </row>
    <row r="64" spans="2:16" x14ac:dyDescent="0.25">
      <c r="B64" s="477">
        <v>17</v>
      </c>
      <c r="C64" s="478" t="s">
        <v>410</v>
      </c>
      <c r="D64" s="666" t="s">
        <v>415</v>
      </c>
      <c r="E64" s="666"/>
      <c r="F64" s="666"/>
      <c r="G64" s="666"/>
      <c r="H64" s="666"/>
      <c r="I64" s="666"/>
      <c r="J64" s="666"/>
      <c r="K64" s="666"/>
      <c r="L64" s="666"/>
      <c r="M64" s="666"/>
      <c r="N64" s="666"/>
      <c r="O64" s="666"/>
      <c r="P64" s="666"/>
    </row>
    <row r="65" spans="2:16" x14ac:dyDescent="0.25">
      <c r="B65" s="484">
        <v>18</v>
      </c>
      <c r="C65" s="483" t="s">
        <v>411</v>
      </c>
      <c r="D65" s="665" t="s">
        <v>415</v>
      </c>
      <c r="E65" s="665"/>
      <c r="F65" s="665"/>
      <c r="G65" s="665"/>
      <c r="H65" s="665"/>
      <c r="I65" s="665"/>
      <c r="J65" s="665"/>
      <c r="K65" s="665"/>
      <c r="L65" s="665"/>
      <c r="M65" s="665"/>
      <c r="N65" s="665"/>
      <c r="O65" s="665"/>
      <c r="P65" s="665"/>
    </row>
    <row r="66" spans="2:16" x14ac:dyDescent="0.25">
      <c r="B66" s="477">
        <v>19</v>
      </c>
      <c r="C66" s="478" t="s">
        <v>174</v>
      </c>
      <c r="D66" s="666" t="s">
        <v>413</v>
      </c>
      <c r="E66" s="666"/>
      <c r="F66" s="666"/>
      <c r="G66" s="666"/>
      <c r="H66" s="666"/>
      <c r="I66" s="666"/>
      <c r="J66" s="666"/>
      <c r="K66" s="666"/>
      <c r="L66" s="666"/>
      <c r="M66" s="666"/>
      <c r="N66" s="666"/>
      <c r="O66" s="666"/>
      <c r="P66" s="666"/>
    </row>
    <row r="67" spans="2:16" x14ac:dyDescent="0.25">
      <c r="B67" s="484">
        <v>20</v>
      </c>
      <c r="C67" s="483" t="s">
        <v>156</v>
      </c>
      <c r="D67" s="665" t="s">
        <v>412</v>
      </c>
      <c r="E67" s="665"/>
      <c r="F67" s="665"/>
      <c r="G67" s="665"/>
      <c r="H67" s="665"/>
      <c r="I67" s="665"/>
      <c r="J67" s="665"/>
      <c r="K67" s="665"/>
      <c r="L67" s="665"/>
      <c r="M67" s="665"/>
      <c r="N67" s="665"/>
      <c r="O67" s="665"/>
      <c r="P67" s="665"/>
    </row>
    <row r="68" spans="2:16" x14ac:dyDescent="0.25">
      <c r="B68" s="477">
        <v>21</v>
      </c>
      <c r="C68" s="478" t="s">
        <v>386</v>
      </c>
      <c r="D68" s="666" t="s">
        <v>387</v>
      </c>
      <c r="E68" s="666"/>
      <c r="F68" s="666"/>
      <c r="G68" s="666"/>
      <c r="H68" s="666"/>
      <c r="I68" s="666"/>
      <c r="J68" s="666"/>
      <c r="K68" s="666"/>
      <c r="L68" s="666"/>
      <c r="M68" s="666"/>
      <c r="N68" s="666"/>
      <c r="O68" s="666"/>
      <c r="P68" s="666"/>
    </row>
    <row r="69" spans="2:16" x14ac:dyDescent="0.25">
      <c r="B69" s="484">
        <v>22</v>
      </c>
      <c r="C69" s="483" t="s">
        <v>388</v>
      </c>
      <c r="D69" s="665" t="s">
        <v>389</v>
      </c>
      <c r="E69" s="665"/>
      <c r="F69" s="665"/>
      <c r="G69" s="665"/>
      <c r="H69" s="665"/>
      <c r="I69" s="665"/>
      <c r="J69" s="665"/>
      <c r="K69" s="665"/>
      <c r="L69" s="665"/>
      <c r="M69" s="665"/>
      <c r="N69" s="665"/>
      <c r="O69" s="665"/>
      <c r="P69" s="665"/>
    </row>
    <row r="70" spans="2:16" ht="15" customHeight="1" x14ac:dyDescent="0.25">
      <c r="B70" s="477">
        <v>23</v>
      </c>
      <c r="C70" s="478" t="s">
        <v>390</v>
      </c>
      <c r="D70" s="666"/>
      <c r="E70" s="666"/>
      <c r="F70" s="666"/>
      <c r="G70" s="666"/>
      <c r="H70" s="666"/>
      <c r="I70" s="666"/>
      <c r="J70" s="666"/>
      <c r="K70" s="666"/>
      <c r="L70" s="666"/>
      <c r="M70" s="666"/>
      <c r="N70" s="666"/>
      <c r="O70" s="666"/>
      <c r="P70" s="666"/>
    </row>
    <row r="71" spans="2:16" x14ac:dyDescent="0.25">
      <c r="B71" s="484"/>
      <c r="C71" s="483"/>
      <c r="D71" s="665"/>
      <c r="E71" s="665"/>
      <c r="F71" s="665"/>
      <c r="G71" s="665"/>
      <c r="H71" s="665"/>
      <c r="I71" s="665"/>
      <c r="J71" s="665"/>
      <c r="K71" s="665"/>
      <c r="L71" s="665"/>
      <c r="M71" s="665"/>
      <c r="N71" s="665"/>
      <c r="O71" s="665"/>
      <c r="P71" s="665"/>
    </row>
    <row r="72" spans="2:16" x14ac:dyDescent="0.25">
      <c r="B72" s="360" t="s">
        <v>409</v>
      </c>
    </row>
    <row r="73" spans="2:16" x14ac:dyDescent="0.25">
      <c r="B73" s="475"/>
    </row>
    <row r="74" spans="2:16" x14ac:dyDescent="0.25">
      <c r="B74" s="475"/>
    </row>
    <row r="75" spans="2:16" x14ac:dyDescent="0.25">
      <c r="B75" s="475"/>
    </row>
    <row r="76" spans="2:16" x14ac:dyDescent="0.25">
      <c r="B76" s="475"/>
    </row>
    <row r="77" spans="2:16" x14ac:dyDescent="0.25">
      <c r="B77" s="475"/>
    </row>
  </sheetData>
  <mergeCells count="25">
    <mergeCell ref="I6:M6"/>
    <mergeCell ref="D48:P48"/>
    <mergeCell ref="D51:P51"/>
    <mergeCell ref="D50:P50"/>
    <mergeCell ref="D49:P49"/>
    <mergeCell ref="D53:P53"/>
    <mergeCell ref="D52:P52"/>
    <mergeCell ref="D63:P63"/>
    <mergeCell ref="D59:P59"/>
    <mergeCell ref="D55:P55"/>
    <mergeCell ref="D54:P54"/>
    <mergeCell ref="D61:P61"/>
    <mergeCell ref="D60:P60"/>
    <mergeCell ref="D69:P69"/>
    <mergeCell ref="D71:P71"/>
    <mergeCell ref="D57:P57"/>
    <mergeCell ref="D56:P56"/>
    <mergeCell ref="D58:P58"/>
    <mergeCell ref="D64:P64"/>
    <mergeCell ref="D65:P65"/>
    <mergeCell ref="D67:P67"/>
    <mergeCell ref="D66:P66"/>
    <mergeCell ref="D70:P70"/>
    <mergeCell ref="D68:P68"/>
    <mergeCell ref="D62:P62"/>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sheetPr>
  <dimension ref="B2:S45"/>
  <sheetViews>
    <sheetView zoomScale="70" zoomScaleNormal="70" workbookViewId="0">
      <selection activeCell="H36" sqref="H36"/>
    </sheetView>
  </sheetViews>
  <sheetFormatPr defaultRowHeight="15" x14ac:dyDescent="0.25"/>
  <cols>
    <col min="1" max="1" width="3.42578125" style="80" customWidth="1"/>
    <col min="2" max="2" width="37.85546875" style="80" customWidth="1"/>
    <col min="3" max="3" width="19.140625" style="80" bestFit="1" customWidth="1"/>
    <col min="4" max="4" width="20.140625" style="80" bestFit="1" customWidth="1"/>
    <col min="5" max="5" width="23" style="81" bestFit="1" customWidth="1"/>
    <col min="6" max="6" width="24.28515625" style="81" customWidth="1"/>
    <col min="7" max="7" width="27" style="81" customWidth="1"/>
    <col min="8" max="8" width="69.28515625" style="451" customWidth="1"/>
    <col min="9" max="9" width="4.28515625" style="80" customWidth="1"/>
    <col min="10" max="10" width="42.42578125" style="80" bestFit="1" customWidth="1"/>
    <col min="11" max="11" width="19" style="80" customWidth="1"/>
    <col min="12" max="12" width="9.28515625" style="80" customWidth="1"/>
    <col min="13" max="13" width="12.85546875" style="80" customWidth="1"/>
    <col min="14" max="14" width="4" style="80" customWidth="1"/>
    <col min="15" max="15" width="33" style="80" bestFit="1" customWidth="1"/>
    <col min="16" max="17" width="17.28515625" style="80" customWidth="1"/>
    <col min="18" max="18" width="33.5703125" style="80" bestFit="1" customWidth="1"/>
    <col min="19" max="19" width="4.85546875" style="80" customWidth="1"/>
    <col min="20" max="16384" width="9.140625" style="80"/>
  </cols>
  <sheetData>
    <row r="2" spans="2:19" x14ac:dyDescent="0.25">
      <c r="B2" s="435" t="s">
        <v>88</v>
      </c>
      <c r="C2" s="436">
        <f>'Summary | 01 '!D2</f>
        <v>45016</v>
      </c>
      <c r="D2" s="436"/>
      <c r="E2" s="437"/>
      <c r="F2" s="437"/>
      <c r="G2" s="437"/>
      <c r="H2" s="438"/>
    </row>
    <row r="3" spans="2:19" x14ac:dyDescent="0.25">
      <c r="B3" s="584"/>
      <c r="C3" s="584"/>
      <c r="D3" s="584"/>
      <c r="E3" s="584"/>
      <c r="F3" s="584"/>
      <c r="G3" s="584"/>
      <c r="H3" s="584"/>
      <c r="J3" s="83"/>
      <c r="K3" s="83"/>
      <c r="L3" s="83"/>
    </row>
    <row r="4" spans="2:19" ht="15.75" thickBot="1" x14ac:dyDescent="0.3">
      <c r="B4" s="57"/>
      <c r="C4" s="57"/>
      <c r="D4" s="57"/>
      <c r="E4" s="1"/>
      <c r="F4" s="1"/>
      <c r="G4" s="1"/>
      <c r="H4" s="439"/>
      <c r="J4" s="83"/>
      <c r="K4" s="83"/>
      <c r="L4" s="83"/>
    </row>
    <row r="5" spans="2:19" x14ac:dyDescent="0.25">
      <c r="B5" s="440" t="s">
        <v>130</v>
      </c>
      <c r="C5" s="440" t="s">
        <v>40</v>
      </c>
      <c r="D5" s="440" t="s">
        <v>45</v>
      </c>
      <c r="E5" s="440" t="s">
        <v>36</v>
      </c>
      <c r="F5" s="440" t="s">
        <v>131</v>
      </c>
      <c r="G5" s="440"/>
      <c r="H5" s="441" t="s">
        <v>28</v>
      </c>
      <c r="J5" s="615"/>
      <c r="K5" s="616"/>
      <c r="L5" s="617"/>
    </row>
    <row r="6" spans="2:19" x14ac:dyDescent="0.25">
      <c r="B6" s="230"/>
      <c r="C6" s="230"/>
      <c r="D6" s="440"/>
      <c r="E6" s="442" t="s">
        <v>127</v>
      </c>
      <c r="F6" s="442" t="s">
        <v>129</v>
      </c>
      <c r="G6" s="442" t="s">
        <v>12</v>
      </c>
      <c r="H6" s="441"/>
      <c r="J6" s="612" t="s">
        <v>527</v>
      </c>
      <c r="K6" s="613">
        <f>C2</f>
        <v>45016</v>
      </c>
      <c r="L6" s="614"/>
    </row>
    <row r="7" spans="2:19" x14ac:dyDescent="0.25">
      <c r="B7" s="230"/>
      <c r="C7" s="230"/>
      <c r="D7" s="440"/>
      <c r="E7" s="480" t="str">
        <f>"NAV | "&amp; TEXT(C2,"dd")&amp;" "&amp;TEXT(C2,"mmm")&amp;" "&amp;TEXT(C2,"yyyy")</f>
        <v>NAV | 31 Mar 2023</v>
      </c>
      <c r="F7" s="480"/>
      <c r="G7" s="480" t="str">
        <f>"PPS |" &amp; TEXT(C2,"dd")&amp;" "&amp;TEXT(C2,"mmm")&amp;" "&amp;TEXT(C2,"yyyy")</f>
        <v>PPS |31 Mar 2023</v>
      </c>
      <c r="H7" s="441"/>
      <c r="J7" s="165"/>
      <c r="K7" s="317"/>
      <c r="L7" s="535" t="s">
        <v>490</v>
      </c>
    </row>
    <row r="8" spans="2:19" x14ac:dyDescent="0.25">
      <c r="B8" s="70" t="s">
        <v>37</v>
      </c>
      <c r="C8" s="443"/>
      <c r="D8" s="443"/>
      <c r="E8" s="444"/>
      <c r="F8" s="445"/>
      <c r="G8" s="397"/>
      <c r="H8" s="446"/>
      <c r="J8" s="536" t="s">
        <v>485</v>
      </c>
      <c r="K8" s="537">
        <v>2.2250000000000001</v>
      </c>
      <c r="L8" s="534" t="s">
        <v>491</v>
      </c>
    </row>
    <row r="9" spans="2:19" x14ac:dyDescent="0.25">
      <c r="B9" s="58" t="str">
        <f>'Summary | 01 '!C10</f>
        <v>Jollychic Holding Limited</v>
      </c>
      <c r="C9" s="81" t="str">
        <f>'Summary | 01 '!F10</f>
        <v>Mozn</v>
      </c>
      <c r="D9" s="81" t="str">
        <f>'Summary | 01 '!H10</f>
        <v>C+ Prefs</v>
      </c>
      <c r="E9" s="397">
        <f>F9*G9*10^-6</f>
        <v>0</v>
      </c>
      <c r="F9" s="434">
        <f>SUM('CF (Equity, Debt)'!J4:J6)</f>
        <v>13458655</v>
      </c>
      <c r="G9" s="397"/>
      <c r="H9" s="447" t="s">
        <v>126</v>
      </c>
      <c r="J9" s="165" t="s">
        <v>487</v>
      </c>
      <c r="K9" s="537">
        <v>0.80779999999999996</v>
      </c>
      <c r="L9" s="534" t="s">
        <v>491</v>
      </c>
    </row>
    <row r="10" spans="2:19" x14ac:dyDescent="0.25">
      <c r="B10" s="58" t="str">
        <f>'Summary | 01 '!C11</f>
        <v>Mena Mobile Inc</v>
      </c>
      <c r="C10" s="61" t="str">
        <f>'Summary | 01 '!F11</f>
        <v>Mozn</v>
      </c>
      <c r="D10" s="81" t="str">
        <f>'Summary | 01 '!H11</f>
        <v>B Prefs</v>
      </c>
      <c r="E10" s="397">
        <v>3.1</v>
      </c>
      <c r="F10" s="434">
        <f>'CF (Equity, Debt)'!J7</f>
        <v>21419829</v>
      </c>
      <c r="G10" s="397"/>
      <c r="H10" s="447" t="s">
        <v>132</v>
      </c>
      <c r="J10" s="536" t="s">
        <v>486</v>
      </c>
      <c r="K10" s="537">
        <v>1.2407999999999999</v>
      </c>
      <c r="L10" s="534" t="s">
        <v>489</v>
      </c>
    </row>
    <row r="11" spans="2:19" x14ac:dyDescent="0.25">
      <c r="B11" s="58" t="str">
        <f>'Summary | 01 '!C12</f>
        <v>Flyr Inc</v>
      </c>
      <c r="C11" s="61" t="str">
        <f>'Summary | 01 '!F12</f>
        <v>Mozn</v>
      </c>
      <c r="D11" s="81" t="str">
        <f>'Summary | 01 '!H12</f>
        <v>B-1,2 Prefs</v>
      </c>
      <c r="E11" s="397">
        <f>F11*G11*10^-6*(1-20%)</f>
        <v>78.082229999999996</v>
      </c>
      <c r="F11" s="82">
        <v>5205482</v>
      </c>
      <c r="G11" s="397">
        <v>18.75</v>
      </c>
      <c r="H11" s="447" t="s">
        <v>362</v>
      </c>
      <c r="J11" s="165" t="s">
        <v>488</v>
      </c>
      <c r="K11" s="537">
        <v>6.875</v>
      </c>
      <c r="L11" s="534" t="s">
        <v>489</v>
      </c>
    </row>
    <row r="12" spans="2:19" ht="15.75" thickBot="1" x14ac:dyDescent="0.3">
      <c r="B12" s="58" t="str">
        <f>'Summary | 01 '!C13</f>
        <v xml:space="preserve">Esyasoft Holding </v>
      </c>
      <c r="C12" s="61" t="str">
        <f>'Summary | 01 '!F13</f>
        <v>Mozn</v>
      </c>
      <c r="D12" s="81" t="str">
        <f>'Summary | 01 '!H13</f>
        <v>Convertible Note</v>
      </c>
      <c r="E12" s="397">
        <v>0</v>
      </c>
      <c r="F12" s="434" t="s">
        <v>180</v>
      </c>
      <c r="G12" s="397"/>
      <c r="H12" s="447" t="s">
        <v>484</v>
      </c>
      <c r="J12" s="170" t="s">
        <v>554</v>
      </c>
      <c r="K12" s="538">
        <v>1.0870500000000001</v>
      </c>
      <c r="L12" s="539" t="s">
        <v>489</v>
      </c>
    </row>
    <row r="13" spans="2:19" x14ac:dyDescent="0.25">
      <c r="B13" s="58" t="str">
        <f>'Summary | 01 '!C14</f>
        <v>Beyond Limits</v>
      </c>
      <c r="C13" s="61" t="str">
        <f>'Summary | 01 '!F14</f>
        <v>Mozn</v>
      </c>
      <c r="D13" s="81" t="str">
        <f>'Summary | 01 '!H14</f>
        <v>C Prefs</v>
      </c>
      <c r="E13" s="397">
        <f>F13*G13*10^-6</f>
        <v>91.001540300000002</v>
      </c>
      <c r="F13" s="434">
        <f>SUM('CF (Equity, Debt)'!J11:J14)</f>
        <v>17670202</v>
      </c>
      <c r="G13" s="397">
        <v>5.15</v>
      </c>
      <c r="H13" s="447" t="s">
        <v>363</v>
      </c>
    </row>
    <row r="14" spans="2:19" x14ac:dyDescent="0.25">
      <c r="B14" s="533" t="str">
        <f>'Summary | 01 '!C15</f>
        <v>ONT plc</v>
      </c>
      <c r="C14" s="61" t="str">
        <f>'Summary | 01 '!F15</f>
        <v>Mozn</v>
      </c>
      <c r="D14" s="81" t="str">
        <f>'Summary | 01 '!H15</f>
        <v>Ordinary Shares</v>
      </c>
      <c r="E14" s="585">
        <f>F14*G14*10^-6</f>
        <v>122.38018713359999</v>
      </c>
      <c r="F14" s="434">
        <v>44328120</v>
      </c>
      <c r="G14" s="448">
        <f>K8*K10</f>
        <v>2.76078</v>
      </c>
      <c r="H14" s="447" t="s">
        <v>364</v>
      </c>
    </row>
    <row r="15" spans="2:19" ht="15.75" thickBot="1" x14ac:dyDescent="0.3">
      <c r="B15" s="533" t="str">
        <f>'Summary | 01 '!C16</f>
        <v>Heygears</v>
      </c>
      <c r="C15" s="61" t="str">
        <f>'Summary | 01 '!F16</f>
        <v>Mozn</v>
      </c>
      <c r="D15" s="81" t="str">
        <f>'Summary | 01 '!H16</f>
        <v>Registered Capital</v>
      </c>
      <c r="E15" s="585">
        <f>K25/1000000</f>
        <v>119.24980363636364</v>
      </c>
      <c r="F15" s="434">
        <f>'CF (Equity, Debt)'!J20</f>
        <v>4753356.29</v>
      </c>
      <c r="G15" s="397"/>
      <c r="H15" s="447" t="s">
        <v>531</v>
      </c>
    </row>
    <row r="16" spans="2:19" x14ac:dyDescent="0.25">
      <c r="B16" s="58" t="str">
        <f>'Summary | 01 '!C17</f>
        <v>Jysan Technologies</v>
      </c>
      <c r="C16" s="61" t="str">
        <f>'Summary | 01 '!F17</f>
        <v>Mozn 1</v>
      </c>
      <c r="D16" s="81" t="str">
        <f>'Summary | 01 '!H17</f>
        <v>A (Ordinary Shares)</v>
      </c>
      <c r="E16" s="397">
        <f>-'CF (Equity, Debt)'!E21</f>
        <v>20</v>
      </c>
      <c r="F16" s="434">
        <f>'CF (Equity, Debt)'!J21</f>
        <v>7959497</v>
      </c>
      <c r="G16" s="397">
        <f>E16*10^6/F16</f>
        <v>2.5127215953470428</v>
      </c>
      <c r="H16" s="447" t="s">
        <v>528</v>
      </c>
      <c r="J16" s="620" t="s">
        <v>438</v>
      </c>
      <c r="K16" s="621"/>
      <c r="L16" s="644"/>
      <c r="N16" s="620"/>
      <c r="O16" s="621" t="s">
        <v>31</v>
      </c>
      <c r="P16" s="645"/>
      <c r="Q16" s="621"/>
      <c r="R16" s="621"/>
      <c r="S16" s="634"/>
    </row>
    <row r="17" spans="2:19" x14ac:dyDescent="0.25">
      <c r="B17" s="58" t="str">
        <f>'Summary | 01 '!C18</f>
        <v>Cerebras Systems Inc</v>
      </c>
      <c r="C17" s="61" t="str">
        <f>'Summary | 01 '!F18</f>
        <v>Mozn</v>
      </c>
      <c r="D17" s="81" t="str">
        <f>'Summary | 01 '!H18</f>
        <v>F Prefs</v>
      </c>
      <c r="E17" s="397">
        <f>-'CF (Equity, Debt)'!E22</f>
        <v>39.999983359999995</v>
      </c>
      <c r="F17" s="434">
        <f>'CF (Equity, Debt)'!J22</f>
        <v>1441711</v>
      </c>
      <c r="G17" s="397"/>
      <c r="H17" s="447" t="s">
        <v>528</v>
      </c>
      <c r="J17" s="165"/>
      <c r="K17" s="177"/>
      <c r="L17" s="646"/>
      <c r="N17" s="165"/>
      <c r="O17" s="177"/>
      <c r="P17" s="177"/>
      <c r="Q17" s="177"/>
      <c r="R17" s="177"/>
      <c r="S17" s="166"/>
    </row>
    <row r="18" spans="2:19" x14ac:dyDescent="0.25">
      <c r="B18" s="58" t="str">
        <f>'Summary | 01 '!C19</f>
        <v>Endless Studios LLC</v>
      </c>
      <c r="C18" s="61" t="str">
        <f>'Summary | 01 '!F19</f>
        <v>Mozn</v>
      </c>
      <c r="D18" s="81" t="str">
        <f>'Summary | 01 '!H19</f>
        <v>A Pref Units</v>
      </c>
      <c r="E18" s="397">
        <f>-'CF (Equity, Debt)'!E23</f>
        <v>3</v>
      </c>
      <c r="F18" s="434">
        <f>'CF (Equity, Debt)'!J23</f>
        <v>3000000</v>
      </c>
      <c r="G18" s="397"/>
      <c r="H18" s="447" t="s">
        <v>128</v>
      </c>
      <c r="J18" s="647" t="s">
        <v>428</v>
      </c>
      <c r="K18" s="648">
        <v>7500000000</v>
      </c>
      <c r="L18" s="649"/>
      <c r="N18" s="165"/>
      <c r="O18" s="635" t="s">
        <v>189</v>
      </c>
      <c r="P18" s="635" t="s">
        <v>543</v>
      </c>
      <c r="Q18" s="635" t="s">
        <v>544</v>
      </c>
      <c r="R18" s="639"/>
      <c r="S18" s="166"/>
    </row>
    <row r="19" spans="2:19" x14ac:dyDescent="0.25">
      <c r="B19" s="58" t="str">
        <f>'Summary | 01 '!C20</f>
        <v>Instadeep Limited</v>
      </c>
      <c r="C19" s="61" t="str">
        <f>'Summary | 01 '!F20</f>
        <v>Mozn</v>
      </c>
      <c r="D19" s="81" t="str">
        <f>'Summary | 01 '!H20</f>
        <v xml:space="preserve">B Prefs </v>
      </c>
      <c r="E19" s="397">
        <f>-'CF (Equity, Debt)'!E24</f>
        <v>5.0237201984774336</v>
      </c>
      <c r="F19" s="434">
        <f>'CF (Equity, Debt)'!J24</f>
        <v>33267</v>
      </c>
      <c r="G19" s="397"/>
      <c r="H19" s="447" t="s">
        <v>128</v>
      </c>
      <c r="J19" s="647" t="s">
        <v>429</v>
      </c>
      <c r="K19" s="650">
        <v>0.14383199999999999</v>
      </c>
      <c r="L19" s="649"/>
      <c r="N19" s="165"/>
      <c r="O19" s="651" t="s">
        <v>545</v>
      </c>
      <c r="P19" s="636">
        <v>23234462</v>
      </c>
      <c r="Q19" s="636">
        <v>23234462</v>
      </c>
      <c r="R19" s="639" t="s">
        <v>559</v>
      </c>
      <c r="S19" s="166"/>
    </row>
    <row r="20" spans="2:19" x14ac:dyDescent="0.25">
      <c r="B20" s="533" t="str">
        <f>'Summary | 01 '!C21</f>
        <v>X-fusion</v>
      </c>
      <c r="C20" s="61" t="str">
        <f>'Summary | 01 '!F21</f>
        <v>Mozn 2</v>
      </c>
      <c r="D20" s="81" t="str">
        <f>'Summary | 01 '!H21</f>
        <v>Equity-TBC</v>
      </c>
      <c r="E20" s="585">
        <f>5810000000/K11/1000000*(1-49.82%)</f>
        <v>424.06661818181823</v>
      </c>
      <c r="F20" s="434"/>
      <c r="G20" s="397"/>
      <c r="H20" s="447" t="s">
        <v>529</v>
      </c>
      <c r="J20" s="647" t="s">
        <v>430</v>
      </c>
      <c r="K20" s="652">
        <v>1078740000</v>
      </c>
      <c r="L20" s="649"/>
      <c r="N20" s="165"/>
      <c r="O20" s="651" t="s">
        <v>546</v>
      </c>
      <c r="P20" s="636">
        <v>19178323</v>
      </c>
      <c r="Q20" s="636">
        <v>9436936</v>
      </c>
      <c r="R20" s="639"/>
      <c r="S20" s="166"/>
    </row>
    <row r="21" spans="2:19" x14ac:dyDescent="0.25">
      <c r="B21" s="58" t="str">
        <f>'Summary | 01 '!C22</f>
        <v>DriveNets</v>
      </c>
      <c r="C21" s="61" t="str">
        <f>'Summary | 01 '!F22</f>
        <v>G42</v>
      </c>
      <c r="D21" s="81" t="str">
        <f>'Summary | 01 '!H22</f>
        <v>Equity-TBC</v>
      </c>
      <c r="E21" s="397">
        <f>-SUM('CF (Equity, Debt)'!E26:E27)</f>
        <v>300</v>
      </c>
      <c r="F21" s="434"/>
      <c r="G21" s="397"/>
      <c r="H21" s="447" t="s">
        <v>128</v>
      </c>
      <c r="J21" s="647" t="s">
        <v>431</v>
      </c>
      <c r="K21" s="653">
        <v>0.2</v>
      </c>
      <c r="L21" s="649"/>
      <c r="N21" s="165"/>
      <c r="O21" s="651" t="s">
        <v>547</v>
      </c>
      <c r="P21" s="637">
        <f>P19-P20</f>
        <v>4056139</v>
      </c>
      <c r="Q21" s="637">
        <f>Q19-Q20</f>
        <v>13797526</v>
      </c>
      <c r="R21" s="639"/>
      <c r="S21" s="166"/>
    </row>
    <row r="22" spans="2:19" x14ac:dyDescent="0.25">
      <c r="B22" s="533" t="str">
        <f>'Summary | 01 '!C23</f>
        <v>vTv Therapeutics Inc.</v>
      </c>
      <c r="C22" s="61" t="str">
        <f>'Summary | 01 '!F23</f>
        <v>G42</v>
      </c>
      <c r="D22" s="81" t="str">
        <f>'Summary | 01 '!H23</f>
        <v>Ordinary Shares</v>
      </c>
      <c r="E22" s="585">
        <f>(F22*G22)*10^-6</f>
        <v>8.3900321371999986</v>
      </c>
      <c r="F22" s="434">
        <f>'CF (Equity, Debt)'!J29</f>
        <v>10386274</v>
      </c>
      <c r="G22" s="448">
        <f>K9</f>
        <v>0.80779999999999996</v>
      </c>
      <c r="H22" s="447" t="s">
        <v>364</v>
      </c>
      <c r="J22" s="647" t="s">
        <v>432</v>
      </c>
      <c r="K22" s="653">
        <v>0.05</v>
      </c>
      <c r="L22" s="649"/>
      <c r="N22" s="165"/>
      <c r="O22" s="651" t="s">
        <v>548</v>
      </c>
      <c r="P22" s="637">
        <v>13103567</v>
      </c>
      <c r="Q22" s="637">
        <v>3803379</v>
      </c>
      <c r="R22" s="639"/>
      <c r="S22" s="166"/>
    </row>
    <row r="23" spans="2:19" x14ac:dyDescent="0.25">
      <c r="B23" s="59" t="str">
        <f>'Summary | 01 '!C24</f>
        <v>Honor Device Co Ltd</v>
      </c>
      <c r="C23" s="61" t="str">
        <f>'Summary | 01 '!F24</f>
        <v>G42 3</v>
      </c>
      <c r="D23" s="81" t="str">
        <f>'Summary | 01 '!H24</f>
        <v>Equity-TBC</v>
      </c>
      <c r="E23" s="585">
        <f>310000000000/K11/1000000*4.705882%*0.8/2</f>
        <v>848.76998981818178</v>
      </c>
      <c r="F23" s="434" t="s">
        <v>180</v>
      </c>
      <c r="G23" s="434"/>
      <c r="H23" s="447" t="s">
        <v>530</v>
      </c>
      <c r="J23" s="647" t="s">
        <v>433</v>
      </c>
      <c r="K23" s="652">
        <f>K20*(1-K21)*(1-K22)</f>
        <v>819842400</v>
      </c>
      <c r="L23" s="654"/>
      <c r="N23" s="165"/>
      <c r="O23" s="641" t="s">
        <v>426</v>
      </c>
      <c r="P23" s="642">
        <v>32325017</v>
      </c>
      <c r="Q23" s="642">
        <v>13150169</v>
      </c>
      <c r="R23" s="639" t="s">
        <v>559</v>
      </c>
      <c r="S23" s="166"/>
    </row>
    <row r="24" spans="2:19" x14ac:dyDescent="0.25">
      <c r="B24" s="59" t="str">
        <f>'Summary | 01 '!C25</f>
        <v>Applied AI Corporation Limited</v>
      </c>
      <c r="C24" s="61" t="str">
        <f>'Summary | 01 '!F25</f>
        <v>Mozn</v>
      </c>
      <c r="D24" s="81" t="str">
        <f>'Summary | 01 '!H25</f>
        <v>Convertible Note</v>
      </c>
      <c r="E24" s="397">
        <v>4.75</v>
      </c>
      <c r="F24" s="434" t="s">
        <v>180</v>
      </c>
      <c r="G24" s="434"/>
      <c r="H24" s="447" t="s">
        <v>128</v>
      </c>
      <c r="J24" s="647" t="s">
        <v>526</v>
      </c>
      <c r="K24" s="655">
        <f>K11</f>
        <v>6.875</v>
      </c>
      <c r="L24" s="654"/>
      <c r="N24" s="165"/>
      <c r="O24" s="651" t="s">
        <v>549</v>
      </c>
      <c r="P24" s="656"/>
      <c r="Q24" s="637">
        <f>P20-Q20</f>
        <v>9741387</v>
      </c>
      <c r="R24" s="639" t="s">
        <v>552</v>
      </c>
      <c r="S24" s="166"/>
    </row>
    <row r="25" spans="2:19" x14ac:dyDescent="0.25">
      <c r="B25" s="59" t="s">
        <v>458</v>
      </c>
      <c r="C25" s="61" t="str">
        <f>'Summary | 01 '!F26</f>
        <v>Mozn 4</v>
      </c>
      <c r="D25" s="81" t="str">
        <f>'Summary | 01 '!H26</f>
        <v>SAFE note</v>
      </c>
      <c r="E25" s="397">
        <v>15</v>
      </c>
      <c r="F25" s="434" t="s">
        <v>180</v>
      </c>
      <c r="G25" s="434"/>
      <c r="H25" s="447" t="s">
        <v>128</v>
      </c>
      <c r="J25" s="647" t="s">
        <v>434</v>
      </c>
      <c r="K25" s="657">
        <f>K23/K24</f>
        <v>119249803.63636364</v>
      </c>
      <c r="L25" s="649"/>
      <c r="N25" s="165"/>
      <c r="O25" s="651" t="s">
        <v>550</v>
      </c>
      <c r="P25" s="656"/>
      <c r="Q25" s="637">
        <f>Q26-Q24</f>
        <v>2728214.0199999996</v>
      </c>
      <c r="R25" s="639" t="s">
        <v>552</v>
      </c>
      <c r="S25" s="166"/>
    </row>
    <row r="26" spans="2:19" x14ac:dyDescent="0.25">
      <c r="B26" s="63"/>
      <c r="C26" s="63"/>
      <c r="D26" s="63"/>
      <c r="E26" s="63"/>
      <c r="F26" s="63"/>
      <c r="G26" s="63"/>
      <c r="H26" s="449"/>
      <c r="J26" s="647" t="s">
        <v>435</v>
      </c>
      <c r="K26" s="652">
        <v>60000000</v>
      </c>
      <c r="L26" s="649"/>
      <c r="N26" s="165"/>
      <c r="O26" s="632" t="s">
        <v>551</v>
      </c>
      <c r="P26" s="642"/>
      <c r="Q26" s="633">
        <v>12469601.02</v>
      </c>
      <c r="R26" s="639" t="s">
        <v>553</v>
      </c>
      <c r="S26" s="166"/>
    </row>
    <row r="27" spans="2:19" ht="15.75" thickBot="1" x14ac:dyDescent="0.3">
      <c r="B27" s="397"/>
      <c r="C27" s="397"/>
      <c r="D27" s="397"/>
      <c r="E27" s="397"/>
      <c r="F27" s="397"/>
      <c r="G27" s="397"/>
      <c r="H27" s="450"/>
      <c r="J27" s="658" t="s">
        <v>436</v>
      </c>
      <c r="K27" s="662">
        <v>1.90391818080482</v>
      </c>
      <c r="L27" s="174"/>
      <c r="N27" s="165"/>
      <c r="O27" s="641" t="s">
        <v>60</v>
      </c>
      <c r="P27" s="642"/>
      <c r="Q27" s="642">
        <f>15675627.21</f>
        <v>15675627.210000001</v>
      </c>
      <c r="R27" s="639" t="s">
        <v>559</v>
      </c>
      <c r="S27" s="166"/>
    </row>
    <row r="28" spans="2:19" x14ac:dyDescent="0.25">
      <c r="B28" s="440"/>
      <c r="C28" s="440"/>
      <c r="D28" s="440"/>
      <c r="E28" s="440"/>
      <c r="F28" s="440"/>
      <c r="G28" s="440"/>
      <c r="H28" s="441"/>
      <c r="J28" s="451"/>
      <c r="N28" s="165"/>
      <c r="R28" s="640"/>
      <c r="S28" s="166"/>
    </row>
    <row r="29" spans="2:19" x14ac:dyDescent="0.25">
      <c r="B29" s="70" t="s">
        <v>38</v>
      </c>
      <c r="C29" s="443"/>
      <c r="D29" s="444"/>
      <c r="E29" s="444"/>
      <c r="F29" s="444"/>
      <c r="G29" s="444"/>
      <c r="H29" s="446"/>
      <c r="J29" s="451"/>
      <c r="K29" s="81"/>
      <c r="N29" s="165"/>
      <c r="O29" s="651"/>
      <c r="P29" s="659"/>
      <c r="R29" s="177"/>
      <c r="S29" s="166"/>
    </row>
    <row r="30" spans="2:19" x14ac:dyDescent="0.25">
      <c r="B30" s="58" t="s">
        <v>58</v>
      </c>
      <c r="C30" s="61" t="s">
        <v>9</v>
      </c>
      <c r="D30" s="397" t="s">
        <v>182</v>
      </c>
      <c r="E30" s="397">
        <f>'Summary | 01 '!N30</f>
        <v>0</v>
      </c>
      <c r="F30" s="397"/>
      <c r="G30" s="397"/>
      <c r="H30" s="447" t="s">
        <v>186</v>
      </c>
      <c r="J30" s="451"/>
      <c r="K30" s="81"/>
      <c r="N30" s="165"/>
      <c r="O30" s="643" t="s">
        <v>556</v>
      </c>
      <c r="S30" s="166"/>
    </row>
    <row r="31" spans="2:19" x14ac:dyDescent="0.25">
      <c r="B31" s="58" t="s">
        <v>422</v>
      </c>
      <c r="C31" s="61" t="s">
        <v>9</v>
      </c>
      <c r="D31" s="397" t="s">
        <v>183</v>
      </c>
      <c r="E31" s="397">
        <f>'Summary | 01 '!N31</f>
        <v>2.3539819999999998</v>
      </c>
      <c r="F31" s="397"/>
      <c r="G31" s="397"/>
      <c r="H31" s="447" t="s">
        <v>128</v>
      </c>
      <c r="J31" s="451"/>
      <c r="N31" s="165"/>
      <c r="O31" s="80" t="s">
        <v>555</v>
      </c>
      <c r="P31" s="663">
        <f>P32+P33</f>
        <v>28.098225210160503</v>
      </c>
      <c r="S31" s="166"/>
    </row>
    <row r="32" spans="2:19" x14ac:dyDescent="0.25">
      <c r="B32" s="59" t="s">
        <v>411</v>
      </c>
      <c r="C32" s="61" t="s">
        <v>9</v>
      </c>
      <c r="D32" s="397" t="s">
        <v>183</v>
      </c>
      <c r="E32" s="397">
        <v>0</v>
      </c>
      <c r="F32" s="397"/>
      <c r="G32" s="397"/>
      <c r="H32" s="447" t="s">
        <v>508</v>
      </c>
      <c r="J32" s="451"/>
      <c r="N32" s="165"/>
      <c r="O32" s="80" t="s">
        <v>557</v>
      </c>
      <c r="P32" s="663">
        <f>-SUM('CF (Funds)'!D31:D35)-Q24*1.08341*10^-6</f>
        <v>11.058034651530001</v>
      </c>
      <c r="Q32" s="586">
        <f>Q20*10^-6*K12</f>
        <v>10.2584212788</v>
      </c>
      <c r="S32" s="166"/>
    </row>
    <row r="33" spans="2:19" x14ac:dyDescent="0.25">
      <c r="B33" s="63"/>
      <c r="C33" s="63"/>
      <c r="D33" s="63"/>
      <c r="E33" s="63"/>
      <c r="F33" s="63"/>
      <c r="G33" s="63"/>
      <c r="H33" s="449"/>
      <c r="J33" s="451"/>
      <c r="M33" s="586"/>
      <c r="N33" s="165"/>
      <c r="O33" s="80" t="s">
        <v>558</v>
      </c>
      <c r="P33" s="663">
        <f>Q27*10^-6*K12</f>
        <v>17.040190558630503</v>
      </c>
      <c r="S33" s="166"/>
    </row>
    <row r="34" spans="2:19" x14ac:dyDescent="0.25">
      <c r="B34" s="397"/>
      <c r="C34" s="397"/>
      <c r="D34" s="397"/>
      <c r="E34" s="397"/>
      <c r="F34" s="397"/>
      <c r="G34" s="397"/>
      <c r="H34" s="450"/>
      <c r="J34" s="451"/>
      <c r="M34" s="586"/>
      <c r="N34" s="165"/>
      <c r="O34" s="80" t="s">
        <v>426</v>
      </c>
      <c r="P34" s="663">
        <f>Q23*10^-6*K12</f>
        <v>14.29489121145</v>
      </c>
      <c r="S34" s="166"/>
    </row>
    <row r="35" spans="2:19" x14ac:dyDescent="0.25">
      <c r="B35" s="440"/>
      <c r="C35" s="440"/>
      <c r="D35" s="440"/>
      <c r="E35" s="440"/>
      <c r="F35" s="440"/>
      <c r="G35" s="440"/>
      <c r="H35" s="441"/>
      <c r="J35" s="618" t="s">
        <v>496</v>
      </c>
      <c r="K35" s="441"/>
      <c r="M35" s="586"/>
      <c r="N35" s="165"/>
      <c r="P35" s="664"/>
      <c r="S35" s="166"/>
    </row>
    <row r="36" spans="2:19" x14ac:dyDescent="0.25">
      <c r="B36" s="70" t="s">
        <v>39</v>
      </c>
      <c r="C36" s="443"/>
      <c r="D36" s="444"/>
      <c r="E36" s="444"/>
      <c r="F36" s="444"/>
      <c r="G36" s="444"/>
      <c r="H36" s="446"/>
      <c r="J36" s="451"/>
      <c r="N36" s="165"/>
      <c r="S36" s="166"/>
    </row>
    <row r="37" spans="2:19" x14ac:dyDescent="0.25">
      <c r="B37" s="58" t="s">
        <v>174</v>
      </c>
      <c r="C37" s="61" t="s">
        <v>13</v>
      </c>
      <c r="D37" s="81" t="s">
        <v>69</v>
      </c>
      <c r="E37" s="397">
        <f>Q23*10^-6*K12</f>
        <v>14.29489121145</v>
      </c>
      <c r="F37" s="434"/>
      <c r="G37" s="397"/>
      <c r="H37" s="447" t="s">
        <v>492</v>
      </c>
      <c r="J37" s="451" t="s">
        <v>220</v>
      </c>
      <c r="K37" s="548">
        <f>SUM(E9:E25)</f>
        <v>2082.8141047656409</v>
      </c>
      <c r="N37" s="165"/>
      <c r="S37" s="166"/>
    </row>
    <row r="38" spans="2:19" ht="15.75" thickBot="1" x14ac:dyDescent="0.3">
      <c r="B38" s="58" t="s">
        <v>156</v>
      </c>
      <c r="C38" s="61" t="s">
        <v>13</v>
      </c>
      <c r="D38" s="81" t="s">
        <v>99</v>
      </c>
      <c r="E38" s="397">
        <v>2.7058823529411762</v>
      </c>
      <c r="F38" s="434"/>
      <c r="G38" s="397"/>
      <c r="H38" s="447" t="s">
        <v>494</v>
      </c>
      <c r="J38" s="451" t="s">
        <v>53</v>
      </c>
      <c r="K38" s="548">
        <f>SUM(E30:E32)</f>
        <v>2.3539819999999998</v>
      </c>
      <c r="N38" s="170"/>
      <c r="O38" s="660"/>
      <c r="P38" s="661"/>
      <c r="Q38" s="638"/>
      <c r="R38" s="323"/>
      <c r="S38" s="174"/>
    </row>
    <row r="39" spans="2:19" x14ac:dyDescent="0.25">
      <c r="B39" s="58" t="s">
        <v>1</v>
      </c>
      <c r="C39" s="61" t="s">
        <v>13</v>
      </c>
      <c r="D39" s="81" t="s">
        <v>69</v>
      </c>
      <c r="E39" s="397">
        <v>70.03</v>
      </c>
      <c r="F39" s="82"/>
      <c r="G39" s="397"/>
      <c r="H39" s="447" t="s">
        <v>492</v>
      </c>
      <c r="J39" s="451" t="s">
        <v>452</v>
      </c>
      <c r="K39" s="548">
        <f>SUM(E37:E41)</f>
        <v>122.28936456439118</v>
      </c>
    </row>
    <row r="40" spans="2:19" x14ac:dyDescent="0.25">
      <c r="B40" s="58" t="s">
        <v>15</v>
      </c>
      <c r="C40" s="61" t="s">
        <v>13</v>
      </c>
      <c r="D40" s="81" t="s">
        <v>69</v>
      </c>
      <c r="E40" s="397">
        <f>18.884222-'CF (Funds)'!D16</f>
        <v>21.515750000000001</v>
      </c>
      <c r="F40" s="434"/>
      <c r="G40" s="397"/>
      <c r="H40" s="447" t="s">
        <v>492</v>
      </c>
      <c r="J40" s="619" t="s">
        <v>76</v>
      </c>
      <c r="K40" s="549">
        <f>SUM(K37:K39)</f>
        <v>2207.4574513300322</v>
      </c>
    </row>
    <row r="41" spans="2:19" x14ac:dyDescent="0.25">
      <c r="B41" s="58" t="s">
        <v>237</v>
      </c>
      <c r="C41" s="61" t="s">
        <v>13</v>
      </c>
      <c r="D41" s="81" t="s">
        <v>69</v>
      </c>
      <c r="E41" s="397">
        <f>10.354566-'CF (Funds)'!D43</f>
        <v>13.742841</v>
      </c>
      <c r="F41" s="434"/>
      <c r="G41" s="397"/>
      <c r="H41" s="447" t="s">
        <v>492</v>
      </c>
      <c r="J41" s="451"/>
      <c r="K41" s="551" t="b">
        <f>K40='Summary | 01 '!N43</f>
        <v>1</v>
      </c>
    </row>
    <row r="42" spans="2:19" x14ac:dyDescent="0.25">
      <c r="B42" s="63"/>
      <c r="C42" s="63"/>
      <c r="D42" s="63"/>
      <c r="E42" s="63"/>
      <c r="F42" s="63"/>
      <c r="G42" s="63"/>
      <c r="H42" s="449"/>
      <c r="K42" s="551" t="b">
        <f>K40='4.All'!M9</f>
        <v>1</v>
      </c>
    </row>
    <row r="43" spans="2:19" x14ac:dyDescent="0.25">
      <c r="K43" s="550"/>
    </row>
    <row r="44" spans="2:19" x14ac:dyDescent="0.25">
      <c r="B44" s="92" t="s">
        <v>135</v>
      </c>
      <c r="C44" s="92"/>
    </row>
    <row r="45" spans="2:19" x14ac:dyDescent="0.25">
      <c r="B45" s="452" t="s">
        <v>507</v>
      </c>
      <c r="C45" s="452"/>
    </row>
  </sheetData>
  <hyperlinks>
    <hyperlink ref="L8" r:id="rId1" xr:uid="{CC6E9707-04B1-41FD-8B83-19BDFBE26526}"/>
    <hyperlink ref="L9" r:id="rId2" xr:uid="{8A0F78DA-9703-4A11-A62D-7660BBB7B435}"/>
  </hyperlinks>
  <pageMargins left="0.7" right="0.7" top="0.75" bottom="0.75" header="0.3" footer="0.3"/>
  <pageSetup paperSize="9" orientation="portrait" verticalDpi="0" r:id="rId3"/>
  <ignoredErrors>
    <ignoredError sqref="F9:F11 F13"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42"/>
  <sheetViews>
    <sheetView zoomScaleNormal="100" workbookViewId="0">
      <selection activeCell="D48" sqref="D48"/>
    </sheetView>
  </sheetViews>
  <sheetFormatPr defaultRowHeight="12.75" outlineLevelCol="1" x14ac:dyDescent="0.2"/>
  <cols>
    <col min="1" max="1" width="5.5703125" style="137" customWidth="1"/>
    <col min="2" max="2" width="22.5703125" style="137" customWidth="1"/>
    <col min="3" max="3" width="26.85546875" style="137" bestFit="1" customWidth="1"/>
    <col min="4" max="4" width="21.5703125" style="147" customWidth="1"/>
    <col min="5" max="5" width="12.5703125" style="137" customWidth="1"/>
    <col min="6" max="6" width="11.85546875" style="137" customWidth="1"/>
    <col min="7" max="7" width="17" style="137" customWidth="1" outlineLevel="1"/>
    <col min="8" max="8" width="19.28515625" style="149" customWidth="1" outlineLevel="1"/>
    <col min="9" max="9" width="19.7109375" style="137" customWidth="1" outlineLevel="1"/>
    <col min="10" max="10" width="17.85546875" style="137" customWidth="1"/>
    <col min="11" max="11" width="9.5703125" style="137" bestFit="1" customWidth="1"/>
    <col min="12" max="16384" width="9.140625" style="137"/>
  </cols>
  <sheetData>
    <row r="2" spans="2:15" s="128" customFormat="1" x14ac:dyDescent="0.2">
      <c r="B2" s="192" t="s">
        <v>513</v>
      </c>
      <c r="C2" s="193"/>
      <c r="D2" s="194"/>
      <c r="E2" s="195"/>
      <c r="F2" s="195"/>
      <c r="G2" s="195"/>
      <c r="H2" s="195"/>
      <c r="I2" s="195"/>
      <c r="J2" s="195"/>
      <c r="K2" s="195"/>
    </row>
    <row r="3" spans="2:15" s="128" customFormat="1" ht="36" customHeight="1" x14ac:dyDescent="0.2">
      <c r="B3" s="125" t="s">
        <v>5</v>
      </c>
      <c r="C3" s="125" t="s">
        <v>6</v>
      </c>
      <c r="D3" s="126" t="s">
        <v>7</v>
      </c>
      <c r="E3" s="127" t="s">
        <v>137</v>
      </c>
      <c r="F3" s="127" t="s">
        <v>187</v>
      </c>
      <c r="G3" s="127" t="s">
        <v>84</v>
      </c>
      <c r="H3" s="127" t="s">
        <v>420</v>
      </c>
      <c r="I3" s="127" t="s">
        <v>421</v>
      </c>
      <c r="J3" s="127" t="s">
        <v>190</v>
      </c>
      <c r="K3" s="127" t="s">
        <v>28</v>
      </c>
    </row>
    <row r="4" spans="2:15" ht="12.75" customHeight="1" x14ac:dyDescent="0.2">
      <c r="B4" s="129" t="str">
        <f>VLOOKUP(C4,'Summary | 01 '!$C$10:$F$40,4,0)</f>
        <v>Mozn</v>
      </c>
      <c r="C4" s="130" t="s">
        <v>57</v>
      </c>
      <c r="D4" s="131">
        <v>43470</v>
      </c>
      <c r="E4" s="135">
        <f t="shared" ref="E4:E27" si="0">-I4*10^-6</f>
        <v>-30</v>
      </c>
      <c r="F4" s="133"/>
      <c r="G4" s="132" t="s">
        <v>12</v>
      </c>
      <c r="H4" s="133">
        <v>30000000</v>
      </c>
      <c r="I4" s="134">
        <f t="shared" ref="I4:I14" si="1">H4</f>
        <v>30000000</v>
      </c>
      <c r="J4" s="136">
        <v>6100312</v>
      </c>
      <c r="K4" s="132"/>
      <c r="L4" s="149"/>
      <c r="N4" s="128" t="s">
        <v>175</v>
      </c>
    </row>
    <row r="5" spans="2:15" ht="12.75" customHeight="1" x14ac:dyDescent="0.2">
      <c r="B5" s="129" t="str">
        <f>VLOOKUP(C5,'Summary | 01 '!$C$10:$F$40,4,0)</f>
        <v>Mozn</v>
      </c>
      <c r="C5" s="130" t="s">
        <v>57</v>
      </c>
      <c r="D5" s="131">
        <v>43724</v>
      </c>
      <c r="E5" s="135">
        <f t="shared" si="0"/>
        <v>-20</v>
      </c>
      <c r="F5" s="133"/>
      <c r="G5" s="132" t="s">
        <v>12</v>
      </c>
      <c r="H5" s="133">
        <v>20000000</v>
      </c>
      <c r="I5" s="134">
        <f t="shared" si="1"/>
        <v>20000000</v>
      </c>
      <c r="J5" s="136">
        <v>4204767.4285714282</v>
      </c>
      <c r="K5" s="132"/>
      <c r="L5" s="149"/>
      <c r="N5" s="137" t="s">
        <v>136</v>
      </c>
      <c r="O5" s="149">
        <v>3.6779999999999999</v>
      </c>
    </row>
    <row r="6" spans="2:15" ht="12.75" customHeight="1" x14ac:dyDescent="0.2">
      <c r="B6" s="129" t="str">
        <f>VLOOKUP(C6,'Summary | 01 '!$C$10:$F$40,4,0)</f>
        <v>Mozn</v>
      </c>
      <c r="C6" s="130" t="s">
        <v>57</v>
      </c>
      <c r="D6" s="131">
        <v>43724</v>
      </c>
      <c r="E6" s="135">
        <f t="shared" si="0"/>
        <v>-15</v>
      </c>
      <c r="F6" s="133"/>
      <c r="G6" s="132" t="s">
        <v>12</v>
      </c>
      <c r="H6" s="133">
        <v>15000000</v>
      </c>
      <c r="I6" s="134">
        <f t="shared" si="1"/>
        <v>15000000</v>
      </c>
      <c r="J6" s="136">
        <v>3153575.5714285714</v>
      </c>
      <c r="K6" s="132"/>
      <c r="L6" s="149"/>
    </row>
    <row r="7" spans="2:15" ht="12.75" customHeight="1" x14ac:dyDescent="0.2">
      <c r="B7" s="138" t="str">
        <f>VLOOKUP(C7,'Summary | 01 '!$C$10:$F$40,4,0)</f>
        <v>Mozn</v>
      </c>
      <c r="C7" s="139" t="s">
        <v>0</v>
      </c>
      <c r="D7" s="140">
        <v>43563</v>
      </c>
      <c r="E7" s="144">
        <f t="shared" si="0"/>
        <v>-8</v>
      </c>
      <c r="F7" s="142"/>
      <c r="G7" s="141" t="s">
        <v>12</v>
      </c>
      <c r="H7" s="142">
        <v>8000000</v>
      </c>
      <c r="I7" s="143">
        <f t="shared" si="1"/>
        <v>8000000</v>
      </c>
      <c r="J7" s="145">
        <v>21419829</v>
      </c>
      <c r="K7" s="141"/>
      <c r="L7" s="149"/>
    </row>
    <row r="8" spans="2:15" ht="12.75" customHeight="1" x14ac:dyDescent="0.2">
      <c r="B8" s="129" t="str">
        <f>VLOOKUP(C8,'Summary | 01 '!$C$10:$F$40,4,0)</f>
        <v>Mozn</v>
      </c>
      <c r="C8" s="130" t="s">
        <v>48</v>
      </c>
      <c r="D8" s="131">
        <v>43570</v>
      </c>
      <c r="E8" s="135">
        <f t="shared" si="0"/>
        <v>-4.9999980900000001</v>
      </c>
      <c r="F8" s="133"/>
      <c r="G8" s="132" t="s">
        <v>12</v>
      </c>
      <c r="H8" s="133">
        <v>4999998.09</v>
      </c>
      <c r="I8" s="134">
        <f t="shared" si="1"/>
        <v>4999998.09</v>
      </c>
      <c r="J8" s="136">
        <v>2625467</v>
      </c>
      <c r="K8" s="132"/>
      <c r="L8" s="149"/>
    </row>
    <row r="9" spans="2:15" ht="12.75" customHeight="1" x14ac:dyDescent="0.2">
      <c r="B9" s="129" t="str">
        <f>VLOOKUP(C9,'Summary | 01 '!$C$10:$F$40,4,0)</f>
        <v>Mozn</v>
      </c>
      <c r="C9" s="130" t="s">
        <v>48</v>
      </c>
      <c r="D9" s="131">
        <v>43915</v>
      </c>
      <c r="E9" s="135">
        <f t="shared" si="0"/>
        <v>-5.0000019099999999</v>
      </c>
      <c r="F9" s="133"/>
      <c r="G9" s="132" t="s">
        <v>12</v>
      </c>
      <c r="H9" s="133">
        <f>10000000-H8</f>
        <v>5000001.91</v>
      </c>
      <c r="I9" s="134">
        <f t="shared" si="1"/>
        <v>5000001.91</v>
      </c>
      <c r="J9" s="136">
        <v>2580015</v>
      </c>
      <c r="K9" s="132"/>
      <c r="L9" s="149"/>
    </row>
    <row r="10" spans="2:15" ht="12.75" customHeight="1" x14ac:dyDescent="0.2">
      <c r="B10" s="138" t="str">
        <f>VLOOKUP(C10,'Summary | 01 '!$C$10:$F$40,4,0)</f>
        <v>Mozn</v>
      </c>
      <c r="C10" s="139" t="s">
        <v>49</v>
      </c>
      <c r="D10" s="140">
        <v>43870</v>
      </c>
      <c r="E10" s="144">
        <f t="shared" si="0"/>
        <v>-2.5</v>
      </c>
      <c r="F10" s="142"/>
      <c r="G10" s="141" t="s">
        <v>12</v>
      </c>
      <c r="H10" s="142">
        <v>2500000</v>
      </c>
      <c r="I10" s="143">
        <f t="shared" si="1"/>
        <v>2500000</v>
      </c>
      <c r="J10" s="145" t="s">
        <v>114</v>
      </c>
      <c r="K10" s="141"/>
      <c r="L10" s="149"/>
    </row>
    <row r="11" spans="2:15" ht="12.75" customHeight="1" x14ac:dyDescent="0.2">
      <c r="B11" s="129" t="str">
        <f>VLOOKUP(C11,'Summary | 01 '!$C$10:$F$40,4,0)</f>
        <v>Mozn</v>
      </c>
      <c r="C11" s="130" t="s">
        <v>47</v>
      </c>
      <c r="D11" s="131">
        <v>43879</v>
      </c>
      <c r="E11" s="135">
        <f t="shared" si="0"/>
        <v>-20</v>
      </c>
      <c r="F11" s="133"/>
      <c r="G11" s="132" t="s">
        <v>12</v>
      </c>
      <c r="H11" s="133">
        <v>20000000</v>
      </c>
      <c r="I11" s="134">
        <f t="shared" si="1"/>
        <v>20000000</v>
      </c>
      <c r="J11" s="136">
        <v>4084038</v>
      </c>
      <c r="K11" s="132"/>
      <c r="L11" s="149"/>
    </row>
    <row r="12" spans="2:15" ht="12.75" customHeight="1" x14ac:dyDescent="0.2">
      <c r="B12" s="129" t="str">
        <f>VLOOKUP(C12,'Summary | 01 '!$C$10:$F$40,4,0)</f>
        <v>Mozn</v>
      </c>
      <c r="C12" s="130" t="s">
        <v>47</v>
      </c>
      <c r="D12" s="131">
        <v>43921</v>
      </c>
      <c r="E12" s="135">
        <f t="shared" si="0"/>
        <v>-30</v>
      </c>
      <c r="F12" s="133"/>
      <c r="G12" s="132" t="s">
        <v>12</v>
      </c>
      <c r="H12" s="133">
        <v>30000000</v>
      </c>
      <c r="I12" s="134">
        <f t="shared" si="1"/>
        <v>30000000</v>
      </c>
      <c r="J12" s="136">
        <v>5822642</v>
      </c>
      <c r="K12" s="132"/>
      <c r="L12" s="149"/>
    </row>
    <row r="13" spans="2:15" ht="12.75" customHeight="1" x14ac:dyDescent="0.2">
      <c r="B13" s="129" t="str">
        <f>VLOOKUP(C13,'Summary | 01 '!$C$10:$F$40,4,0)</f>
        <v>Mozn</v>
      </c>
      <c r="C13" s="130" t="s">
        <v>47</v>
      </c>
      <c r="D13" s="131">
        <v>43989</v>
      </c>
      <c r="E13" s="135">
        <f t="shared" si="0"/>
        <v>-30</v>
      </c>
      <c r="F13" s="133"/>
      <c r="G13" s="132" t="s">
        <v>12</v>
      </c>
      <c r="H13" s="133">
        <v>30000000</v>
      </c>
      <c r="I13" s="134">
        <f t="shared" si="1"/>
        <v>30000000</v>
      </c>
      <c r="J13" s="136">
        <v>5822642</v>
      </c>
      <c r="K13" s="132"/>
      <c r="L13" s="149"/>
    </row>
    <row r="14" spans="2:15" ht="12.75" customHeight="1" x14ac:dyDescent="0.2">
      <c r="B14" s="129" t="str">
        <f>VLOOKUP(C14,'Summary | 01 '!$C$10:$F$40,4,0)</f>
        <v>Mozn</v>
      </c>
      <c r="C14" s="130" t="s">
        <v>47</v>
      </c>
      <c r="D14" s="131">
        <v>44103</v>
      </c>
      <c r="E14" s="135">
        <f t="shared" si="0"/>
        <v>-10</v>
      </c>
      <c r="F14" s="133"/>
      <c r="G14" s="132" t="s">
        <v>12</v>
      </c>
      <c r="H14" s="133">
        <v>10000000</v>
      </c>
      <c r="I14" s="134">
        <f t="shared" si="1"/>
        <v>10000000</v>
      </c>
      <c r="J14" s="136">
        <v>1940880</v>
      </c>
      <c r="K14" s="132"/>
      <c r="L14" s="149"/>
    </row>
    <row r="15" spans="2:15" ht="12.75" customHeight="1" x14ac:dyDescent="0.2">
      <c r="B15" s="138" t="str">
        <f>VLOOKUP(C15,'Summary | 01 '!$C$10:$F$40,4,0)</f>
        <v>Mozn</v>
      </c>
      <c r="C15" s="139" t="s">
        <v>133</v>
      </c>
      <c r="D15" s="140">
        <v>43968</v>
      </c>
      <c r="E15" s="144">
        <f t="shared" si="0"/>
        <v>-50</v>
      </c>
      <c r="F15" s="142"/>
      <c r="G15" s="141" t="s">
        <v>12</v>
      </c>
      <c r="H15" s="142">
        <v>50000000</v>
      </c>
      <c r="I15" s="143">
        <v>50000000</v>
      </c>
      <c r="J15" s="145">
        <v>15277680</v>
      </c>
      <c r="K15" s="141"/>
      <c r="L15" s="149"/>
    </row>
    <row r="16" spans="2:15" ht="12.75" customHeight="1" x14ac:dyDescent="0.2">
      <c r="B16" s="138" t="str">
        <f>VLOOKUP(C16,'Summary | 01 '!$C$10:$F$40,4,0)</f>
        <v>Mozn</v>
      </c>
      <c r="C16" s="139" t="s">
        <v>133</v>
      </c>
      <c r="D16" s="140">
        <v>44006</v>
      </c>
      <c r="E16" s="144">
        <f t="shared" si="0"/>
        <v>-27.268350856443721</v>
      </c>
      <c r="F16" s="142"/>
      <c r="G16" s="141" t="s">
        <v>27</v>
      </c>
      <c r="H16" s="182">
        <v>21029625</v>
      </c>
      <c r="I16" s="143">
        <v>27268350.856443722</v>
      </c>
      <c r="J16" s="145">
        <v>9000000</v>
      </c>
      <c r="K16" s="141"/>
      <c r="L16" s="149"/>
    </row>
    <row r="17" spans="2:13" ht="12.75" customHeight="1" x14ac:dyDescent="0.2">
      <c r="B17" s="138" t="str">
        <f>VLOOKUP(C17,'Summary | 01 '!$C$10:$F$40,4,0)</f>
        <v>Mozn</v>
      </c>
      <c r="C17" s="139" t="s">
        <v>133</v>
      </c>
      <c r="D17" s="140">
        <v>43837</v>
      </c>
      <c r="E17" s="144">
        <f t="shared" si="0"/>
        <v>-18.109441299619355</v>
      </c>
      <c r="F17" s="142"/>
      <c r="G17" s="141" t="s">
        <v>27</v>
      </c>
      <c r="H17" s="182">
        <v>14386480</v>
      </c>
      <c r="I17" s="143">
        <v>18109441.299619358</v>
      </c>
      <c r="J17" s="145">
        <v>6362180</v>
      </c>
      <c r="K17" s="141"/>
      <c r="L17" s="149"/>
    </row>
    <row r="18" spans="2:13" ht="12.75" customHeight="1" x14ac:dyDescent="0.2">
      <c r="B18" s="138" t="str">
        <f>VLOOKUP(C18,'Summary | 01 '!$C$10:$F$40,4,0)</f>
        <v>Mozn</v>
      </c>
      <c r="C18" s="139" t="s">
        <v>133</v>
      </c>
      <c r="D18" s="140">
        <v>43990</v>
      </c>
      <c r="E18" s="144">
        <f t="shared" si="0"/>
        <v>-34.851687094159864</v>
      </c>
      <c r="F18" s="142"/>
      <c r="G18" s="141" t="s">
        <v>27</v>
      </c>
      <c r="H18" s="182">
        <v>26085572.879999999</v>
      </c>
      <c r="I18" s="143">
        <v>34851687.094159864</v>
      </c>
      <c r="J18" s="145">
        <v>11381140</v>
      </c>
      <c r="K18" s="141"/>
      <c r="L18" s="149"/>
    </row>
    <row r="19" spans="2:13" ht="12.75" customHeight="1" x14ac:dyDescent="0.2">
      <c r="B19" s="138" t="str">
        <f>VLOOKUP(C19,'Summary | 01 '!$C$10:$F$40,4,0)</f>
        <v>Mozn</v>
      </c>
      <c r="C19" s="139" t="s">
        <v>133</v>
      </c>
      <c r="D19" s="140">
        <v>44315</v>
      </c>
      <c r="E19" s="144">
        <f t="shared" si="0"/>
        <v>-11.240780424143557</v>
      </c>
      <c r="F19" s="142"/>
      <c r="G19" s="141" t="s">
        <v>27</v>
      </c>
      <c r="H19" s="182">
        <v>8074920</v>
      </c>
      <c r="I19" s="143">
        <v>11240780.424143557</v>
      </c>
      <c r="J19" s="145">
        <v>2307120</v>
      </c>
      <c r="K19" s="141"/>
      <c r="L19" s="149"/>
    </row>
    <row r="20" spans="2:13" ht="12.75" customHeight="1" x14ac:dyDescent="0.2">
      <c r="B20" s="129" t="str">
        <f>VLOOKUP(C20,'Summary | 01 '!$C$10:$F$40,4,0)</f>
        <v>Mozn</v>
      </c>
      <c r="C20" s="130" t="s">
        <v>11</v>
      </c>
      <c r="D20" s="131">
        <v>44166</v>
      </c>
      <c r="E20" s="135">
        <f t="shared" si="0"/>
        <v>-60</v>
      </c>
      <c r="F20" s="133"/>
      <c r="G20" s="132" t="s">
        <v>12</v>
      </c>
      <c r="H20" s="133">
        <v>60000000</v>
      </c>
      <c r="I20" s="134">
        <f>H20</f>
        <v>60000000</v>
      </c>
      <c r="J20" s="136">
        <v>4753356.29</v>
      </c>
      <c r="K20" s="132"/>
      <c r="L20" s="149"/>
    </row>
    <row r="21" spans="2:13" ht="12.75" customHeight="1" x14ac:dyDescent="0.2">
      <c r="B21" s="138" t="str">
        <f>VLOOKUP(C21,'Summary | 01 '!$C$10:$F$40,4,0)</f>
        <v>Mozn 1</v>
      </c>
      <c r="C21" s="139" t="s">
        <v>24</v>
      </c>
      <c r="D21" s="140">
        <v>44363</v>
      </c>
      <c r="E21" s="144">
        <f t="shared" si="0"/>
        <v>-20</v>
      </c>
      <c r="F21" s="142"/>
      <c r="G21" s="141" t="s">
        <v>12</v>
      </c>
      <c r="H21" s="142">
        <v>20000000</v>
      </c>
      <c r="I21" s="143">
        <f>H21</f>
        <v>20000000</v>
      </c>
      <c r="J21" s="145">
        <v>7959497</v>
      </c>
      <c r="K21" s="141"/>
      <c r="L21" s="149"/>
    </row>
    <row r="22" spans="2:13" ht="12.75" customHeight="1" x14ac:dyDescent="0.2">
      <c r="B22" s="129" t="str">
        <f>VLOOKUP(C22,'Summary | 01 '!$C$10:$F$40,4,0)</f>
        <v>Mozn</v>
      </c>
      <c r="C22" s="130" t="s">
        <v>50</v>
      </c>
      <c r="D22" s="131">
        <v>44488</v>
      </c>
      <c r="E22" s="135">
        <f t="shared" si="0"/>
        <v>-39.999983359999995</v>
      </c>
      <c r="F22" s="133"/>
      <c r="G22" s="132" t="s">
        <v>12</v>
      </c>
      <c r="H22" s="133">
        <v>39999983.359999999</v>
      </c>
      <c r="I22" s="134">
        <f>H22</f>
        <v>39999983.359999999</v>
      </c>
      <c r="J22" s="136">
        <v>1441711</v>
      </c>
      <c r="K22" s="132"/>
      <c r="L22" s="149"/>
    </row>
    <row r="23" spans="2:13" ht="12.75" customHeight="1" x14ac:dyDescent="0.2">
      <c r="B23" s="138" t="str">
        <f>VLOOKUP(C23,'Summary | 01 '!$C$10:$F$40,4,0)</f>
        <v>Mozn</v>
      </c>
      <c r="C23" s="139" t="s">
        <v>51</v>
      </c>
      <c r="D23" s="140">
        <v>44494</v>
      </c>
      <c r="E23" s="144">
        <f t="shared" si="0"/>
        <v>-3</v>
      </c>
      <c r="F23" s="142"/>
      <c r="G23" s="141" t="s">
        <v>12</v>
      </c>
      <c r="H23" s="142">
        <v>3000000</v>
      </c>
      <c r="I23" s="143">
        <f>H23</f>
        <v>3000000</v>
      </c>
      <c r="J23" s="145">
        <v>3000000</v>
      </c>
      <c r="K23" s="141"/>
      <c r="L23" s="149"/>
    </row>
    <row r="24" spans="2:13" ht="12.75" customHeight="1" x14ac:dyDescent="0.2">
      <c r="B24" s="129" t="str">
        <f>VLOOKUP(C24,'Summary | 01 '!$C$10:$F$40,4,0)</f>
        <v>Mozn</v>
      </c>
      <c r="C24" s="130" t="s">
        <v>52</v>
      </c>
      <c r="D24" s="131">
        <v>44550</v>
      </c>
      <c r="E24" s="135">
        <f t="shared" si="0"/>
        <v>-5.0237201984774336</v>
      </c>
      <c r="F24" s="133"/>
      <c r="G24" s="132" t="s">
        <v>27</v>
      </c>
      <c r="H24" s="183">
        <v>3679995.54</v>
      </c>
      <c r="I24" s="134">
        <v>5023720.198477434</v>
      </c>
      <c r="J24" s="136">
        <v>33267</v>
      </c>
      <c r="K24" s="132"/>
      <c r="L24" s="149"/>
    </row>
    <row r="25" spans="2:13" ht="12.75" customHeight="1" x14ac:dyDescent="0.2">
      <c r="B25" s="138" t="str">
        <f>VLOOKUP(C25,'Summary | 01 '!$C$10:$F$40,4,0)</f>
        <v>Mozn 2</v>
      </c>
      <c r="C25" s="139" t="s">
        <v>113</v>
      </c>
      <c r="D25" s="140">
        <v>44574</v>
      </c>
      <c r="E25" s="144">
        <f t="shared" si="0"/>
        <v>-493.50095619999996</v>
      </c>
      <c r="F25" s="142"/>
      <c r="G25" s="141" t="s">
        <v>12</v>
      </c>
      <c r="H25" s="142">
        <v>893500956.20000005</v>
      </c>
      <c r="I25" s="142">
        <v>493500956.19999999</v>
      </c>
      <c r="J25" s="145"/>
      <c r="K25" s="141"/>
      <c r="L25" s="149"/>
    </row>
    <row r="26" spans="2:13" ht="12.75" customHeight="1" x14ac:dyDescent="0.2">
      <c r="B26" s="129" t="str">
        <f>VLOOKUP(C26,'Summary | 01 '!$C$10:$F$40,4,0)</f>
        <v>G42</v>
      </c>
      <c r="C26" s="130" t="s">
        <v>25</v>
      </c>
      <c r="D26" s="131">
        <v>44643</v>
      </c>
      <c r="E26" s="135">
        <f t="shared" si="0"/>
        <v>-200</v>
      </c>
      <c r="F26" s="133"/>
      <c r="G26" s="132" t="s">
        <v>12</v>
      </c>
      <c r="H26" s="133">
        <v>200000000</v>
      </c>
      <c r="I26" s="134">
        <f>H26</f>
        <v>200000000</v>
      </c>
      <c r="J26" s="136"/>
      <c r="K26" s="132"/>
      <c r="L26" s="149"/>
    </row>
    <row r="27" spans="2:13" ht="12.75" customHeight="1" x14ac:dyDescent="0.2">
      <c r="B27" s="129" t="str">
        <f>VLOOKUP(C27,'Summary | 01 '!$C$10:$F$40,4,0)</f>
        <v>G42</v>
      </c>
      <c r="C27" s="130" t="s">
        <v>25</v>
      </c>
      <c r="D27" s="131">
        <v>44680</v>
      </c>
      <c r="E27" s="135">
        <f t="shared" si="0"/>
        <v>-100</v>
      </c>
      <c r="F27" s="133"/>
      <c r="G27" s="132" t="s">
        <v>12</v>
      </c>
      <c r="H27" s="133">
        <v>100000000</v>
      </c>
      <c r="I27" s="134">
        <f>H27</f>
        <v>100000000</v>
      </c>
      <c r="J27" s="136"/>
      <c r="K27" s="132"/>
      <c r="L27" s="149"/>
    </row>
    <row r="28" spans="2:13" ht="12.75" customHeight="1" x14ac:dyDescent="0.2">
      <c r="B28" s="138" t="str">
        <f>VLOOKUP(C28,'Summary | 01 '!$C$10:$F$40,4,0)</f>
        <v>Mozn</v>
      </c>
      <c r="C28" s="139" t="s">
        <v>49</v>
      </c>
      <c r="D28" s="140">
        <v>44691</v>
      </c>
      <c r="E28" s="144"/>
      <c r="F28" s="144">
        <v>5</v>
      </c>
      <c r="G28" s="141" t="s">
        <v>12</v>
      </c>
      <c r="H28" s="142"/>
      <c r="I28" s="143"/>
      <c r="J28" s="145"/>
      <c r="K28" s="141"/>
      <c r="L28" s="149"/>
    </row>
    <row r="29" spans="2:13" ht="12.75" customHeight="1" x14ac:dyDescent="0.2">
      <c r="B29" s="129" t="str">
        <f>VLOOKUP(C29,'Summary | 01 '!$C$10:$F$40,4,0)</f>
        <v>G42</v>
      </c>
      <c r="C29" s="130" t="s">
        <v>134</v>
      </c>
      <c r="D29" s="131">
        <v>44712</v>
      </c>
      <c r="E29" s="135">
        <f>-I29*10^-6</f>
        <v>-12.5</v>
      </c>
      <c r="F29" s="133"/>
      <c r="G29" s="132" t="s">
        <v>12</v>
      </c>
      <c r="H29" s="133">
        <v>12500000</v>
      </c>
      <c r="I29" s="134">
        <f t="shared" ref="I29:I34" si="2">H29</f>
        <v>12500000</v>
      </c>
      <c r="J29" s="136">
        <v>10386274</v>
      </c>
      <c r="K29" s="132"/>
      <c r="L29" s="149"/>
    </row>
    <row r="30" spans="2:13" ht="12.75" customHeight="1" x14ac:dyDescent="0.2">
      <c r="B30" s="138" t="str">
        <f>VLOOKUP(C30,'Summary | 01 '!$C$10:$F$40,4,0)</f>
        <v>G42 3</v>
      </c>
      <c r="C30" s="139" t="s">
        <v>44</v>
      </c>
      <c r="D30" s="140">
        <v>44769</v>
      </c>
      <c r="E30" s="144">
        <f t="shared" ref="E30:E34" si="3">-I30*10^-6</f>
        <v>-600</v>
      </c>
      <c r="F30" s="142"/>
      <c r="G30" s="141" t="s">
        <v>12</v>
      </c>
      <c r="H30" s="142">
        <v>600000000</v>
      </c>
      <c r="I30" s="143">
        <f t="shared" si="2"/>
        <v>600000000</v>
      </c>
      <c r="J30" s="145"/>
      <c r="K30" s="141"/>
      <c r="L30" s="149"/>
      <c r="M30" s="128"/>
    </row>
    <row r="31" spans="2:13" ht="12.75" customHeight="1" x14ac:dyDescent="0.2">
      <c r="B31" s="138" t="str">
        <f>VLOOKUP(C31,'Summary | 01 '!$C$10:$F$40,4,0)</f>
        <v>G42 3</v>
      </c>
      <c r="C31" s="139" t="s">
        <v>44</v>
      </c>
      <c r="D31" s="140">
        <v>44849</v>
      </c>
      <c r="E31" s="144">
        <f t="shared" si="3"/>
        <v>-200</v>
      </c>
      <c r="F31" s="142"/>
      <c r="G31" s="141" t="s">
        <v>12</v>
      </c>
      <c r="H31" s="142">
        <v>200000000</v>
      </c>
      <c r="I31" s="143">
        <f t="shared" si="2"/>
        <v>200000000</v>
      </c>
      <c r="J31" s="145"/>
      <c r="K31" s="141"/>
      <c r="L31" s="149"/>
    </row>
    <row r="32" spans="2:13" ht="12.75" customHeight="1" x14ac:dyDescent="0.2">
      <c r="B32" s="129" t="str">
        <f>VLOOKUP(C32,'Summary | 01 '!$C$10:$F$40,4,0)</f>
        <v>Mozn</v>
      </c>
      <c r="C32" s="130" t="s">
        <v>418</v>
      </c>
      <c r="D32" s="131">
        <v>44861</v>
      </c>
      <c r="E32" s="135">
        <f t="shared" si="3"/>
        <v>-4.75</v>
      </c>
      <c r="F32" s="133"/>
      <c r="G32" s="132" t="s">
        <v>12</v>
      </c>
      <c r="H32" s="133">
        <v>4750000</v>
      </c>
      <c r="I32" s="134">
        <f t="shared" si="2"/>
        <v>4750000</v>
      </c>
      <c r="J32" s="136"/>
      <c r="K32" s="132"/>
      <c r="L32" s="149"/>
    </row>
    <row r="33" spans="2:13" ht="12.75" customHeight="1" x14ac:dyDescent="0.2">
      <c r="B33" s="138" t="str">
        <f>VLOOKUP(C33,'Summary | 01 '!$C$10:$F$40,4,0)</f>
        <v>Mozn 4</v>
      </c>
      <c r="C33" s="139" t="s">
        <v>458</v>
      </c>
      <c r="D33" s="140">
        <v>44892</v>
      </c>
      <c r="E33" s="144">
        <f t="shared" si="3"/>
        <v>-15</v>
      </c>
      <c r="F33" s="142"/>
      <c r="G33" s="141" t="s">
        <v>12</v>
      </c>
      <c r="H33" s="142">
        <v>15000000</v>
      </c>
      <c r="I33" s="143">
        <f t="shared" si="2"/>
        <v>15000000</v>
      </c>
      <c r="J33" s="145"/>
      <c r="K33" s="141"/>
      <c r="L33" s="149"/>
      <c r="M33" s="128"/>
    </row>
    <row r="34" spans="2:13" ht="12.75" customHeight="1" x14ac:dyDescent="0.2">
      <c r="B34" s="129" t="str">
        <f>VLOOKUP(C34,'Summary | 01 '!$C$10:$F$40,4,0)</f>
        <v>G42</v>
      </c>
      <c r="C34" s="130" t="s">
        <v>134</v>
      </c>
      <c r="D34" s="131">
        <v>44985</v>
      </c>
      <c r="E34" s="135">
        <f t="shared" si="3"/>
        <v>-12.03125</v>
      </c>
      <c r="F34" s="133"/>
      <c r="G34" s="132" t="s">
        <v>12</v>
      </c>
      <c r="H34" s="133">
        <v>12031250</v>
      </c>
      <c r="I34" s="134">
        <f t="shared" si="2"/>
        <v>12031250</v>
      </c>
      <c r="J34" s="136"/>
      <c r="K34" s="132"/>
      <c r="L34" s="149"/>
    </row>
    <row r="35" spans="2:13" x14ac:dyDescent="0.2">
      <c r="D35" s="587"/>
      <c r="H35" s="146"/>
    </row>
    <row r="36" spans="2:13" s="128" customFormat="1" x14ac:dyDescent="0.2">
      <c r="B36" s="192" t="s">
        <v>188</v>
      </c>
      <c r="C36" s="193"/>
      <c r="D36" s="194"/>
      <c r="E36" s="195"/>
      <c r="F36" s="195"/>
      <c r="G36" s="195"/>
      <c r="H36" s="195"/>
      <c r="I36" s="195"/>
      <c r="J36" s="195"/>
      <c r="K36" s="195"/>
    </row>
    <row r="37" spans="2:13" ht="12.75" customHeight="1" x14ac:dyDescent="0.2">
      <c r="B37" s="129" t="s">
        <v>9</v>
      </c>
      <c r="C37" s="130" t="s">
        <v>58</v>
      </c>
      <c r="D37" s="131">
        <v>43635</v>
      </c>
      <c r="E37" s="135">
        <v>-8</v>
      </c>
      <c r="F37" s="133"/>
      <c r="G37" s="132" t="s">
        <v>12</v>
      </c>
      <c r="H37" s="133">
        <v>8000000</v>
      </c>
      <c r="I37" s="134">
        <f>H37</f>
        <v>8000000</v>
      </c>
      <c r="J37" s="136"/>
      <c r="K37" s="132"/>
    </row>
    <row r="38" spans="2:13" ht="12.75" customHeight="1" x14ac:dyDescent="0.2">
      <c r="B38" s="138" t="s">
        <v>9</v>
      </c>
      <c r="C38" s="139" t="s">
        <v>422</v>
      </c>
      <c r="D38" s="140">
        <v>44293</v>
      </c>
      <c r="E38" s="144">
        <v>-2.3539819999999998</v>
      </c>
      <c r="F38" s="142"/>
      <c r="G38" s="141" t="s">
        <v>12</v>
      </c>
      <c r="H38" s="142">
        <f>-E38*10^6</f>
        <v>2353982</v>
      </c>
      <c r="I38" s="142">
        <f>H38</f>
        <v>2353982</v>
      </c>
      <c r="J38" s="145"/>
      <c r="K38" s="141"/>
    </row>
    <row r="39" spans="2:13" ht="12.75" customHeight="1" x14ac:dyDescent="0.2">
      <c r="B39" s="129" t="s">
        <v>9</v>
      </c>
      <c r="C39" s="130" t="s">
        <v>411</v>
      </c>
      <c r="D39" s="131">
        <v>44384</v>
      </c>
      <c r="E39" s="135">
        <f>-I39*10^-6</f>
        <v>-0.41176499999999999</v>
      </c>
      <c r="F39" s="133"/>
      <c r="G39" s="132" t="s">
        <v>12</v>
      </c>
      <c r="H39" s="133">
        <v>2500000</v>
      </c>
      <c r="I39" s="134">
        <v>411765</v>
      </c>
      <c r="J39" s="136"/>
      <c r="K39" s="132"/>
    </row>
    <row r="40" spans="2:13" x14ac:dyDescent="0.2">
      <c r="B40" s="138" t="s">
        <v>9</v>
      </c>
      <c r="C40" s="139" t="s">
        <v>411</v>
      </c>
      <c r="D40" s="140">
        <v>44902</v>
      </c>
      <c r="E40" s="144"/>
      <c r="F40" s="144">
        <f>(411765+59019.65)*10^-6</f>
        <v>0.47078465000000003</v>
      </c>
      <c r="G40" s="141" t="s">
        <v>12</v>
      </c>
      <c r="H40" s="142">
        <f>F40*10^6</f>
        <v>470784.65</v>
      </c>
      <c r="I40" s="142">
        <v>470784.65</v>
      </c>
      <c r="J40" s="145"/>
      <c r="K40" s="141"/>
    </row>
    <row r="41" spans="2:13" x14ac:dyDescent="0.2">
      <c r="D41" s="588"/>
      <c r="J41" s="148"/>
    </row>
    <row r="42" spans="2:13" x14ac:dyDescent="0.2">
      <c r="J42" s="14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A2:H43"/>
  <sheetViews>
    <sheetView zoomScaleNormal="100" workbookViewId="0">
      <selection activeCell="D57" sqref="D57"/>
    </sheetView>
  </sheetViews>
  <sheetFormatPr defaultRowHeight="15" outlineLevelCol="1" x14ac:dyDescent="0.25"/>
  <cols>
    <col min="1" max="1" width="16.28515625" style="81" customWidth="1"/>
    <col min="2" max="2" width="30.140625" style="80" bestFit="1" customWidth="1"/>
    <col min="3" max="3" width="15.85546875" style="80" customWidth="1"/>
    <col min="4" max="4" width="14.140625" style="80" customWidth="1"/>
    <col min="5" max="5" width="13" style="80" customWidth="1"/>
    <col min="6" max="6" width="10.28515625" style="80" customWidth="1"/>
    <col min="7" max="7" width="16" style="80" customWidth="1" outlineLevel="1"/>
    <col min="8" max="8" width="47.85546875" style="80" customWidth="1"/>
    <col min="9" max="16384" width="9.140625" style="80"/>
  </cols>
  <sheetData>
    <row r="2" spans="1:8" s="114" customFormat="1" ht="33.75" customHeight="1" x14ac:dyDescent="0.2">
      <c r="A2" s="112" t="s">
        <v>171</v>
      </c>
      <c r="B2" s="113" t="s">
        <v>6</v>
      </c>
      <c r="C2" s="112" t="s">
        <v>7</v>
      </c>
      <c r="D2" s="112" t="s">
        <v>231</v>
      </c>
      <c r="E2" s="112" t="s">
        <v>232</v>
      </c>
      <c r="F2" s="112" t="s">
        <v>29</v>
      </c>
      <c r="G2" s="112" t="s">
        <v>222</v>
      </c>
      <c r="H2" s="112" t="s">
        <v>8</v>
      </c>
    </row>
    <row r="3" spans="1:8" s="118" customFormat="1" ht="15.75" customHeight="1" x14ac:dyDescent="0.2">
      <c r="A3" s="115" t="s">
        <v>13</v>
      </c>
      <c r="B3" s="116" t="s">
        <v>15</v>
      </c>
      <c r="C3" s="432">
        <v>44153</v>
      </c>
      <c r="D3" s="117">
        <f>G3</f>
        <v>-10.5</v>
      </c>
      <c r="E3" s="117"/>
      <c r="F3" s="115" t="s">
        <v>12</v>
      </c>
      <c r="G3" s="117">
        <v>-10.5</v>
      </c>
      <c r="H3" s="115" t="s">
        <v>17</v>
      </c>
    </row>
    <row r="4" spans="1:8" s="118" customFormat="1" ht="15.75" customHeight="1" x14ac:dyDescent="0.2">
      <c r="A4" s="115" t="s">
        <v>13</v>
      </c>
      <c r="B4" s="116" t="s">
        <v>15</v>
      </c>
      <c r="C4" s="432">
        <v>44238</v>
      </c>
      <c r="D4" s="117">
        <f>G4</f>
        <v>4.2140269999999997</v>
      </c>
      <c r="E4" s="117"/>
      <c r="F4" s="119" t="s">
        <v>12</v>
      </c>
      <c r="G4" s="117">
        <v>4.2140269999999997</v>
      </c>
      <c r="H4" s="115" t="s">
        <v>18</v>
      </c>
    </row>
    <row r="5" spans="1:8" s="118" customFormat="1" ht="15.75" customHeight="1" x14ac:dyDescent="0.2">
      <c r="A5" s="115" t="s">
        <v>13</v>
      </c>
      <c r="B5" s="116" t="s">
        <v>15</v>
      </c>
      <c r="C5" s="432">
        <v>44238</v>
      </c>
      <c r="D5" s="117"/>
      <c r="E5" s="117">
        <f>G5</f>
        <v>5.0448349999999996E-2</v>
      </c>
      <c r="F5" s="119" t="s">
        <v>12</v>
      </c>
      <c r="G5" s="117">
        <v>5.0448349999999996E-2</v>
      </c>
      <c r="H5" s="115" t="s">
        <v>21</v>
      </c>
    </row>
    <row r="6" spans="1:8" s="118" customFormat="1" ht="15.75" customHeight="1" x14ac:dyDescent="0.2">
      <c r="A6" s="115" t="s">
        <v>13</v>
      </c>
      <c r="B6" s="116" t="s">
        <v>15</v>
      </c>
      <c r="C6" s="432">
        <v>44285</v>
      </c>
      <c r="D6" s="117">
        <f>G6</f>
        <v>-6.4337459999999993</v>
      </c>
      <c r="E6" s="117"/>
      <c r="F6" s="119" t="s">
        <v>12</v>
      </c>
      <c r="G6" s="117">
        <v>-6.4337459999999993</v>
      </c>
      <c r="H6" s="115" t="s">
        <v>19</v>
      </c>
    </row>
    <row r="7" spans="1:8" s="118" customFormat="1" ht="15.75" customHeight="1" x14ac:dyDescent="0.2">
      <c r="A7" s="115" t="s">
        <v>13</v>
      </c>
      <c r="B7" s="116" t="s">
        <v>15</v>
      </c>
      <c r="C7" s="432">
        <v>44269</v>
      </c>
      <c r="D7" s="117">
        <f>G7</f>
        <v>1.1352073899999999</v>
      </c>
      <c r="E7" s="117"/>
      <c r="F7" s="119" t="s">
        <v>12</v>
      </c>
      <c r="G7" s="117">
        <v>1.1352073899999999</v>
      </c>
      <c r="H7" s="115" t="s">
        <v>20</v>
      </c>
    </row>
    <row r="8" spans="1:8" s="118" customFormat="1" ht="15.75" customHeight="1" x14ac:dyDescent="0.2">
      <c r="A8" s="115" t="s">
        <v>13</v>
      </c>
      <c r="B8" s="116" t="s">
        <v>15</v>
      </c>
      <c r="C8" s="432">
        <v>44269</v>
      </c>
      <c r="D8" s="117"/>
      <c r="E8" s="117">
        <f>G8</f>
        <v>2.5899999999999999E-2</v>
      </c>
      <c r="F8" s="115" t="s">
        <v>12</v>
      </c>
      <c r="G8" s="117">
        <v>2.5899999999999999E-2</v>
      </c>
      <c r="H8" s="115" t="s">
        <v>21</v>
      </c>
    </row>
    <row r="9" spans="1:8" s="118" customFormat="1" ht="15.75" customHeight="1" x14ac:dyDescent="0.2">
      <c r="A9" s="115" t="s">
        <v>13</v>
      </c>
      <c r="B9" s="116" t="s">
        <v>15</v>
      </c>
      <c r="C9" s="432">
        <v>44483</v>
      </c>
      <c r="D9" s="117">
        <f>G9</f>
        <v>-7.5671379999999999</v>
      </c>
      <c r="E9" s="117"/>
      <c r="F9" s="115" t="s">
        <v>12</v>
      </c>
      <c r="G9" s="117">
        <v>-7.5671379999999999</v>
      </c>
      <c r="H9" s="115" t="s">
        <v>158</v>
      </c>
    </row>
    <row r="10" spans="1:8" s="118" customFormat="1" ht="15.75" customHeight="1" x14ac:dyDescent="0.2">
      <c r="A10" s="115" t="s">
        <v>13</v>
      </c>
      <c r="B10" s="116" t="s">
        <v>15</v>
      </c>
      <c r="C10" s="432">
        <v>44554</v>
      </c>
      <c r="D10" s="117">
        <f>G10</f>
        <v>-7.3850159999999994</v>
      </c>
      <c r="E10" s="117"/>
      <c r="F10" s="115" t="s">
        <v>12</v>
      </c>
      <c r="G10" s="117">
        <v>-7.3850159999999994</v>
      </c>
      <c r="H10" s="115" t="s">
        <v>159</v>
      </c>
    </row>
    <row r="11" spans="1:8" s="118" customFormat="1" ht="15.75" customHeight="1" x14ac:dyDescent="0.2">
      <c r="A11" s="115" t="s">
        <v>13</v>
      </c>
      <c r="B11" s="116" t="s">
        <v>15</v>
      </c>
      <c r="C11" s="432">
        <v>44554</v>
      </c>
      <c r="D11" s="117">
        <f>G11</f>
        <v>4.0733456099999996</v>
      </c>
      <c r="E11" s="117"/>
      <c r="F11" s="115" t="s">
        <v>12</v>
      </c>
      <c r="G11" s="117">
        <v>4.0733456099999996</v>
      </c>
      <c r="H11" s="115" t="s">
        <v>20</v>
      </c>
    </row>
    <row r="12" spans="1:8" s="118" customFormat="1" ht="15.75" customHeight="1" x14ac:dyDescent="0.2">
      <c r="A12" s="115" t="s">
        <v>13</v>
      </c>
      <c r="B12" s="116" t="s">
        <v>15</v>
      </c>
      <c r="C12" s="432">
        <v>44554</v>
      </c>
      <c r="D12" s="117"/>
      <c r="E12" s="117">
        <f>G12</f>
        <v>0.13969399999999998</v>
      </c>
      <c r="F12" s="115" t="s">
        <v>12</v>
      </c>
      <c r="G12" s="117">
        <v>0.13969399999999998</v>
      </c>
      <c r="H12" s="115" t="s">
        <v>21</v>
      </c>
    </row>
    <row r="13" spans="1:8" s="118" customFormat="1" ht="15.75" customHeight="1" x14ac:dyDescent="0.2">
      <c r="A13" s="115" t="s">
        <v>13</v>
      </c>
      <c r="B13" s="116" t="s">
        <v>15</v>
      </c>
      <c r="C13" s="432">
        <v>44703</v>
      </c>
      <c r="D13" s="117">
        <f>G13</f>
        <v>5.6730739999999997</v>
      </c>
      <c r="E13" s="117"/>
      <c r="F13" s="115" t="s">
        <v>12</v>
      </c>
      <c r="G13" s="117">
        <v>5.6730739999999997</v>
      </c>
      <c r="H13" s="115" t="s">
        <v>20</v>
      </c>
    </row>
    <row r="14" spans="1:8" s="118" customFormat="1" ht="15.75" customHeight="1" x14ac:dyDescent="0.2">
      <c r="A14" s="115" t="s">
        <v>13</v>
      </c>
      <c r="B14" s="116" t="s">
        <v>15</v>
      </c>
      <c r="C14" s="432">
        <v>44703</v>
      </c>
      <c r="D14" s="117"/>
      <c r="E14" s="117">
        <f>G14</f>
        <v>0.22778599999999999</v>
      </c>
      <c r="F14" s="115" t="s">
        <v>12</v>
      </c>
      <c r="G14" s="117">
        <v>0.22778599999999999</v>
      </c>
      <c r="H14" s="115" t="s">
        <v>21</v>
      </c>
    </row>
    <row r="15" spans="1:8" s="118" customFormat="1" ht="15.75" customHeight="1" x14ac:dyDescent="0.2">
      <c r="A15" s="115" t="s">
        <v>13</v>
      </c>
      <c r="B15" s="116" t="s">
        <v>15</v>
      </c>
      <c r="C15" s="432">
        <v>44776</v>
      </c>
      <c r="D15" s="117">
        <f>G15</f>
        <v>-3.235493</v>
      </c>
      <c r="E15" s="117"/>
      <c r="F15" s="115" t="s">
        <v>12</v>
      </c>
      <c r="G15" s="117">
        <v>-3.235493</v>
      </c>
      <c r="H15" s="115" t="s">
        <v>162</v>
      </c>
    </row>
    <row r="16" spans="1:8" s="118" customFormat="1" ht="15.75" customHeight="1" x14ac:dyDescent="0.2">
      <c r="A16" s="115" t="s">
        <v>13</v>
      </c>
      <c r="B16" s="116" t="s">
        <v>15</v>
      </c>
      <c r="C16" s="432">
        <v>44960</v>
      </c>
      <c r="D16" s="117">
        <f>G16</f>
        <v>-2.6315279999999999</v>
      </c>
      <c r="E16" s="117"/>
      <c r="F16" s="115" t="s">
        <v>12</v>
      </c>
      <c r="G16" s="117">
        <v>-2.6315279999999999</v>
      </c>
      <c r="H16" s="115" t="s">
        <v>164</v>
      </c>
    </row>
    <row r="17" spans="1:8" s="118" customFormat="1" ht="15.75" customHeight="1" x14ac:dyDescent="0.2">
      <c r="A17" s="120" t="s">
        <v>13</v>
      </c>
      <c r="B17" s="121" t="s">
        <v>1</v>
      </c>
      <c r="C17" s="433">
        <v>43665</v>
      </c>
      <c r="D17" s="124">
        <f t="shared" ref="D17:D24" si="0">G17</f>
        <v>-3</v>
      </c>
      <c r="E17" s="124"/>
      <c r="F17" s="120" t="s">
        <v>12</v>
      </c>
      <c r="G17" s="124">
        <v>-3</v>
      </c>
      <c r="H17" s="120" t="s">
        <v>17</v>
      </c>
    </row>
    <row r="18" spans="1:8" s="118" customFormat="1" ht="15.75" customHeight="1" x14ac:dyDescent="0.2">
      <c r="A18" s="120" t="s">
        <v>13</v>
      </c>
      <c r="B18" s="121" t="s">
        <v>1</v>
      </c>
      <c r="C18" s="433">
        <v>43983</v>
      </c>
      <c r="D18" s="124">
        <f t="shared" si="0"/>
        <v>-4.4849999999999994</v>
      </c>
      <c r="E18" s="124"/>
      <c r="F18" s="120" t="s">
        <v>12</v>
      </c>
      <c r="G18" s="124">
        <v>-4.4849999999999994</v>
      </c>
      <c r="H18" s="120" t="s">
        <v>19</v>
      </c>
    </row>
    <row r="19" spans="1:8" s="118" customFormat="1" ht="15.75" customHeight="1" x14ac:dyDescent="0.2">
      <c r="A19" s="120" t="s">
        <v>13</v>
      </c>
      <c r="B19" s="121" t="s">
        <v>1</v>
      </c>
      <c r="C19" s="433">
        <v>43879</v>
      </c>
      <c r="D19" s="124">
        <f t="shared" si="0"/>
        <v>-9.5097500000000004</v>
      </c>
      <c r="E19" s="124"/>
      <c r="F19" s="120" t="s">
        <v>12</v>
      </c>
      <c r="G19" s="124">
        <v>-9.5097500000000004</v>
      </c>
      <c r="H19" s="120" t="s">
        <v>158</v>
      </c>
    </row>
    <row r="20" spans="1:8" s="118" customFormat="1" ht="15.75" customHeight="1" x14ac:dyDescent="0.2">
      <c r="A20" s="120" t="s">
        <v>13</v>
      </c>
      <c r="B20" s="121" t="s">
        <v>1</v>
      </c>
      <c r="C20" s="433">
        <v>43934</v>
      </c>
      <c r="D20" s="124">
        <f t="shared" si="0"/>
        <v>-41.3</v>
      </c>
      <c r="E20" s="124"/>
      <c r="F20" s="120" t="s">
        <v>12</v>
      </c>
      <c r="G20" s="124">
        <v>-41.3</v>
      </c>
      <c r="H20" s="120" t="s">
        <v>159</v>
      </c>
    </row>
    <row r="21" spans="1:8" s="118" customFormat="1" ht="15.75" customHeight="1" x14ac:dyDescent="0.2">
      <c r="A21" s="120" t="s">
        <v>13</v>
      </c>
      <c r="B21" s="121" t="s">
        <v>1</v>
      </c>
      <c r="C21" s="433">
        <v>44151</v>
      </c>
      <c r="D21" s="124">
        <f t="shared" si="0"/>
        <v>9.9499999999999993</v>
      </c>
      <c r="E21" s="124"/>
      <c r="F21" s="120" t="s">
        <v>12</v>
      </c>
      <c r="G21" s="124">
        <v>9.9499999999999993</v>
      </c>
      <c r="H21" s="120" t="s">
        <v>161</v>
      </c>
    </row>
    <row r="22" spans="1:8" s="118" customFormat="1" ht="15.75" customHeight="1" x14ac:dyDescent="0.2">
      <c r="A22" s="120" t="s">
        <v>13</v>
      </c>
      <c r="B22" s="121" t="s">
        <v>1</v>
      </c>
      <c r="C22" s="433">
        <v>44151</v>
      </c>
      <c r="D22" s="124">
        <f t="shared" si="0"/>
        <v>-10.455</v>
      </c>
      <c r="E22" s="124"/>
      <c r="F22" s="120" t="s">
        <v>12</v>
      </c>
      <c r="G22" s="124">
        <v>-10.455</v>
      </c>
      <c r="H22" s="120" t="s">
        <v>162</v>
      </c>
    </row>
    <row r="23" spans="1:8" s="118" customFormat="1" ht="15.75" customHeight="1" x14ac:dyDescent="0.2">
      <c r="A23" s="120" t="s">
        <v>13</v>
      </c>
      <c r="B23" s="121" t="s">
        <v>1</v>
      </c>
      <c r="C23" s="433">
        <v>44196</v>
      </c>
      <c r="D23" s="124">
        <f t="shared" si="0"/>
        <v>4.9749999999999996</v>
      </c>
      <c r="E23" s="124"/>
      <c r="F23" s="120" t="s">
        <v>12</v>
      </c>
      <c r="G23" s="124">
        <v>4.9749999999999996</v>
      </c>
      <c r="H23" s="120" t="s">
        <v>163</v>
      </c>
    </row>
    <row r="24" spans="1:8" s="118" customFormat="1" ht="15.75" customHeight="1" x14ac:dyDescent="0.2">
      <c r="A24" s="120" t="s">
        <v>13</v>
      </c>
      <c r="B24" s="121" t="s">
        <v>1</v>
      </c>
      <c r="C24" s="433">
        <v>44196</v>
      </c>
      <c r="D24" s="124">
        <f t="shared" si="0"/>
        <v>-3.4522930000000001</v>
      </c>
      <c r="E24" s="124"/>
      <c r="F24" s="120" t="s">
        <v>12</v>
      </c>
      <c r="G24" s="124">
        <v>-3.4522930000000001</v>
      </c>
      <c r="H24" s="120" t="s">
        <v>164</v>
      </c>
    </row>
    <row r="25" spans="1:8" s="118" customFormat="1" ht="15.75" customHeight="1" x14ac:dyDescent="0.2">
      <c r="A25" s="120" t="s">
        <v>13</v>
      </c>
      <c r="B25" s="121" t="s">
        <v>1</v>
      </c>
      <c r="C25" s="433">
        <v>44196</v>
      </c>
      <c r="D25" s="124"/>
      <c r="E25" s="124">
        <f>G25</f>
        <v>0.58290199999999992</v>
      </c>
      <c r="F25" s="120" t="s">
        <v>12</v>
      </c>
      <c r="G25" s="124">
        <v>0.58290199999999992</v>
      </c>
      <c r="H25" s="120" t="s">
        <v>165</v>
      </c>
    </row>
    <row r="26" spans="1:8" s="118" customFormat="1" ht="15.75" customHeight="1" x14ac:dyDescent="0.2">
      <c r="A26" s="120" t="s">
        <v>13</v>
      </c>
      <c r="B26" s="121" t="s">
        <v>1</v>
      </c>
      <c r="C26" s="433">
        <v>44370</v>
      </c>
      <c r="D26" s="124">
        <f>G26</f>
        <v>-5.97</v>
      </c>
      <c r="E26" s="124"/>
      <c r="F26" s="120" t="s">
        <v>12</v>
      </c>
      <c r="G26" s="124">
        <v>-5.97</v>
      </c>
      <c r="H26" s="120" t="s">
        <v>166</v>
      </c>
    </row>
    <row r="27" spans="1:8" s="118" customFormat="1" ht="15.75" customHeight="1" x14ac:dyDescent="0.2">
      <c r="A27" s="120" t="s">
        <v>13</v>
      </c>
      <c r="B27" s="121" t="s">
        <v>1</v>
      </c>
      <c r="C27" s="433">
        <v>44400</v>
      </c>
      <c r="D27" s="124">
        <f>G27</f>
        <v>-0.75</v>
      </c>
      <c r="E27" s="124"/>
      <c r="F27" s="120" t="s">
        <v>12</v>
      </c>
      <c r="G27" s="124">
        <v>-0.75</v>
      </c>
      <c r="H27" s="120" t="s">
        <v>167</v>
      </c>
    </row>
    <row r="28" spans="1:8" s="118" customFormat="1" ht="15.75" customHeight="1" x14ac:dyDescent="0.2">
      <c r="A28" s="120" t="s">
        <v>13</v>
      </c>
      <c r="B28" s="121" t="s">
        <v>1</v>
      </c>
      <c r="C28" s="433">
        <v>44400</v>
      </c>
      <c r="D28" s="124"/>
      <c r="E28" s="124">
        <f>G28</f>
        <v>0.44505899999999998</v>
      </c>
      <c r="F28" s="120" t="s">
        <v>12</v>
      </c>
      <c r="G28" s="124">
        <v>0.44505899999999998</v>
      </c>
      <c r="H28" s="120" t="s">
        <v>168</v>
      </c>
    </row>
    <row r="29" spans="1:8" s="118" customFormat="1" ht="15.75" customHeight="1" x14ac:dyDescent="0.2">
      <c r="A29" s="120" t="s">
        <v>13</v>
      </c>
      <c r="B29" s="121" t="s">
        <v>1</v>
      </c>
      <c r="C29" s="433">
        <v>44554</v>
      </c>
      <c r="D29" s="124">
        <f>G29</f>
        <v>1.7823899999999999</v>
      </c>
      <c r="E29" s="124"/>
      <c r="F29" s="120" t="s">
        <v>12</v>
      </c>
      <c r="G29" s="124">
        <v>1.7823899999999999</v>
      </c>
      <c r="H29" s="120" t="s">
        <v>169</v>
      </c>
    </row>
    <row r="30" spans="1:8" s="118" customFormat="1" ht="15.75" customHeight="1" x14ac:dyDescent="0.2">
      <c r="A30" s="120" t="s">
        <v>13</v>
      </c>
      <c r="B30" s="121" t="s">
        <v>1</v>
      </c>
      <c r="C30" s="433">
        <v>44676</v>
      </c>
      <c r="D30" s="124">
        <f>G30</f>
        <v>-21</v>
      </c>
      <c r="E30" s="124"/>
      <c r="F30" s="120" t="s">
        <v>12</v>
      </c>
      <c r="G30" s="124">
        <v>-21</v>
      </c>
      <c r="H30" s="120" t="s">
        <v>170</v>
      </c>
    </row>
    <row r="31" spans="1:8" s="118" customFormat="1" ht="15.75" customHeight="1" x14ac:dyDescent="0.2">
      <c r="A31" s="115" t="s">
        <v>13</v>
      </c>
      <c r="B31" s="116" t="s">
        <v>174</v>
      </c>
      <c r="C31" s="432">
        <v>44087</v>
      </c>
      <c r="D31" s="117">
        <f>G31*1.1</f>
        <v>-20.917552997000001</v>
      </c>
      <c r="E31" s="184"/>
      <c r="F31" s="115" t="s">
        <v>189</v>
      </c>
      <c r="G31" s="185">
        <v>-19.015957270000001</v>
      </c>
      <c r="H31" s="115" t="s">
        <v>191</v>
      </c>
    </row>
    <row r="32" spans="1:8" s="118" customFormat="1" ht="15.75" customHeight="1" x14ac:dyDescent="0.2">
      <c r="A32" s="115" t="s">
        <v>13</v>
      </c>
      <c r="B32" s="116" t="s">
        <v>174</v>
      </c>
      <c r="C32" s="432">
        <v>44287</v>
      </c>
      <c r="D32" s="117">
        <v>-0.21103182000000001</v>
      </c>
      <c r="E32" s="184"/>
      <c r="F32" s="117" t="s">
        <v>189</v>
      </c>
      <c r="G32" s="185">
        <v>-0.21103182000000001</v>
      </c>
      <c r="H32" s="115" t="s">
        <v>192</v>
      </c>
    </row>
    <row r="33" spans="1:8" s="118" customFormat="1" ht="15.75" customHeight="1" x14ac:dyDescent="0.2">
      <c r="A33" s="115" t="s">
        <v>13</v>
      </c>
      <c r="B33" s="116" t="s">
        <v>174</v>
      </c>
      <c r="C33" s="432">
        <v>44442</v>
      </c>
      <c r="D33" s="117">
        <f>1.18*G33</f>
        <v>-0.23965473139999999</v>
      </c>
      <c r="E33" s="184"/>
      <c r="F33" s="117" t="s">
        <v>189</v>
      </c>
      <c r="G33" s="185">
        <f>-203097.23*10^-6</f>
        <v>-0.20309722999999999</v>
      </c>
      <c r="H33" s="115" t="s">
        <v>228</v>
      </c>
    </row>
    <row r="34" spans="1:8" s="118" customFormat="1" ht="15.75" customHeight="1" x14ac:dyDescent="0.2">
      <c r="A34" s="115" t="s">
        <v>13</v>
      </c>
      <c r="B34" s="116" t="s">
        <v>174</v>
      </c>
      <c r="C34" s="432">
        <v>44623</v>
      </c>
      <c r="D34" s="117">
        <f>1.11*G34</f>
        <v>-0.25893584940000003</v>
      </c>
      <c r="E34" s="184"/>
      <c r="F34" s="117" t="s">
        <v>189</v>
      </c>
      <c r="G34" s="185">
        <f>-233275.54*10^-6</f>
        <v>-0.23327554</v>
      </c>
      <c r="H34" s="115" t="s">
        <v>229</v>
      </c>
    </row>
    <row r="35" spans="1:8" s="118" customFormat="1" ht="15.75" customHeight="1" x14ac:dyDescent="0.2">
      <c r="A35" s="115" t="s">
        <v>13</v>
      </c>
      <c r="B35" s="116" t="s">
        <v>174</v>
      </c>
      <c r="C35" s="432">
        <v>44784</v>
      </c>
      <c r="D35" s="623">
        <f>1.03*G35</f>
        <v>1.5224656599999999E-2</v>
      </c>
      <c r="E35" s="184"/>
      <c r="F35" s="117" t="s">
        <v>189</v>
      </c>
      <c r="G35" s="622">
        <f>14781.22*10^-6</f>
        <v>1.4781219999999999E-2</v>
      </c>
      <c r="H35" s="115" t="s">
        <v>230</v>
      </c>
    </row>
    <row r="36" spans="1:8" s="118" customFormat="1" ht="15.75" customHeight="1" x14ac:dyDescent="0.2">
      <c r="A36" s="115" t="s">
        <v>13</v>
      </c>
      <c r="B36" s="116" t="s">
        <v>174</v>
      </c>
      <c r="C36" s="432">
        <v>44956</v>
      </c>
      <c r="D36" s="117">
        <f>9741387*10^-6*1.08341</f>
        <v>10.553916089669999</v>
      </c>
      <c r="E36" s="117"/>
      <c r="F36" s="117" t="s">
        <v>189</v>
      </c>
      <c r="G36" s="185">
        <f>9741387*10^-6</f>
        <v>9.7413869999999996</v>
      </c>
      <c r="H36" s="115" t="s">
        <v>230</v>
      </c>
    </row>
    <row r="37" spans="1:8" s="118" customFormat="1" ht="15.75" customHeight="1" x14ac:dyDescent="0.2">
      <c r="A37" s="115" t="s">
        <v>13</v>
      </c>
      <c r="B37" s="116" t="s">
        <v>174</v>
      </c>
      <c r="C37" s="432">
        <v>44956</v>
      </c>
      <c r="D37" s="117"/>
      <c r="E37" s="117">
        <f>2728214.02*10^-6*1.08341</f>
        <v>2.9557743514081998</v>
      </c>
      <c r="F37" s="117" t="s">
        <v>189</v>
      </c>
      <c r="G37" s="185">
        <f>NAV!Q25*10^-6</f>
        <v>2.7282140199999994</v>
      </c>
      <c r="H37" s="115" t="s">
        <v>532</v>
      </c>
    </row>
    <row r="38" spans="1:8" s="118" customFormat="1" ht="15.75" customHeight="1" x14ac:dyDescent="0.2">
      <c r="A38" s="115" t="s">
        <v>13</v>
      </c>
      <c r="B38" s="116" t="s">
        <v>156</v>
      </c>
      <c r="C38" s="432">
        <v>44087</v>
      </c>
      <c r="D38" s="117">
        <f>-'Summary | 01 '!K37</f>
        <v>-2.7058823529411762</v>
      </c>
      <c r="E38" s="184"/>
      <c r="F38" s="115" t="s">
        <v>189</v>
      </c>
      <c r="G38" s="185">
        <v>-2.125</v>
      </c>
      <c r="H38" s="115" t="s">
        <v>191</v>
      </c>
    </row>
    <row r="39" spans="1:8" s="118" customFormat="1" ht="15.75" customHeight="1" x14ac:dyDescent="0.2">
      <c r="A39" s="120" t="s">
        <v>13</v>
      </c>
      <c r="B39" s="121" t="s">
        <v>237</v>
      </c>
      <c r="C39" s="433">
        <v>44540</v>
      </c>
      <c r="D39" s="124">
        <f>G39</f>
        <v>-2.8053124999999999</v>
      </c>
      <c r="E39" s="124"/>
      <c r="F39" s="120" t="s">
        <v>12</v>
      </c>
      <c r="G39" s="123">
        <v>-2.8053124999999999</v>
      </c>
      <c r="H39" s="120" t="s">
        <v>17</v>
      </c>
    </row>
    <row r="40" spans="1:8" s="118" customFormat="1" ht="15.75" customHeight="1" x14ac:dyDescent="0.2">
      <c r="A40" s="120" t="s">
        <v>13</v>
      </c>
      <c r="B40" s="121" t="s">
        <v>237</v>
      </c>
      <c r="C40" s="433">
        <v>44602</v>
      </c>
      <c r="D40" s="124">
        <f>G40</f>
        <v>-3.4074999999999998</v>
      </c>
      <c r="E40" s="124"/>
      <c r="F40" s="120" t="s">
        <v>12</v>
      </c>
      <c r="G40" s="123">
        <v>-3.4074999999999998</v>
      </c>
      <c r="H40" s="120" t="s">
        <v>173</v>
      </c>
    </row>
    <row r="41" spans="1:8" s="118" customFormat="1" ht="15.75" customHeight="1" x14ac:dyDescent="0.2">
      <c r="A41" s="120" t="s">
        <v>13</v>
      </c>
      <c r="B41" s="121" t="s">
        <v>237</v>
      </c>
      <c r="C41" s="433">
        <v>44683</v>
      </c>
      <c r="D41" s="124">
        <f>G41</f>
        <v>-1.0257749999999999</v>
      </c>
      <c r="E41" s="124"/>
      <c r="F41" s="120" t="s">
        <v>12</v>
      </c>
      <c r="G41" s="123">
        <v>-1.0257749999999999</v>
      </c>
      <c r="H41" s="120" t="s">
        <v>417</v>
      </c>
    </row>
    <row r="42" spans="1:8" s="118" customFormat="1" ht="15.75" customHeight="1" x14ac:dyDescent="0.2">
      <c r="A42" s="120" t="s">
        <v>13</v>
      </c>
      <c r="B42" s="121" t="s">
        <v>237</v>
      </c>
      <c r="C42" s="433">
        <v>44707</v>
      </c>
      <c r="D42" s="124">
        <f>G42</f>
        <v>-3.3882749999999997</v>
      </c>
      <c r="E42" s="124"/>
      <c r="F42" s="120" t="s">
        <v>12</v>
      </c>
      <c r="G42" s="123">
        <v>-3.3882749999999997</v>
      </c>
      <c r="H42" s="120" t="s">
        <v>172</v>
      </c>
    </row>
    <row r="43" spans="1:8" x14ac:dyDescent="0.25">
      <c r="A43" s="120" t="s">
        <v>13</v>
      </c>
      <c r="B43" s="121" t="s">
        <v>237</v>
      </c>
      <c r="C43" s="433">
        <v>44875</v>
      </c>
      <c r="D43" s="124">
        <f>G43</f>
        <v>-3.3882749999999997</v>
      </c>
      <c r="E43" s="124"/>
      <c r="F43" s="120" t="s">
        <v>12</v>
      </c>
      <c r="G43" s="123">
        <v>-3.3882749999999997</v>
      </c>
      <c r="H43" s="120" t="s">
        <v>159</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L71"/>
  <sheetViews>
    <sheetView zoomScale="80" zoomScaleNormal="80" workbookViewId="0">
      <selection activeCell="H46" sqref="H46"/>
    </sheetView>
  </sheetViews>
  <sheetFormatPr defaultRowHeight="12" x14ac:dyDescent="0.2"/>
  <cols>
    <col min="1" max="1" width="2.5703125" style="83" customWidth="1"/>
    <col min="2" max="2" width="25.5703125" style="83" bestFit="1" customWidth="1"/>
    <col min="3" max="3" width="16.5703125" style="83" customWidth="1"/>
    <col min="4" max="7" width="13.7109375" style="83" customWidth="1"/>
    <col min="8" max="8" width="10.7109375" style="91" customWidth="1"/>
    <col min="9" max="9" width="8" style="88" customWidth="1"/>
    <col min="10" max="24" width="14.85546875" style="88" customWidth="1"/>
    <col min="25" max="28" width="9.140625" style="83"/>
    <col min="29" max="29" width="24.5703125" style="83" bestFit="1" customWidth="1"/>
    <col min="30" max="31" width="13.28515625" style="83" customWidth="1"/>
    <col min="32" max="32" width="17.140625" style="83" customWidth="1"/>
    <col min="33" max="33" width="19.140625" style="83" customWidth="1"/>
    <col min="34" max="38" width="13.28515625" style="83" customWidth="1"/>
    <col min="39" max="16384" width="9.140625" style="83"/>
  </cols>
  <sheetData>
    <row r="2" spans="2:38" s="164" customFormat="1" ht="43.5" customHeight="1" x14ac:dyDescent="0.45">
      <c r="B2" s="345" t="s">
        <v>288</v>
      </c>
      <c r="C2" s="346"/>
      <c r="D2" s="346"/>
      <c r="E2" s="346"/>
      <c r="F2" s="353"/>
      <c r="G2" s="353"/>
      <c r="H2" s="353"/>
      <c r="I2" s="353"/>
      <c r="J2" s="347"/>
      <c r="K2" s="348"/>
      <c r="L2" s="347"/>
    </row>
    <row r="3" spans="2:38" ht="12.75" thickBot="1" x14ac:dyDescent="0.25"/>
    <row r="4" spans="2:38" s="137" customFormat="1" ht="13.5" thickBot="1" x14ac:dyDescent="0.25">
      <c r="B4" s="271" t="s">
        <v>235</v>
      </c>
      <c r="C4" s="285">
        <f>D!D2</f>
        <v>45016</v>
      </c>
      <c r="J4" s="289" t="s">
        <v>244</v>
      </c>
      <c r="K4" s="290"/>
      <c r="L4" s="290"/>
      <c r="M4" s="290"/>
      <c r="N4" s="290"/>
      <c r="O4" s="290"/>
      <c r="P4" s="128"/>
      <c r="AB4" s="289" t="s">
        <v>239</v>
      </c>
      <c r="AC4" s="290"/>
      <c r="AD4" s="290"/>
      <c r="AE4" s="290"/>
      <c r="AF4" s="290"/>
      <c r="AG4" s="290"/>
    </row>
    <row r="6" spans="2:38" x14ac:dyDescent="0.2">
      <c r="B6" s="97" t="s">
        <v>140</v>
      </c>
    </row>
    <row r="7" spans="2:38" s="98" customFormat="1" ht="36" customHeight="1" x14ac:dyDescent="0.2">
      <c r="B7" s="95" t="s">
        <v>6</v>
      </c>
      <c r="C7" s="96" t="s">
        <v>7</v>
      </c>
      <c r="D7" s="96" t="s">
        <v>141</v>
      </c>
      <c r="E7" s="96" t="s">
        <v>42</v>
      </c>
      <c r="F7" s="97" t="s">
        <v>139</v>
      </c>
      <c r="G7" s="97" t="s">
        <v>225</v>
      </c>
      <c r="H7" s="297"/>
      <c r="I7" s="97"/>
      <c r="J7" s="96" t="s">
        <v>57</v>
      </c>
      <c r="K7" s="96" t="s">
        <v>0</v>
      </c>
      <c r="L7" s="96" t="s">
        <v>48</v>
      </c>
      <c r="M7" s="96" t="s">
        <v>49</v>
      </c>
      <c r="N7" s="96" t="s">
        <v>47</v>
      </c>
      <c r="O7" s="96" t="s">
        <v>133</v>
      </c>
      <c r="P7" s="96" t="s">
        <v>11</v>
      </c>
      <c r="Q7" s="96" t="s">
        <v>24</v>
      </c>
      <c r="R7" s="96" t="s">
        <v>50</v>
      </c>
      <c r="S7" s="96" t="s">
        <v>51</v>
      </c>
      <c r="T7" s="96" t="s">
        <v>52</v>
      </c>
      <c r="U7" s="96" t="s">
        <v>113</v>
      </c>
      <c r="V7" s="96" t="s">
        <v>25</v>
      </c>
      <c r="W7" s="96" t="s">
        <v>134</v>
      </c>
      <c r="X7" s="96" t="s">
        <v>44</v>
      </c>
      <c r="Y7" s="96" t="s">
        <v>418</v>
      </c>
      <c r="Z7" s="96" t="s">
        <v>458</v>
      </c>
      <c r="AC7" s="126"/>
      <c r="AD7" s="126" t="s">
        <v>41</v>
      </c>
      <c r="AE7" s="127" t="s">
        <v>2</v>
      </c>
      <c r="AF7" s="127" t="s">
        <v>60</v>
      </c>
      <c r="AG7" s="127" t="s">
        <v>42</v>
      </c>
      <c r="AH7" s="127" t="s">
        <v>223</v>
      </c>
      <c r="AI7" s="127" t="s">
        <v>32</v>
      </c>
      <c r="AJ7" s="127" t="s">
        <v>43</v>
      </c>
      <c r="AK7" s="127" t="s">
        <v>236</v>
      </c>
      <c r="AL7" s="127" t="s">
        <v>142</v>
      </c>
    </row>
    <row r="8" spans="2:38" ht="12.75" x14ac:dyDescent="0.2">
      <c r="AC8" s="262"/>
      <c r="AD8" s="137"/>
      <c r="AE8" s="137"/>
      <c r="AF8" s="137"/>
      <c r="AG8" s="137"/>
      <c r="AH8" s="137"/>
      <c r="AI8" s="266"/>
      <c r="AJ8" s="137"/>
      <c r="AK8" s="137"/>
      <c r="AL8" s="137"/>
    </row>
    <row r="10" spans="2:38" ht="12.75" x14ac:dyDescent="0.2">
      <c r="B10" s="84" t="str">
        <f>'CF (Equity, Debt)'!C4</f>
        <v>Jollychic Holding Limited</v>
      </c>
      <c r="C10" s="85">
        <f>'CF (Equity, Debt)'!D4</f>
        <v>43470</v>
      </c>
      <c r="D10" s="93">
        <f>'CF (Equity, Debt)'!E4</f>
        <v>-30</v>
      </c>
      <c r="E10" s="93"/>
      <c r="F10" s="93"/>
      <c r="G10" s="117">
        <f t="shared" ref="G10:G36" si="0">SUM(D10:F10)</f>
        <v>-30</v>
      </c>
      <c r="H10" s="300" t="str">
        <f>IF(D10='CF (Equity, Debt)'!E4," ", "xxx")</f>
        <v xml:space="preserve"> </v>
      </c>
      <c r="J10" s="93">
        <f>D10</f>
        <v>-30</v>
      </c>
      <c r="AI10" s="88">
        <v>55</v>
      </c>
    </row>
    <row r="11" spans="2:38" x14ac:dyDescent="0.2">
      <c r="B11" s="84" t="str">
        <f>'CF (Equity, Debt)'!C5</f>
        <v>Jollychic Holding Limited</v>
      </c>
      <c r="C11" s="85">
        <f>'CF (Equity, Debt)'!D5</f>
        <v>43724</v>
      </c>
      <c r="D11" s="93">
        <f>'CF (Equity, Debt)'!E5</f>
        <v>-20</v>
      </c>
      <c r="E11" s="93"/>
      <c r="F11" s="93"/>
      <c r="G11" s="93">
        <f t="shared" si="0"/>
        <v>-20</v>
      </c>
      <c r="H11" s="300" t="str">
        <f>IF(D11='CF (Equity, Debt)'!E5," ", "xxx")</f>
        <v xml:space="preserve"> </v>
      </c>
      <c r="J11" s="93">
        <f>D11</f>
        <v>-20</v>
      </c>
    </row>
    <row r="12" spans="2:38" ht="12.75" x14ac:dyDescent="0.2">
      <c r="B12" s="84" t="str">
        <f>'CF (Equity, Debt)'!C6</f>
        <v>Jollychic Holding Limited</v>
      </c>
      <c r="C12" s="85">
        <f>'CF (Equity, Debt)'!D6</f>
        <v>43724</v>
      </c>
      <c r="D12" s="93">
        <f>'CF (Equity, Debt)'!E6</f>
        <v>-15</v>
      </c>
      <c r="E12" s="93"/>
      <c r="F12" s="93"/>
      <c r="G12" s="93">
        <f t="shared" si="0"/>
        <v>-15</v>
      </c>
      <c r="H12" s="300" t="str">
        <f>IF(D12='CF (Equity, Debt)'!E6," ", "xxx")</f>
        <v xml:space="preserve"> </v>
      </c>
      <c r="J12" s="93">
        <f>D12</f>
        <v>-15</v>
      </c>
      <c r="AC12" s="86" t="str">
        <f>'Summary | 01 '!C10</f>
        <v>Jollychic Holding Limited</v>
      </c>
      <c r="AD12" s="263">
        <f>'Summary | 01 '!J10</f>
        <v>65</v>
      </c>
      <c r="AE12" s="263">
        <f t="shared" ref="AE12:AE28" ca="1" si="1">-SUMIF($B$7:$F$114,$AC12,$D$7:$D$114)</f>
        <v>65</v>
      </c>
      <c r="AF12" s="263">
        <f ca="1">AD12-AE12</f>
        <v>0</v>
      </c>
      <c r="AG12" s="263">
        <f t="shared" ref="AG12:AG28" ca="1" si="2">SUMIF($B$7:$F$114,$AC12,$E$7:$E$114)</f>
        <v>0</v>
      </c>
      <c r="AH12" s="263">
        <f t="shared" ref="AH12:AH28" ca="1" si="3">SUMIF($B$7:$F$114,$AC12,$F$7:$F$114)</f>
        <v>0</v>
      </c>
      <c r="AI12" s="286" t="str">
        <f t="shared" ref="AI12:AI28" si="4">HLOOKUP(AC12,$J$7:$Z$70,$AI$10,0)</f>
        <v>NM</v>
      </c>
      <c r="AJ12" s="277">
        <f ca="1">(AG12+AH12)/AE12</f>
        <v>0</v>
      </c>
      <c r="AK12" s="277">
        <f ca="1">AH12/AE12</f>
        <v>0</v>
      </c>
      <c r="AL12" s="277">
        <f ca="1">AG12/AE12</f>
        <v>0</v>
      </c>
    </row>
    <row r="13" spans="2:38" ht="12.75" x14ac:dyDescent="0.2">
      <c r="B13" s="86" t="str">
        <f>'CF (Equity, Debt)'!C7</f>
        <v>Mena Mobile Inc</v>
      </c>
      <c r="C13" s="87">
        <f>'CF (Equity, Debt)'!D7</f>
        <v>43563</v>
      </c>
      <c r="D13" s="94">
        <f>'CF (Equity, Debt)'!E7</f>
        <v>-8</v>
      </c>
      <c r="E13" s="94"/>
      <c r="F13" s="94"/>
      <c r="G13" s="94">
        <f t="shared" si="0"/>
        <v>-8</v>
      </c>
      <c r="H13" s="300" t="str">
        <f>IF(D13='CF (Equity, Debt)'!E7," ", "xxx")</f>
        <v xml:space="preserve"> </v>
      </c>
      <c r="K13" s="94">
        <f>D13</f>
        <v>-8</v>
      </c>
      <c r="AC13" s="84" t="str">
        <f>'Summary | 01 '!C11</f>
        <v>Mena Mobile Inc</v>
      </c>
      <c r="AD13" s="263">
        <f>'Summary | 01 '!J11</f>
        <v>8</v>
      </c>
      <c r="AE13" s="263">
        <f t="shared" ca="1" si="1"/>
        <v>8</v>
      </c>
      <c r="AF13" s="263">
        <f t="shared" ref="AF13:AF26" ca="1" si="5">AD13-AE13</f>
        <v>0</v>
      </c>
      <c r="AG13" s="263">
        <f t="shared" ca="1" si="2"/>
        <v>0</v>
      </c>
      <c r="AH13" s="263">
        <f t="shared" ca="1" si="3"/>
        <v>3.1</v>
      </c>
      <c r="AI13" s="286">
        <f t="shared" si="4"/>
        <v>-0.21191685423254969</v>
      </c>
      <c r="AJ13" s="277">
        <f t="shared" ref="AJ13:AJ26" ca="1" si="6">(AG13+AH13)/AE13</f>
        <v>0.38750000000000001</v>
      </c>
      <c r="AK13" s="277">
        <f t="shared" ref="AK13:AK26" ca="1" si="7">AH13/AE13</f>
        <v>0.38750000000000001</v>
      </c>
      <c r="AL13" s="277">
        <f t="shared" ref="AL13:AL26" ca="1" si="8">AG13/AE13</f>
        <v>0</v>
      </c>
    </row>
    <row r="14" spans="2:38" ht="12.75" x14ac:dyDescent="0.2">
      <c r="B14" s="84" t="str">
        <f>'CF (Equity, Debt)'!C8</f>
        <v>Flyr Inc</v>
      </c>
      <c r="C14" s="85">
        <f>'CF (Equity, Debt)'!D8</f>
        <v>43570</v>
      </c>
      <c r="D14" s="93">
        <f>'CF (Equity, Debt)'!E8</f>
        <v>-4.9999980900000001</v>
      </c>
      <c r="E14" s="93"/>
      <c r="F14" s="93"/>
      <c r="G14" s="93">
        <f t="shared" si="0"/>
        <v>-4.9999980900000001</v>
      </c>
      <c r="H14" s="300" t="str">
        <f>IF(D14='CF (Equity, Debt)'!E8," ", "xxx")</f>
        <v xml:space="preserve"> </v>
      </c>
      <c r="L14" s="93">
        <f>D14</f>
        <v>-4.9999980900000001</v>
      </c>
      <c r="AC14" s="86" t="str">
        <f>'Summary | 01 '!C12</f>
        <v>Flyr Inc</v>
      </c>
      <c r="AD14" s="263">
        <f>'Summary | 01 '!J12</f>
        <v>10</v>
      </c>
      <c r="AE14" s="263">
        <f t="shared" ca="1" si="1"/>
        <v>10</v>
      </c>
      <c r="AF14" s="263">
        <f t="shared" ca="1" si="5"/>
        <v>0</v>
      </c>
      <c r="AG14" s="263">
        <f t="shared" ca="1" si="2"/>
        <v>0</v>
      </c>
      <c r="AH14" s="263">
        <f t="shared" ca="1" si="3"/>
        <v>78.082229999999996</v>
      </c>
      <c r="AI14" s="286">
        <f t="shared" si="4"/>
        <v>0.78328729867935198</v>
      </c>
      <c r="AJ14" s="277">
        <f t="shared" ca="1" si="6"/>
        <v>7.8082229999999999</v>
      </c>
      <c r="AK14" s="277">
        <f t="shared" ca="1" si="7"/>
        <v>7.8082229999999999</v>
      </c>
      <c r="AL14" s="277">
        <f t="shared" ca="1" si="8"/>
        <v>0</v>
      </c>
    </row>
    <row r="15" spans="2:38" ht="12.75" x14ac:dyDescent="0.2">
      <c r="B15" s="84" t="str">
        <f>'CF (Equity, Debt)'!C9</f>
        <v>Flyr Inc</v>
      </c>
      <c r="C15" s="85">
        <f>'CF (Equity, Debt)'!D9</f>
        <v>43915</v>
      </c>
      <c r="D15" s="93">
        <f>'CF (Equity, Debt)'!E9</f>
        <v>-5.0000019099999999</v>
      </c>
      <c r="E15" s="93"/>
      <c r="F15" s="93"/>
      <c r="G15" s="93">
        <f t="shared" si="0"/>
        <v>-5.0000019099999999</v>
      </c>
      <c r="H15" s="300" t="str">
        <f>IF(D15='CF (Equity, Debt)'!E9," ", "xxx")</f>
        <v xml:space="preserve"> </v>
      </c>
      <c r="L15" s="93">
        <f>D15</f>
        <v>-5.0000019099999999</v>
      </c>
      <c r="AC15" s="84" t="str">
        <f>'Summary | 01 '!C13</f>
        <v xml:space="preserve">Esyasoft Holding </v>
      </c>
      <c r="AD15" s="263">
        <f>'Summary | 01 '!J13</f>
        <v>2.5</v>
      </c>
      <c r="AE15" s="263">
        <f t="shared" ca="1" si="1"/>
        <v>2.5</v>
      </c>
      <c r="AF15" s="263">
        <f t="shared" ca="1" si="5"/>
        <v>0</v>
      </c>
      <c r="AG15" s="263">
        <f t="shared" ca="1" si="2"/>
        <v>5</v>
      </c>
      <c r="AH15" s="263">
        <f t="shared" ca="1" si="3"/>
        <v>0</v>
      </c>
      <c r="AI15" s="286">
        <f t="shared" si="4"/>
        <v>0.36091765761375438</v>
      </c>
      <c r="AJ15" s="277">
        <f t="shared" ca="1" si="6"/>
        <v>2</v>
      </c>
      <c r="AK15" s="277">
        <f t="shared" ca="1" si="7"/>
        <v>0</v>
      </c>
      <c r="AL15" s="277">
        <f t="shared" ca="1" si="8"/>
        <v>2</v>
      </c>
    </row>
    <row r="16" spans="2:38" ht="12.75" x14ac:dyDescent="0.2">
      <c r="B16" s="86" t="str">
        <f>'CF (Equity, Debt)'!C10</f>
        <v xml:space="preserve">Esyasoft Holding </v>
      </c>
      <c r="C16" s="87">
        <f>'CF (Equity, Debt)'!D10</f>
        <v>43870</v>
      </c>
      <c r="D16" s="94">
        <f>'CF (Equity, Debt)'!E10</f>
        <v>-2.5</v>
      </c>
      <c r="E16" s="94"/>
      <c r="F16" s="94"/>
      <c r="G16" s="94">
        <f t="shared" si="0"/>
        <v>-2.5</v>
      </c>
      <c r="H16" s="300" t="str">
        <f>IF(D16='CF (Equity, Debt)'!E10," ", "xxx")</f>
        <v xml:space="preserve"> </v>
      </c>
      <c r="M16" s="94">
        <f>D16</f>
        <v>-2.5</v>
      </c>
      <c r="AC16" s="86" t="str">
        <f>'Summary | 01 '!C14</f>
        <v>Beyond Limits</v>
      </c>
      <c r="AD16" s="263">
        <f>'Summary | 01 '!J14</f>
        <v>90</v>
      </c>
      <c r="AE16" s="263">
        <f t="shared" ca="1" si="1"/>
        <v>90</v>
      </c>
      <c r="AF16" s="263">
        <f t="shared" ca="1" si="5"/>
        <v>0</v>
      </c>
      <c r="AG16" s="263">
        <f t="shared" ca="1" si="2"/>
        <v>0</v>
      </c>
      <c r="AH16" s="263">
        <f t="shared" ca="1" si="3"/>
        <v>91.001540300000002</v>
      </c>
      <c r="AI16" s="286">
        <f t="shared" si="4"/>
        <v>3.8127034902572634E-3</v>
      </c>
      <c r="AJ16" s="277">
        <f t="shared" ca="1" si="6"/>
        <v>1.0111282255555556</v>
      </c>
      <c r="AK16" s="277">
        <f t="shared" ca="1" si="7"/>
        <v>1.0111282255555556</v>
      </c>
      <c r="AL16" s="277">
        <f t="shared" ca="1" si="8"/>
        <v>0</v>
      </c>
    </row>
    <row r="17" spans="2:38" ht="12.75" x14ac:dyDescent="0.2">
      <c r="B17" s="84" t="str">
        <f>'CF (Equity, Debt)'!C11</f>
        <v>Beyond Limits</v>
      </c>
      <c r="C17" s="85">
        <f>'CF (Equity, Debt)'!D11</f>
        <v>43879</v>
      </c>
      <c r="D17" s="93">
        <f>'CF (Equity, Debt)'!E11</f>
        <v>-20</v>
      </c>
      <c r="E17" s="93"/>
      <c r="F17" s="93"/>
      <c r="G17" s="93">
        <f t="shared" si="0"/>
        <v>-20</v>
      </c>
      <c r="H17" s="300" t="str">
        <f>IF(D17='CF (Equity, Debt)'!E11," ", "xxx")</f>
        <v xml:space="preserve"> </v>
      </c>
      <c r="N17" s="93">
        <f>D17</f>
        <v>-20</v>
      </c>
      <c r="AC17" s="84" t="str">
        <f>'Summary | 01 '!C15</f>
        <v>ONT plc</v>
      </c>
      <c r="AD17" s="263">
        <f>'Summary | 01 '!J15</f>
        <v>141.4702596743665</v>
      </c>
      <c r="AE17" s="263">
        <f t="shared" ca="1" si="1"/>
        <v>141.4702596743665</v>
      </c>
      <c r="AF17" s="263">
        <f t="shared" ca="1" si="5"/>
        <v>0</v>
      </c>
      <c r="AG17" s="263">
        <f t="shared" ca="1" si="2"/>
        <v>0</v>
      </c>
      <c r="AH17" s="263">
        <f t="shared" ca="1" si="3"/>
        <v>122.38018713359999</v>
      </c>
      <c r="AI17" s="286">
        <f t="shared" si="4"/>
        <v>-5.0375112891197213E-2</v>
      </c>
      <c r="AJ17" s="277">
        <f t="shared" ca="1" si="6"/>
        <v>0.86505946490302854</v>
      </c>
      <c r="AK17" s="277">
        <f t="shared" ca="1" si="7"/>
        <v>0.86505946490302854</v>
      </c>
      <c r="AL17" s="277">
        <f t="shared" ca="1" si="8"/>
        <v>0</v>
      </c>
    </row>
    <row r="18" spans="2:38" ht="12.75" x14ac:dyDescent="0.2">
      <c r="B18" s="84" t="str">
        <f>'CF (Equity, Debt)'!C12</f>
        <v>Beyond Limits</v>
      </c>
      <c r="C18" s="85">
        <f>'CF (Equity, Debt)'!D12</f>
        <v>43921</v>
      </c>
      <c r="D18" s="93">
        <f>'CF (Equity, Debt)'!E12</f>
        <v>-30</v>
      </c>
      <c r="E18" s="93"/>
      <c r="F18" s="93"/>
      <c r="G18" s="93">
        <f t="shared" si="0"/>
        <v>-30</v>
      </c>
      <c r="H18" s="300" t="str">
        <f>IF(D18='CF (Equity, Debt)'!E12," ", "xxx")</f>
        <v xml:space="preserve"> </v>
      </c>
      <c r="N18" s="93">
        <f>D18</f>
        <v>-30</v>
      </c>
      <c r="AC18" s="86" t="str">
        <f>'Summary | 01 '!C16</f>
        <v>Heygears</v>
      </c>
      <c r="AD18" s="263">
        <f>'Summary | 01 '!J16</f>
        <v>60</v>
      </c>
      <c r="AE18" s="263">
        <f t="shared" ca="1" si="1"/>
        <v>60</v>
      </c>
      <c r="AF18" s="263">
        <f t="shared" ca="1" si="5"/>
        <v>0</v>
      </c>
      <c r="AG18" s="263">
        <f t="shared" ca="1" si="2"/>
        <v>0</v>
      </c>
      <c r="AH18" s="263">
        <f t="shared" ca="1" si="3"/>
        <v>119.24980363636364</v>
      </c>
      <c r="AI18" s="286">
        <f t="shared" si="4"/>
        <v>0.3430626928806304</v>
      </c>
      <c r="AJ18" s="277">
        <f t="shared" ca="1" si="6"/>
        <v>1.9874967272727273</v>
      </c>
      <c r="AK18" s="277">
        <f t="shared" ca="1" si="7"/>
        <v>1.9874967272727273</v>
      </c>
      <c r="AL18" s="277">
        <f t="shared" ca="1" si="8"/>
        <v>0</v>
      </c>
    </row>
    <row r="19" spans="2:38" ht="12.75" x14ac:dyDescent="0.2">
      <c r="B19" s="84" t="str">
        <f>'CF (Equity, Debt)'!C13</f>
        <v>Beyond Limits</v>
      </c>
      <c r="C19" s="85">
        <f>'CF (Equity, Debt)'!D13</f>
        <v>43989</v>
      </c>
      <c r="D19" s="93">
        <f>'CF (Equity, Debt)'!E13</f>
        <v>-30</v>
      </c>
      <c r="E19" s="93"/>
      <c r="F19" s="93"/>
      <c r="G19" s="93">
        <f t="shared" si="0"/>
        <v>-30</v>
      </c>
      <c r="H19" s="300" t="str">
        <f>IF(D19='CF (Equity, Debt)'!E13," ", "xxx")</f>
        <v xml:space="preserve"> </v>
      </c>
      <c r="N19" s="93">
        <f>D19</f>
        <v>-30</v>
      </c>
      <c r="AC19" s="84" t="str">
        <f>'Summary | 01 '!C17</f>
        <v>Jysan Technologies</v>
      </c>
      <c r="AD19" s="263">
        <f>'Summary | 01 '!J17</f>
        <v>20</v>
      </c>
      <c r="AE19" s="263">
        <f t="shared" ca="1" si="1"/>
        <v>20</v>
      </c>
      <c r="AF19" s="263">
        <f t="shared" ca="1" si="5"/>
        <v>0</v>
      </c>
      <c r="AG19" s="263">
        <f t="shared" ca="1" si="2"/>
        <v>0</v>
      </c>
      <c r="AH19" s="263">
        <f t="shared" ca="1" si="3"/>
        <v>20</v>
      </c>
      <c r="AI19" s="286">
        <f t="shared" si="4"/>
        <v>2.9802322387695314E-9</v>
      </c>
      <c r="AJ19" s="277">
        <f t="shared" ca="1" si="6"/>
        <v>1</v>
      </c>
      <c r="AK19" s="277">
        <f t="shared" ca="1" si="7"/>
        <v>1</v>
      </c>
      <c r="AL19" s="277">
        <f t="shared" ca="1" si="8"/>
        <v>0</v>
      </c>
    </row>
    <row r="20" spans="2:38" ht="12.75" x14ac:dyDescent="0.2">
      <c r="B20" s="84" t="str">
        <f>'CF (Equity, Debt)'!C14</f>
        <v>Beyond Limits</v>
      </c>
      <c r="C20" s="85">
        <f>'CF (Equity, Debt)'!D14</f>
        <v>44103</v>
      </c>
      <c r="D20" s="93">
        <f>'CF (Equity, Debt)'!E14</f>
        <v>-10</v>
      </c>
      <c r="E20" s="93"/>
      <c r="F20" s="93"/>
      <c r="G20" s="93">
        <f t="shared" si="0"/>
        <v>-10</v>
      </c>
      <c r="H20" s="300" t="str">
        <f>IF(D20='CF (Equity, Debt)'!E14," ", "xxx")</f>
        <v xml:space="preserve"> </v>
      </c>
      <c r="N20" s="93">
        <f>D20</f>
        <v>-10</v>
      </c>
      <c r="AC20" s="86" t="str">
        <f>'Summary | 01 '!C18</f>
        <v>Cerebras Systems Inc</v>
      </c>
      <c r="AD20" s="263">
        <f>'Summary | 01 '!J18</f>
        <v>40</v>
      </c>
      <c r="AE20" s="263">
        <f t="shared" ca="1" si="1"/>
        <v>39.999983359999995</v>
      </c>
      <c r="AF20" s="263">
        <f t="shared" ca="1" si="5"/>
        <v>1.6640000005452293E-5</v>
      </c>
      <c r="AG20" s="263">
        <f t="shared" ca="1" si="2"/>
        <v>0</v>
      </c>
      <c r="AH20" s="263">
        <f t="shared" ca="1" si="3"/>
        <v>39.999983359999995</v>
      </c>
      <c r="AI20" s="286">
        <f t="shared" si="4"/>
        <v>2.9802322387695314E-9</v>
      </c>
      <c r="AJ20" s="277">
        <f t="shared" ca="1" si="6"/>
        <v>1</v>
      </c>
      <c r="AK20" s="277">
        <f t="shared" ca="1" si="7"/>
        <v>1</v>
      </c>
      <c r="AL20" s="277">
        <f t="shared" ca="1" si="8"/>
        <v>0</v>
      </c>
    </row>
    <row r="21" spans="2:38" ht="12.75" x14ac:dyDescent="0.2">
      <c r="B21" s="86" t="str">
        <f>'CF (Equity, Debt)'!C15</f>
        <v>ONT plc</v>
      </c>
      <c r="C21" s="87">
        <f>'CF (Equity, Debt)'!D15</f>
        <v>43968</v>
      </c>
      <c r="D21" s="94">
        <f>'CF (Equity, Debt)'!E15</f>
        <v>-50</v>
      </c>
      <c r="E21" s="94"/>
      <c r="F21" s="94"/>
      <c r="G21" s="94">
        <f t="shared" si="0"/>
        <v>-50</v>
      </c>
      <c r="H21" s="300" t="str">
        <f>IF(D21='CF (Equity, Debt)'!E15," ", "xxx")</f>
        <v xml:space="preserve"> </v>
      </c>
      <c r="O21" s="94">
        <f>D21</f>
        <v>-50</v>
      </c>
      <c r="AC21" s="84" t="str">
        <f>'Summary | 01 '!C19</f>
        <v>Endless Studios LLC</v>
      </c>
      <c r="AD21" s="263">
        <f>'Summary | 01 '!J19</f>
        <v>3</v>
      </c>
      <c r="AE21" s="263">
        <f t="shared" ca="1" si="1"/>
        <v>3</v>
      </c>
      <c r="AF21" s="263">
        <f t="shared" ca="1" si="5"/>
        <v>0</v>
      </c>
      <c r="AG21" s="263">
        <f t="shared" ca="1" si="2"/>
        <v>0</v>
      </c>
      <c r="AH21" s="263">
        <f t="shared" ca="1" si="3"/>
        <v>3</v>
      </c>
      <c r="AI21" s="286">
        <f t="shared" si="4"/>
        <v>2.9802322387695314E-9</v>
      </c>
      <c r="AJ21" s="277">
        <f t="shared" ca="1" si="6"/>
        <v>1</v>
      </c>
      <c r="AK21" s="277">
        <f t="shared" ca="1" si="7"/>
        <v>1</v>
      </c>
      <c r="AL21" s="277">
        <f t="shared" ca="1" si="8"/>
        <v>0</v>
      </c>
    </row>
    <row r="22" spans="2:38" ht="12.75" x14ac:dyDescent="0.2">
      <c r="B22" s="86" t="str">
        <f>'CF (Equity, Debt)'!C16</f>
        <v>ONT plc</v>
      </c>
      <c r="C22" s="87">
        <f>'CF (Equity, Debt)'!D16</f>
        <v>44006</v>
      </c>
      <c r="D22" s="94">
        <f>'CF (Equity, Debt)'!E16</f>
        <v>-27.268350856443721</v>
      </c>
      <c r="E22" s="94"/>
      <c r="F22" s="94"/>
      <c r="G22" s="94">
        <f t="shared" si="0"/>
        <v>-27.268350856443721</v>
      </c>
      <c r="H22" s="300" t="str">
        <f>IF(D22='CF (Equity, Debt)'!E16," ", "xxx")</f>
        <v xml:space="preserve"> </v>
      </c>
      <c r="O22" s="94">
        <f>D22</f>
        <v>-27.268350856443721</v>
      </c>
      <c r="AC22" s="86" t="str">
        <f>'Summary | 01 '!C20</f>
        <v>Instadeep Limited</v>
      </c>
      <c r="AD22" s="263">
        <f>'Summary | 01 '!J20</f>
        <v>5.0278211945578235</v>
      </c>
      <c r="AE22" s="263">
        <f t="shared" ca="1" si="1"/>
        <v>5.0237201984774336</v>
      </c>
      <c r="AF22" s="263">
        <f t="shared" ca="1" si="5"/>
        <v>4.1009960803899403E-3</v>
      </c>
      <c r="AG22" s="263">
        <f t="shared" ca="1" si="2"/>
        <v>0</v>
      </c>
      <c r="AH22" s="263">
        <f t="shared" ca="1" si="3"/>
        <v>5.0237201984774336</v>
      </c>
      <c r="AI22" s="286">
        <f t="shared" si="4"/>
        <v>2.9802322387695314E-9</v>
      </c>
      <c r="AJ22" s="277">
        <f t="shared" ca="1" si="6"/>
        <v>1</v>
      </c>
      <c r="AK22" s="277">
        <f t="shared" ca="1" si="7"/>
        <v>1</v>
      </c>
      <c r="AL22" s="277">
        <f t="shared" ca="1" si="8"/>
        <v>0</v>
      </c>
    </row>
    <row r="23" spans="2:38" ht="12.75" x14ac:dyDescent="0.2">
      <c r="B23" s="86" t="str">
        <f>'CF (Equity, Debt)'!C17</f>
        <v>ONT plc</v>
      </c>
      <c r="C23" s="87">
        <f>'CF (Equity, Debt)'!D17</f>
        <v>43837</v>
      </c>
      <c r="D23" s="94">
        <f>'CF (Equity, Debt)'!E17</f>
        <v>-18.109441299619355</v>
      </c>
      <c r="E23" s="94"/>
      <c r="F23" s="94"/>
      <c r="G23" s="94">
        <f t="shared" si="0"/>
        <v>-18.109441299619355</v>
      </c>
      <c r="H23" s="300" t="str">
        <f>IF(D23='CF (Equity, Debt)'!E17," ", "xxx")</f>
        <v xml:space="preserve"> </v>
      </c>
      <c r="O23" s="94">
        <f>D23</f>
        <v>-18.109441299619355</v>
      </c>
      <c r="AC23" s="84" t="str">
        <f>'Summary | 01 '!C21</f>
        <v>X-fusion</v>
      </c>
      <c r="AD23" s="263">
        <f>'Summary | 01 '!J21</f>
        <v>493.5</v>
      </c>
      <c r="AE23" s="263">
        <f t="shared" ca="1" si="1"/>
        <v>493.50095619999996</v>
      </c>
      <c r="AF23" s="263">
        <f t="shared" ca="1" si="5"/>
        <v>-9.5619999996188199E-4</v>
      </c>
      <c r="AG23" s="263">
        <f t="shared" ca="1" si="2"/>
        <v>0</v>
      </c>
      <c r="AH23" s="263">
        <f t="shared" ca="1" si="3"/>
        <v>424.06661818181823</v>
      </c>
      <c r="AI23" s="286" t="str">
        <f t="shared" si="4"/>
        <v>NM</v>
      </c>
      <c r="AJ23" s="277">
        <f t="shared" ca="1" si="6"/>
        <v>0.85930252586979339</v>
      </c>
      <c r="AK23" s="277">
        <f t="shared" ca="1" si="7"/>
        <v>0.85930252586979339</v>
      </c>
      <c r="AL23" s="277">
        <f t="shared" ca="1" si="8"/>
        <v>0</v>
      </c>
    </row>
    <row r="24" spans="2:38" ht="12.75" x14ac:dyDescent="0.2">
      <c r="B24" s="86" t="str">
        <f>'CF (Equity, Debt)'!C18</f>
        <v>ONT plc</v>
      </c>
      <c r="C24" s="87">
        <f>'CF (Equity, Debt)'!D18</f>
        <v>43990</v>
      </c>
      <c r="D24" s="94">
        <f>'CF (Equity, Debt)'!E18</f>
        <v>-34.851687094159864</v>
      </c>
      <c r="E24" s="94"/>
      <c r="F24" s="94"/>
      <c r="G24" s="94">
        <f t="shared" si="0"/>
        <v>-34.851687094159864</v>
      </c>
      <c r="H24" s="300" t="str">
        <f>IF(D24='CF (Equity, Debt)'!E18," ", "xxx")</f>
        <v xml:space="preserve"> </v>
      </c>
      <c r="O24" s="94">
        <f>D24</f>
        <v>-34.851687094159864</v>
      </c>
      <c r="AC24" s="86" t="str">
        <f>'Summary | 01 '!C22</f>
        <v>DriveNets</v>
      </c>
      <c r="AD24" s="263">
        <f>'Summary | 01 '!J22</f>
        <v>300</v>
      </c>
      <c r="AE24" s="263">
        <f t="shared" ca="1" si="1"/>
        <v>300</v>
      </c>
      <c r="AF24" s="263">
        <f t="shared" ca="1" si="5"/>
        <v>0</v>
      </c>
      <c r="AG24" s="263">
        <f t="shared" ca="1" si="2"/>
        <v>0</v>
      </c>
      <c r="AH24" s="263">
        <f t="shared" ca="1" si="3"/>
        <v>300</v>
      </c>
      <c r="AI24" s="286" t="str">
        <f t="shared" si="4"/>
        <v>NM</v>
      </c>
      <c r="AJ24" s="277">
        <f t="shared" ca="1" si="6"/>
        <v>1</v>
      </c>
      <c r="AK24" s="277">
        <f t="shared" ca="1" si="7"/>
        <v>1</v>
      </c>
      <c r="AL24" s="277">
        <f t="shared" ca="1" si="8"/>
        <v>0</v>
      </c>
    </row>
    <row r="25" spans="2:38" ht="12.75" x14ac:dyDescent="0.2">
      <c r="B25" s="86" t="str">
        <f>'CF (Equity, Debt)'!C19</f>
        <v>ONT plc</v>
      </c>
      <c r="C25" s="87">
        <f>'CF (Equity, Debt)'!D19</f>
        <v>44315</v>
      </c>
      <c r="D25" s="94">
        <f>'CF (Equity, Debt)'!E19</f>
        <v>-11.240780424143557</v>
      </c>
      <c r="E25" s="94"/>
      <c r="F25" s="94"/>
      <c r="G25" s="94">
        <f t="shared" si="0"/>
        <v>-11.240780424143557</v>
      </c>
      <c r="H25" s="300" t="str">
        <f>IF(D25='CF (Equity, Debt)'!E19," ", "xxx")</f>
        <v xml:space="preserve"> </v>
      </c>
      <c r="O25" s="94">
        <f>D25</f>
        <v>-11.240780424143557</v>
      </c>
      <c r="AC25" s="84" t="str">
        <f>'Summary | 01 '!C23</f>
        <v>vTv Therapeutics Inc.</v>
      </c>
      <c r="AD25" s="263">
        <f ca="1">'Summary | 01 '!J23</f>
        <v>24.53125</v>
      </c>
      <c r="AE25" s="263">
        <f t="shared" ca="1" si="1"/>
        <v>24.53125</v>
      </c>
      <c r="AF25" s="263">
        <f t="shared" ca="1" si="5"/>
        <v>0</v>
      </c>
      <c r="AG25" s="263">
        <f t="shared" ca="1" si="2"/>
        <v>0</v>
      </c>
      <c r="AH25" s="263">
        <f t="shared" ca="1" si="3"/>
        <v>8.3900321371999986</v>
      </c>
      <c r="AI25" s="286" t="str">
        <f t="shared" si="4"/>
        <v>NM</v>
      </c>
      <c r="AJ25" s="277">
        <f t="shared" ca="1" si="6"/>
        <v>0.34201404890496812</v>
      </c>
      <c r="AK25" s="277">
        <f t="shared" ca="1" si="7"/>
        <v>0.34201404890496812</v>
      </c>
      <c r="AL25" s="277">
        <f t="shared" ca="1" si="8"/>
        <v>0</v>
      </c>
    </row>
    <row r="26" spans="2:38" ht="12.75" x14ac:dyDescent="0.2">
      <c r="B26" s="84" t="str">
        <f>'CF (Equity, Debt)'!C20</f>
        <v>Heygears</v>
      </c>
      <c r="C26" s="85">
        <f>'CF (Equity, Debt)'!D20</f>
        <v>44166</v>
      </c>
      <c r="D26" s="93">
        <f>'CF (Equity, Debt)'!E20</f>
        <v>-60</v>
      </c>
      <c r="E26" s="93"/>
      <c r="F26" s="93"/>
      <c r="G26" s="93">
        <f t="shared" si="0"/>
        <v>-60</v>
      </c>
      <c r="H26" s="300" t="str">
        <f>IF(D26='CF (Equity, Debt)'!E20," ", "xxx")</f>
        <v xml:space="preserve"> </v>
      </c>
      <c r="P26" s="93">
        <f>D26</f>
        <v>-60</v>
      </c>
      <c r="AC26" s="86" t="str">
        <f>'Summary | 01 '!C24</f>
        <v>Honor Device Co Ltd</v>
      </c>
      <c r="AD26" s="263">
        <f ca="1">'Summary | 01 '!J24</f>
        <v>800</v>
      </c>
      <c r="AE26" s="263">
        <f t="shared" ca="1" si="1"/>
        <v>800</v>
      </c>
      <c r="AF26" s="263">
        <f t="shared" ca="1" si="5"/>
        <v>0</v>
      </c>
      <c r="AG26" s="263">
        <f t="shared" ca="1" si="2"/>
        <v>0</v>
      </c>
      <c r="AH26" s="263">
        <f t="shared" ca="1" si="3"/>
        <v>848.76998981818178</v>
      </c>
      <c r="AI26" s="286" t="str">
        <f t="shared" si="4"/>
        <v>NM</v>
      </c>
      <c r="AJ26" s="277">
        <f t="shared" ca="1" si="6"/>
        <v>1.0609624872727272</v>
      </c>
      <c r="AK26" s="277">
        <f t="shared" ca="1" si="7"/>
        <v>1.0609624872727272</v>
      </c>
      <c r="AL26" s="277">
        <f t="shared" ca="1" si="8"/>
        <v>0</v>
      </c>
    </row>
    <row r="27" spans="2:38" ht="12.75" x14ac:dyDescent="0.2">
      <c r="B27" s="86" t="str">
        <f>'CF (Equity, Debt)'!C21</f>
        <v>Jysan Technologies</v>
      </c>
      <c r="C27" s="87">
        <f>'CF (Equity, Debt)'!D21</f>
        <v>44363</v>
      </c>
      <c r="D27" s="94">
        <f>'CF (Equity, Debt)'!E21</f>
        <v>-20</v>
      </c>
      <c r="E27" s="94"/>
      <c r="F27" s="94"/>
      <c r="G27" s="94">
        <f t="shared" si="0"/>
        <v>-20</v>
      </c>
      <c r="H27" s="300" t="str">
        <f>IF(D27='CF (Equity, Debt)'!E21," ", "xxx")</f>
        <v xml:space="preserve"> </v>
      </c>
      <c r="Q27" s="94">
        <f>D27</f>
        <v>-20</v>
      </c>
      <c r="AC27" s="84" t="str">
        <f>'Summary | 01 '!C25</f>
        <v>Applied AI Corporation Limited</v>
      </c>
      <c r="AD27" s="263">
        <f>'Summary | 01 '!J25</f>
        <v>15</v>
      </c>
      <c r="AE27" s="263">
        <f t="shared" ca="1" si="1"/>
        <v>4.75</v>
      </c>
      <c r="AF27" s="263">
        <f t="shared" ref="AF27" ca="1" si="9">AD27-AE27</f>
        <v>10.25</v>
      </c>
      <c r="AG27" s="263">
        <f t="shared" ca="1" si="2"/>
        <v>0</v>
      </c>
      <c r="AH27" s="263">
        <f t="shared" ca="1" si="3"/>
        <v>4.75</v>
      </c>
      <c r="AI27" s="286" t="str">
        <f t="shared" si="4"/>
        <v>NM</v>
      </c>
      <c r="AJ27" s="277">
        <f t="shared" ref="AJ27" ca="1" si="10">(AG27+AH27)/AE27</f>
        <v>1</v>
      </c>
      <c r="AK27" s="277">
        <f t="shared" ref="AK27" ca="1" si="11">AH27/AE27</f>
        <v>1</v>
      </c>
      <c r="AL27" s="277">
        <f t="shared" ref="AL27" ca="1" si="12">AG27/AE27</f>
        <v>0</v>
      </c>
    </row>
    <row r="28" spans="2:38" ht="12.75" x14ac:dyDescent="0.2">
      <c r="B28" s="84" t="str">
        <f>'CF (Equity, Debt)'!C22</f>
        <v>Cerebras Systems Inc</v>
      </c>
      <c r="C28" s="85">
        <f>'CF (Equity, Debt)'!D22</f>
        <v>44488</v>
      </c>
      <c r="D28" s="93">
        <f>'CF (Equity, Debt)'!E22</f>
        <v>-39.999983359999995</v>
      </c>
      <c r="E28" s="93"/>
      <c r="F28" s="93"/>
      <c r="G28" s="93">
        <f t="shared" si="0"/>
        <v>-39.999983359999995</v>
      </c>
      <c r="H28" s="300" t="str">
        <f>IF(D28='CF (Equity, Debt)'!E22," ", "xxx")</f>
        <v xml:space="preserve"> </v>
      </c>
      <c r="R28" s="93">
        <f>D28</f>
        <v>-39.999983359999995</v>
      </c>
      <c r="AC28" s="86" t="str">
        <f>'Summary | 01 '!C26</f>
        <v xml:space="preserve">eSpace </v>
      </c>
      <c r="AD28" s="263">
        <f>'Summary | 01 '!J26</f>
        <v>15</v>
      </c>
      <c r="AE28" s="263">
        <f t="shared" ca="1" si="1"/>
        <v>15</v>
      </c>
      <c r="AF28" s="263">
        <f t="shared" ref="AF28" ca="1" si="13">AD28-AE28</f>
        <v>0</v>
      </c>
      <c r="AG28" s="263">
        <f t="shared" ca="1" si="2"/>
        <v>0</v>
      </c>
      <c r="AH28" s="263">
        <f t="shared" ca="1" si="3"/>
        <v>15</v>
      </c>
      <c r="AI28" s="286" t="str">
        <f t="shared" si="4"/>
        <v>NM</v>
      </c>
      <c r="AJ28" s="277">
        <f t="shared" ref="AJ28" ca="1" si="14">(AG28+AH28)/AE28</f>
        <v>1</v>
      </c>
      <c r="AK28" s="277">
        <f t="shared" ref="AK28" ca="1" si="15">AH28/AE28</f>
        <v>1</v>
      </c>
      <c r="AL28" s="277">
        <f t="shared" ref="AL28" ca="1" si="16">AG28/AE28</f>
        <v>0</v>
      </c>
    </row>
    <row r="29" spans="2:38" ht="12.75" x14ac:dyDescent="0.2">
      <c r="B29" s="86" t="str">
        <f>'CF (Equity, Debt)'!C23</f>
        <v>Endless Studios LLC</v>
      </c>
      <c r="C29" s="87">
        <f>'CF (Equity, Debt)'!D23</f>
        <v>44494</v>
      </c>
      <c r="D29" s="94">
        <f>'CF (Equity, Debt)'!E23</f>
        <v>-3</v>
      </c>
      <c r="E29" s="94"/>
      <c r="F29" s="94"/>
      <c r="G29" s="94">
        <f t="shared" si="0"/>
        <v>-3</v>
      </c>
      <c r="H29" s="300" t="str">
        <f>IF(D29='CF (Equity, Debt)'!E23," ", "xxx")</f>
        <v xml:space="preserve"> </v>
      </c>
      <c r="S29" s="94">
        <f>D29</f>
        <v>-3</v>
      </c>
      <c r="AC29" s="274"/>
      <c r="AD29" s="276">
        <f ca="1">SUM(AD12:AD28)</f>
        <v>2093.0293308689243</v>
      </c>
      <c r="AE29" s="276">
        <f t="shared" ref="AE29:AH29" ca="1" si="17">SUM(AE12:AE28)</f>
        <v>2082.7761694328437</v>
      </c>
      <c r="AF29" s="276">
        <f t="shared" ca="1" si="17"/>
        <v>10.253161436080433</v>
      </c>
      <c r="AG29" s="276">
        <f t="shared" ca="1" si="17"/>
        <v>5</v>
      </c>
      <c r="AH29" s="276">
        <f t="shared" ca="1" si="17"/>
        <v>2082.8141047656409</v>
      </c>
      <c r="AI29" s="287">
        <f>AD35</f>
        <v>1.9109696149826048E-3</v>
      </c>
      <c r="AJ29" s="278">
        <f ca="1">(AG29+AH29)/AE29</f>
        <v>1.0024188558553409</v>
      </c>
      <c r="AK29" s="278">
        <f ca="1">AH29/AE29</f>
        <v>1.0000182138308253</v>
      </c>
      <c r="AL29" s="278">
        <f ca="1">AG29/AE29</f>
        <v>2.4006420245155482E-3</v>
      </c>
    </row>
    <row r="30" spans="2:38" x14ac:dyDescent="0.2">
      <c r="B30" s="84" t="str">
        <f>'CF (Equity, Debt)'!C24</f>
        <v>Instadeep Limited</v>
      </c>
      <c r="C30" s="85">
        <f>'CF (Equity, Debt)'!D24</f>
        <v>44550</v>
      </c>
      <c r="D30" s="93">
        <f>'CF (Equity, Debt)'!E24</f>
        <v>-5.0237201984774336</v>
      </c>
      <c r="E30" s="93"/>
      <c r="F30" s="93"/>
      <c r="G30" s="93">
        <f t="shared" si="0"/>
        <v>-5.0237201984774336</v>
      </c>
      <c r="H30" s="300" t="str">
        <f>IF(D30='CF (Equity, Debt)'!E24," ", "xxx")</f>
        <v xml:space="preserve"> </v>
      </c>
      <c r="T30" s="93">
        <f>D30</f>
        <v>-5.0237201984774336</v>
      </c>
      <c r="AD30" s="83" t="b">
        <f ca="1">ROUND('Summary | 01 '!J27,2)=ROUND(AD29,2)</f>
        <v>1</v>
      </c>
      <c r="AE30" s="83" t="b">
        <f ca="1">ROUND('Summary | 01 '!K27,2)=ROUND(AE29,2)</f>
        <v>1</v>
      </c>
      <c r="AF30" s="83" t="b">
        <f ca="1">ROUND('Summary | 01 '!L27,2)=ROUND(AF29,2)</f>
        <v>1</v>
      </c>
      <c r="AG30" s="83" t="b">
        <f ca="1">ROUND('Summary | 01 '!M27,2)=ROUND(AG29,2)</f>
        <v>1</v>
      </c>
      <c r="AH30" s="83" t="b">
        <f ca="1">ROUND('Summary | 01 '!N27,2)=ROUND(AH29,2)</f>
        <v>1</v>
      </c>
      <c r="AI30" s="83" t="b">
        <f>ROUND('Summary | 01 '!Q27,2)=ROUND(AI29,2)</f>
        <v>1</v>
      </c>
      <c r="AJ30" s="83" t="b">
        <f ca="1">ROUND('Summary | 01 '!P27,2)=ROUND(AJ29,2)</f>
        <v>1</v>
      </c>
    </row>
    <row r="31" spans="2:38" x14ac:dyDescent="0.2">
      <c r="B31" s="86" t="str">
        <f>'CF (Equity, Debt)'!C25</f>
        <v>X-fusion</v>
      </c>
      <c r="C31" s="87">
        <f>'CF (Equity, Debt)'!D25</f>
        <v>44574</v>
      </c>
      <c r="D31" s="94">
        <f>'CF (Equity, Debt)'!E25</f>
        <v>-493.50095619999996</v>
      </c>
      <c r="E31" s="94"/>
      <c r="F31" s="94"/>
      <c r="G31" s="94">
        <f t="shared" si="0"/>
        <v>-493.50095619999996</v>
      </c>
      <c r="H31" s="300" t="str">
        <f>IF(D31='CF (Equity, Debt)'!E25," ", "xxx")</f>
        <v xml:space="preserve"> </v>
      </c>
      <c r="U31" s="94">
        <f>D31</f>
        <v>-493.50095619999996</v>
      </c>
    </row>
    <row r="32" spans="2:38" x14ac:dyDescent="0.2">
      <c r="B32" s="84" t="str">
        <f>'CF (Equity, Debt)'!C26</f>
        <v>DriveNets</v>
      </c>
      <c r="C32" s="85">
        <f>'CF (Equity, Debt)'!D26</f>
        <v>44643</v>
      </c>
      <c r="D32" s="93">
        <f>'CF (Equity, Debt)'!E26</f>
        <v>-200</v>
      </c>
      <c r="E32" s="93"/>
      <c r="F32" s="93"/>
      <c r="G32" s="93">
        <f t="shared" si="0"/>
        <v>-200</v>
      </c>
      <c r="H32" s="300" t="str">
        <f>IF(D32='CF (Equity, Debt)'!E26," ", "xxx")</f>
        <v xml:space="preserve"> </v>
      </c>
      <c r="V32" s="93">
        <f>D32</f>
        <v>-200</v>
      </c>
    </row>
    <row r="33" spans="2:32" x14ac:dyDescent="0.2">
      <c r="B33" s="84" t="str">
        <f>'CF (Equity, Debt)'!C27</f>
        <v>DriveNets</v>
      </c>
      <c r="C33" s="85">
        <f>'CF (Equity, Debt)'!D27</f>
        <v>44680</v>
      </c>
      <c r="D33" s="93">
        <f>'CF (Equity, Debt)'!E27</f>
        <v>-100</v>
      </c>
      <c r="E33" s="93"/>
      <c r="F33" s="93"/>
      <c r="G33" s="93">
        <f t="shared" si="0"/>
        <v>-100</v>
      </c>
      <c r="H33" s="300" t="str">
        <f>IF(D33='CF (Equity, Debt)'!E27," ", "xxx")</f>
        <v xml:space="preserve"> </v>
      </c>
      <c r="V33" s="93">
        <f>D33</f>
        <v>-100</v>
      </c>
    </row>
    <row r="34" spans="2:32" ht="12.75" x14ac:dyDescent="0.2">
      <c r="B34" s="86" t="str">
        <f>'CF (Equity, Debt)'!C28</f>
        <v xml:space="preserve">Esyasoft Holding </v>
      </c>
      <c r="C34" s="87">
        <f>'CF (Equity, Debt)'!D28</f>
        <v>44691</v>
      </c>
      <c r="D34" s="94">
        <f>'CF (Equity, Debt)'!E28</f>
        <v>0</v>
      </c>
      <c r="E34" s="94">
        <f>'CF (Equity, Debt)'!F28</f>
        <v>5</v>
      </c>
      <c r="F34" s="94"/>
      <c r="G34" s="94">
        <f t="shared" si="0"/>
        <v>5</v>
      </c>
      <c r="H34" s="300" t="str">
        <f>IF(D34='CF (Equity, Debt)'!E28," ", "xxx")</f>
        <v xml:space="preserve"> </v>
      </c>
      <c r="M34" s="99">
        <f>E34</f>
        <v>5</v>
      </c>
      <c r="AC34" s="137"/>
      <c r="AD34" s="137"/>
      <c r="AE34" s="137"/>
    </row>
    <row r="35" spans="2:32" ht="12.75" x14ac:dyDescent="0.2">
      <c r="B35" s="86" t="str">
        <f>'CF (Equity, Debt)'!C29</f>
        <v>vTv Therapeutics Inc.</v>
      </c>
      <c r="C35" s="87">
        <f>'CF (Equity, Debt)'!D29</f>
        <v>44712</v>
      </c>
      <c r="D35" s="94">
        <f>'CF (Equity, Debt)'!E29</f>
        <v>-12.5</v>
      </c>
      <c r="E35" s="94"/>
      <c r="F35" s="94"/>
      <c r="G35" s="94">
        <f t="shared" si="0"/>
        <v>-12.5</v>
      </c>
      <c r="H35" s="300" t="str">
        <f>IF(D35='CF (Equity, Debt)'!E29," ", "xxx")</f>
        <v xml:space="preserve"> </v>
      </c>
      <c r="W35" s="94">
        <f>D35</f>
        <v>-12.5</v>
      </c>
      <c r="AC35" s="267" t="s">
        <v>224</v>
      </c>
      <c r="AD35" s="282">
        <f>XIRR(G10:G78,C10:C78)</f>
        <v>1.9109696149826048E-3</v>
      </c>
      <c r="AE35" s="137"/>
      <c r="AF35" s="512"/>
    </row>
    <row r="36" spans="2:32" ht="12.75" x14ac:dyDescent="0.2">
      <c r="B36" s="84" t="str">
        <f>'CF (Equity, Debt)'!C30</f>
        <v>Honor Device Co Ltd</v>
      </c>
      <c r="C36" s="85">
        <f>'CF (Equity, Debt)'!D30</f>
        <v>44769</v>
      </c>
      <c r="D36" s="93">
        <f>'CF (Equity, Debt)'!E30</f>
        <v>-600</v>
      </c>
      <c r="E36" s="93"/>
      <c r="F36" s="93"/>
      <c r="G36" s="93">
        <f t="shared" si="0"/>
        <v>-600</v>
      </c>
      <c r="H36" s="300" t="str">
        <f>IF(D36='CF (Equity, Debt)'!E30," ", "xxx")</f>
        <v xml:space="preserve"> </v>
      </c>
      <c r="X36" s="93">
        <f>D36</f>
        <v>-600</v>
      </c>
      <c r="AC36" s="268" t="s">
        <v>43</v>
      </c>
      <c r="AD36" s="283">
        <f ca="1">SUM(AG12:AH28)/SUM(AE12:AE28)</f>
        <v>1.0024188558553409</v>
      </c>
      <c r="AE36" s="540" t="b">
        <f ca="1">AD36=AJ29</f>
        <v>1</v>
      </c>
      <c r="AF36" s="512"/>
    </row>
    <row r="37" spans="2:32" ht="12.75" x14ac:dyDescent="0.2">
      <c r="B37" s="84" t="str">
        <f>'CF (Equity, Debt)'!C31</f>
        <v>Honor Device Co Ltd</v>
      </c>
      <c r="C37" s="85">
        <f>'CF (Equity, Debt)'!D31</f>
        <v>44849</v>
      </c>
      <c r="D37" s="93">
        <f>'CF (Equity, Debt)'!E31</f>
        <v>-200</v>
      </c>
      <c r="E37" s="93"/>
      <c r="F37" s="93"/>
      <c r="G37" s="93">
        <f t="shared" ref="G37" si="18">SUM(D37:F37)</f>
        <v>-200</v>
      </c>
      <c r="X37" s="93">
        <f>D37</f>
        <v>-200</v>
      </c>
      <c r="AC37" s="268" t="s">
        <v>226</v>
      </c>
      <c r="AD37" s="283">
        <f ca="1">SUM(AH12:AH28)/SUM(AE12:AE28)</f>
        <v>1.0000182138308253</v>
      </c>
      <c r="AE37" s="541" t="b">
        <f ca="1">AD37=AK29</f>
        <v>1</v>
      </c>
    </row>
    <row r="38" spans="2:32" ht="12.75" x14ac:dyDescent="0.2">
      <c r="B38" s="84" t="str">
        <f>'CF (Equity, Debt)'!C32</f>
        <v>Applied AI Corporation Limited</v>
      </c>
      <c r="C38" s="85">
        <f>'CF (Equity, Debt)'!D32</f>
        <v>44861</v>
      </c>
      <c r="D38" s="93">
        <f>'CF (Equity, Debt)'!E32</f>
        <v>-4.75</v>
      </c>
      <c r="E38" s="93"/>
      <c r="F38" s="93"/>
      <c r="G38" s="93">
        <f t="shared" ref="G38" si="19">SUM(D38:F38)</f>
        <v>-4.75</v>
      </c>
      <c r="Y38" s="93">
        <f>D38</f>
        <v>-4.75</v>
      </c>
      <c r="Z38" s="93"/>
      <c r="AC38" s="269" t="s">
        <v>142</v>
      </c>
      <c r="AD38" s="284">
        <f ca="1">SUM(AG12:AG28)/SUM(AE12:AE28)</f>
        <v>2.4006420245155482E-3</v>
      </c>
      <c r="AE38" s="540" t="b">
        <f ca="1">AD38=AL29</f>
        <v>1</v>
      </c>
    </row>
    <row r="39" spans="2:32" ht="12.75" x14ac:dyDescent="0.2">
      <c r="B39" s="84" t="str">
        <f>'CF (Equity, Debt)'!C33</f>
        <v xml:space="preserve">eSpace </v>
      </c>
      <c r="C39" s="85">
        <f>'CF (Equity, Debt)'!D33</f>
        <v>44892</v>
      </c>
      <c r="D39" s="93">
        <f>'CF (Equity, Debt)'!E33</f>
        <v>-15</v>
      </c>
      <c r="E39" s="93"/>
      <c r="F39" s="93"/>
      <c r="G39" s="93">
        <f t="shared" ref="G39" si="20">SUM(D39:F39)</f>
        <v>-15</v>
      </c>
      <c r="Y39" s="93"/>
      <c r="Z39" s="93">
        <f>G39</f>
        <v>-15</v>
      </c>
      <c r="AE39" s="137"/>
    </row>
    <row r="40" spans="2:32" ht="12.75" x14ac:dyDescent="0.2">
      <c r="B40" s="84" t="str">
        <f>'CF (Equity, Debt)'!C34</f>
        <v>vTv Therapeutics Inc.</v>
      </c>
      <c r="C40" s="85">
        <f>'CF (Equity, Debt)'!D34</f>
        <v>44985</v>
      </c>
      <c r="D40" s="93">
        <f>'CF (Equity, Debt)'!E34</f>
        <v>-12.03125</v>
      </c>
      <c r="E40" s="93"/>
      <c r="F40" s="93"/>
      <c r="G40" s="93">
        <f t="shared" ref="G40" si="21">SUM(D40:F40)</f>
        <v>-12.03125</v>
      </c>
      <c r="W40" s="93">
        <f>G40</f>
        <v>-12.03125</v>
      </c>
      <c r="Y40" s="93"/>
      <c r="AE40" s="137"/>
    </row>
    <row r="41" spans="2:32" ht="12.75" x14ac:dyDescent="0.2">
      <c r="AE41" s="137"/>
    </row>
    <row r="42" spans="2:32" ht="12.75" x14ac:dyDescent="0.2">
      <c r="B42" s="86" t="s">
        <v>57</v>
      </c>
      <c r="C42" s="87">
        <f>$C$4</f>
        <v>45016</v>
      </c>
      <c r="D42" s="94"/>
      <c r="E42" s="94"/>
      <c r="F42" s="94">
        <f>NAV!E9</f>
        <v>0</v>
      </c>
      <c r="G42" s="94">
        <f t="shared" ref="G42:G56" si="22">SUM(D42:F42)</f>
        <v>0</v>
      </c>
      <c r="H42" s="298"/>
      <c r="J42" s="99">
        <f>F42</f>
        <v>0</v>
      </c>
      <c r="AC42" s="137"/>
      <c r="AD42" s="137"/>
      <c r="AE42" s="137"/>
    </row>
    <row r="43" spans="2:32" x14ac:dyDescent="0.2">
      <c r="B43" s="84" t="s">
        <v>0</v>
      </c>
      <c r="C43" s="85">
        <f t="shared" ref="C43:C58" si="23">$C$4</f>
        <v>45016</v>
      </c>
      <c r="D43" s="93"/>
      <c r="E43" s="93"/>
      <c r="F43" s="93">
        <f>NAV!E10</f>
        <v>3.1</v>
      </c>
      <c r="G43" s="93">
        <f t="shared" si="22"/>
        <v>3.1</v>
      </c>
      <c r="H43" s="298"/>
      <c r="K43" s="99">
        <f>F43</f>
        <v>3.1</v>
      </c>
    </row>
    <row r="44" spans="2:32" x14ac:dyDescent="0.2">
      <c r="B44" s="86" t="s">
        <v>48</v>
      </c>
      <c r="C44" s="87">
        <f t="shared" si="23"/>
        <v>45016</v>
      </c>
      <c r="D44" s="94"/>
      <c r="E44" s="94"/>
      <c r="F44" s="94">
        <f>NAV!E11</f>
        <v>78.082229999999996</v>
      </c>
      <c r="G44" s="94">
        <f t="shared" si="22"/>
        <v>78.082229999999996</v>
      </c>
      <c r="H44" s="298"/>
      <c r="L44" s="99">
        <f>F44</f>
        <v>78.082229999999996</v>
      </c>
    </row>
    <row r="45" spans="2:32" x14ac:dyDescent="0.2">
      <c r="B45" s="84" t="s">
        <v>49</v>
      </c>
      <c r="C45" s="85">
        <f t="shared" si="23"/>
        <v>45016</v>
      </c>
      <c r="D45" s="93"/>
      <c r="E45" s="93"/>
      <c r="F45" s="93">
        <f>NAV!E12</f>
        <v>0</v>
      </c>
      <c r="G45" s="93">
        <f t="shared" si="22"/>
        <v>0</v>
      </c>
      <c r="H45" s="298"/>
      <c r="M45" s="99"/>
    </row>
    <row r="46" spans="2:32" x14ac:dyDescent="0.2">
      <c r="B46" s="86" t="s">
        <v>47</v>
      </c>
      <c r="C46" s="87">
        <f t="shared" si="23"/>
        <v>45016</v>
      </c>
      <c r="D46" s="94"/>
      <c r="E46" s="94"/>
      <c r="F46" s="94">
        <f>NAV!E13</f>
        <v>91.001540300000002</v>
      </c>
      <c r="G46" s="94">
        <f t="shared" si="22"/>
        <v>91.001540300000002</v>
      </c>
      <c r="H46" s="298"/>
      <c r="N46" s="99">
        <f>F46</f>
        <v>91.001540300000002</v>
      </c>
    </row>
    <row r="47" spans="2:32" x14ac:dyDescent="0.2">
      <c r="B47" s="84" t="s">
        <v>133</v>
      </c>
      <c r="C47" s="85">
        <f t="shared" si="23"/>
        <v>45016</v>
      </c>
      <c r="D47" s="93"/>
      <c r="E47" s="93"/>
      <c r="F47" s="93">
        <f>NAV!E14</f>
        <v>122.38018713359999</v>
      </c>
      <c r="G47" s="93">
        <f t="shared" si="22"/>
        <v>122.38018713359999</v>
      </c>
      <c r="H47" s="298"/>
      <c r="O47" s="99">
        <f>F47</f>
        <v>122.38018713359999</v>
      </c>
    </row>
    <row r="48" spans="2:32" x14ac:dyDescent="0.2">
      <c r="B48" s="86" t="s">
        <v>11</v>
      </c>
      <c r="C48" s="87">
        <f t="shared" si="23"/>
        <v>45016</v>
      </c>
      <c r="D48" s="94"/>
      <c r="E48" s="94"/>
      <c r="F48" s="94">
        <f>NAV!E15</f>
        <v>119.24980363636364</v>
      </c>
      <c r="G48" s="94">
        <f t="shared" si="22"/>
        <v>119.24980363636364</v>
      </c>
      <c r="H48" s="298"/>
      <c r="P48" s="99">
        <f>F48</f>
        <v>119.24980363636364</v>
      </c>
    </row>
    <row r="49" spans="2:26" x14ac:dyDescent="0.2">
      <c r="B49" s="84" t="s">
        <v>24</v>
      </c>
      <c r="C49" s="85">
        <f t="shared" si="23"/>
        <v>45016</v>
      </c>
      <c r="D49" s="93"/>
      <c r="E49" s="93"/>
      <c r="F49" s="93">
        <f>NAV!E16</f>
        <v>20</v>
      </c>
      <c r="G49" s="93">
        <f t="shared" si="22"/>
        <v>20</v>
      </c>
      <c r="H49" s="298"/>
      <c r="Q49" s="99">
        <f>F49</f>
        <v>20</v>
      </c>
    </row>
    <row r="50" spans="2:26" x14ac:dyDescent="0.2">
      <c r="B50" s="86" t="s">
        <v>50</v>
      </c>
      <c r="C50" s="87">
        <f t="shared" si="23"/>
        <v>45016</v>
      </c>
      <c r="D50" s="94"/>
      <c r="E50" s="94"/>
      <c r="F50" s="94">
        <f>NAV!E17</f>
        <v>39.999983359999995</v>
      </c>
      <c r="G50" s="94">
        <f t="shared" si="22"/>
        <v>39.999983359999995</v>
      </c>
      <c r="H50" s="298"/>
      <c r="R50" s="99">
        <f>F50</f>
        <v>39.999983359999995</v>
      </c>
    </row>
    <row r="51" spans="2:26" x14ac:dyDescent="0.2">
      <c r="B51" s="84" t="s">
        <v>51</v>
      </c>
      <c r="C51" s="85">
        <f t="shared" si="23"/>
        <v>45016</v>
      </c>
      <c r="D51" s="93"/>
      <c r="E51" s="93"/>
      <c r="F51" s="93">
        <f>NAV!E18</f>
        <v>3</v>
      </c>
      <c r="G51" s="93">
        <f t="shared" si="22"/>
        <v>3</v>
      </c>
      <c r="H51" s="298"/>
      <c r="S51" s="99">
        <f>F51</f>
        <v>3</v>
      </c>
    </row>
    <row r="52" spans="2:26" x14ac:dyDescent="0.2">
      <c r="B52" s="86" t="s">
        <v>52</v>
      </c>
      <c r="C52" s="87">
        <f t="shared" si="23"/>
        <v>45016</v>
      </c>
      <c r="D52" s="94"/>
      <c r="E52" s="94"/>
      <c r="F52" s="94">
        <f>NAV!E19</f>
        <v>5.0237201984774336</v>
      </c>
      <c r="G52" s="94">
        <f t="shared" si="22"/>
        <v>5.0237201984774336</v>
      </c>
      <c r="H52" s="298"/>
      <c r="T52" s="99">
        <f>F52</f>
        <v>5.0237201984774336</v>
      </c>
    </row>
    <row r="53" spans="2:26" x14ac:dyDescent="0.2">
      <c r="B53" s="84" t="s">
        <v>113</v>
      </c>
      <c r="C53" s="85">
        <f t="shared" si="23"/>
        <v>45016</v>
      </c>
      <c r="D53" s="93"/>
      <c r="E53" s="93"/>
      <c r="F53" s="93">
        <f>NAV!E20</f>
        <v>424.06661818181823</v>
      </c>
      <c r="G53" s="93">
        <f t="shared" si="22"/>
        <v>424.06661818181823</v>
      </c>
      <c r="H53" s="298"/>
      <c r="U53" s="99">
        <f>F53</f>
        <v>424.06661818181823</v>
      </c>
    </row>
    <row r="54" spans="2:26" x14ac:dyDescent="0.2">
      <c r="B54" s="86" t="s">
        <v>25</v>
      </c>
      <c r="C54" s="87">
        <f t="shared" si="23"/>
        <v>45016</v>
      </c>
      <c r="D54" s="94"/>
      <c r="E54" s="94"/>
      <c r="F54" s="94">
        <f>NAV!E21</f>
        <v>300</v>
      </c>
      <c r="G54" s="94">
        <f t="shared" si="22"/>
        <v>300</v>
      </c>
      <c r="H54" s="298"/>
      <c r="V54" s="99">
        <f>F54</f>
        <v>300</v>
      </c>
    </row>
    <row r="55" spans="2:26" x14ac:dyDescent="0.2">
      <c r="B55" s="84" t="s">
        <v>134</v>
      </c>
      <c r="C55" s="85">
        <f t="shared" si="23"/>
        <v>45016</v>
      </c>
      <c r="D55" s="93"/>
      <c r="E55" s="93"/>
      <c r="F55" s="93">
        <f>NAV!E22</f>
        <v>8.3900321371999986</v>
      </c>
      <c r="G55" s="93">
        <f t="shared" si="22"/>
        <v>8.3900321371999986</v>
      </c>
      <c r="H55" s="298"/>
      <c r="W55" s="99">
        <f>F55</f>
        <v>8.3900321371999986</v>
      </c>
    </row>
    <row r="56" spans="2:26" x14ac:dyDescent="0.2">
      <c r="B56" s="86" t="s">
        <v>44</v>
      </c>
      <c r="C56" s="87">
        <f t="shared" si="23"/>
        <v>45016</v>
      </c>
      <c r="D56" s="94"/>
      <c r="E56" s="94"/>
      <c r="F56" s="94">
        <f>NAV!E23</f>
        <v>848.76998981818178</v>
      </c>
      <c r="G56" s="94">
        <f t="shared" si="22"/>
        <v>848.76998981818178</v>
      </c>
      <c r="H56" s="298"/>
      <c r="X56" s="99">
        <f>F56</f>
        <v>848.76998981818178</v>
      </c>
    </row>
    <row r="57" spans="2:26" x14ac:dyDescent="0.2">
      <c r="B57" s="84" t="s">
        <v>418</v>
      </c>
      <c r="C57" s="85">
        <f t="shared" si="23"/>
        <v>45016</v>
      </c>
      <c r="D57" s="93"/>
      <c r="E57" s="93"/>
      <c r="F57" s="93">
        <f>NAV!E24</f>
        <v>4.75</v>
      </c>
      <c r="G57" s="93">
        <f t="shared" ref="G57" si="24">SUM(D57:F57)</f>
        <v>4.75</v>
      </c>
      <c r="Y57" s="99">
        <f>F57</f>
        <v>4.75</v>
      </c>
      <c r="Z57" s="99"/>
    </row>
    <row r="58" spans="2:26" x14ac:dyDescent="0.2">
      <c r="B58" s="86" t="s">
        <v>458</v>
      </c>
      <c r="C58" s="87">
        <f t="shared" si="23"/>
        <v>45016</v>
      </c>
      <c r="D58" s="94"/>
      <c r="E58" s="94"/>
      <c r="F58" s="94">
        <f>NAV!E25</f>
        <v>15</v>
      </c>
      <c r="G58" s="94">
        <f t="shared" ref="G58" si="25">SUM(D58:F58)</f>
        <v>15</v>
      </c>
      <c r="Y58" s="99"/>
      <c r="Z58" s="99">
        <f>G58</f>
        <v>15</v>
      </c>
    </row>
    <row r="60" spans="2:26" x14ac:dyDescent="0.2">
      <c r="H60" s="591"/>
      <c r="I60" s="592"/>
      <c r="J60" s="592"/>
      <c r="K60" s="592"/>
      <c r="L60" s="592"/>
      <c r="M60" s="592"/>
      <c r="N60" s="592"/>
      <c r="O60" s="592"/>
      <c r="P60" s="592"/>
      <c r="Q60" s="592"/>
      <c r="R60" s="592"/>
      <c r="S60" s="592"/>
      <c r="T60" s="592"/>
      <c r="U60" s="592"/>
      <c r="V60" s="592"/>
      <c r="W60" s="592"/>
      <c r="X60" s="592"/>
      <c r="Y60" s="591"/>
      <c r="Z60" s="591"/>
    </row>
    <row r="61" spans="2:26" x14ac:dyDescent="0.2">
      <c r="I61" s="88" t="s">
        <v>32</v>
      </c>
      <c r="J61" s="179" t="str">
        <f>IF(ISERROR(XIRR(J10:J58,$C$10:$C$58)),"NM", XIRR(J10:J58,$C$10:$C$58))</f>
        <v>NM</v>
      </c>
      <c r="K61" s="179">
        <f>IF(ISERROR(XIRR(K13:K58,$C$13:$C$58)),"NM", XIRR(K13:K58,$C$13:$C$58))</f>
        <v>-0.21191685423254969</v>
      </c>
      <c r="L61" s="179">
        <f>IF(ISERROR(XIRR(L14:L58,$C$14:$C$58)),"NM", XIRR(L14:L58,$C$14:$C$58))</f>
        <v>0.78328729867935198</v>
      </c>
      <c r="M61" s="179">
        <f>IF(ISERROR(XIRR(M16:M58,$C$16:$C$58)),"NM", XIRR(M16:M58,$C$16:$C$58))</f>
        <v>0.36091765761375438</v>
      </c>
      <c r="N61" s="179">
        <f>IF(ISERROR(XIRR(N17:N58,$C$17:$C$58)),"NM", XIRR(N17:N58,$C$17:$C$58))</f>
        <v>3.8127034902572634E-3</v>
      </c>
      <c r="O61" s="179">
        <f>IF(ISERROR(XIRR(O21:O58,$C$21:$C$58)),"NM", XIRR(O21:O58,$C$21:$C$58))</f>
        <v>-5.0375112891197213E-2</v>
      </c>
      <c r="P61" s="179">
        <f>IF(ISERROR(XIRR(P26:P58,$C$26:$C$58)),"NM", XIRR(P26:P58,$C$26:$C$58))</f>
        <v>0.3430626928806304</v>
      </c>
      <c r="Q61" s="179">
        <f>IF(ISERROR(XIRR(Q27:Q58,$C$27:$C$58)),"NM", XIRR(Q27:Q58,$C$27:$C$58))</f>
        <v>2.9802322387695314E-9</v>
      </c>
      <c r="R61" s="179">
        <f>IF(ISERROR(XIRR(R28:R58,$C$28:$C$58)),"NM", XIRR(R28:R58,$C$28:$C$58))</f>
        <v>2.9802322387695314E-9</v>
      </c>
      <c r="S61" s="179">
        <f>IF(ISERROR(XIRR(S29:S58,$C$29:$C$58)),"NM", XIRR(S29:S58,$C$29:$C$58))</f>
        <v>2.9802322387695314E-9</v>
      </c>
      <c r="T61" s="179">
        <f>IF(ISERROR(XIRR(T30:T58,$C$30:$C$58)),"NM", XIRR(T30:T58,$C$30:$C$58))</f>
        <v>2.9802322387695314E-9</v>
      </c>
      <c r="U61" s="101" t="str">
        <f>IF(ISERROR(XIRR(U32:U58,$C$32:$C$58)),"NM", "NM")</f>
        <v>NM</v>
      </c>
      <c r="V61" s="101" t="str">
        <f>IF(ISERROR(XIRR(V32:V58,$C$32:$C$58)),"NM", "NM")</f>
        <v>NM</v>
      </c>
      <c r="W61" s="101" t="str">
        <f>IF(ISERROR(XIRR(W32:W58,$C$32:$C$58)),"NM", "NM")</f>
        <v>NM</v>
      </c>
      <c r="X61" s="101" t="str">
        <f>IF(ISERROR(XIRR(X36:X58,$C$35:$C$58)),"NM", "NM")</f>
        <v>NM</v>
      </c>
      <c r="Y61" s="101" t="str">
        <f>IF(ISERROR(XIRR(Y38:Y58,$C$38:$C$58)),"NM", "NM")</f>
        <v>NM</v>
      </c>
      <c r="Z61" s="101" t="str">
        <f>IF(ISERROR(XIRR(Z39:Z58,$C$39:$C$58)),"NM", "NM")</f>
        <v>NM</v>
      </c>
    </row>
    <row r="62" spans="2:26" x14ac:dyDescent="0.2">
      <c r="H62" s="589" t="b">
        <f ca="1">SUM(J62:Z62)='Summary | 01 '!K27</f>
        <v>1</v>
      </c>
      <c r="I62" s="88" t="s">
        <v>509</v>
      </c>
      <c r="J62" s="99">
        <f t="shared" ref="J62:Z62" si="26">-SUMIF(J$10:J$40,"&lt;0",J$10:J$40)</f>
        <v>65</v>
      </c>
      <c r="K62" s="99">
        <f t="shared" si="26"/>
        <v>8</v>
      </c>
      <c r="L62" s="99">
        <f t="shared" si="26"/>
        <v>10</v>
      </c>
      <c r="M62" s="99">
        <f t="shared" si="26"/>
        <v>2.5</v>
      </c>
      <c r="N62" s="99">
        <f t="shared" si="26"/>
        <v>90</v>
      </c>
      <c r="O62" s="99">
        <f t="shared" si="26"/>
        <v>141.4702596743665</v>
      </c>
      <c r="P62" s="99">
        <f t="shared" si="26"/>
        <v>60</v>
      </c>
      <c r="Q62" s="99">
        <f t="shared" si="26"/>
        <v>20</v>
      </c>
      <c r="R62" s="99">
        <f t="shared" si="26"/>
        <v>39.999983359999995</v>
      </c>
      <c r="S62" s="99">
        <f t="shared" si="26"/>
        <v>3</v>
      </c>
      <c r="T62" s="99">
        <f t="shared" si="26"/>
        <v>5.0237201984774336</v>
      </c>
      <c r="U62" s="99">
        <f t="shared" si="26"/>
        <v>493.50095619999996</v>
      </c>
      <c r="V62" s="99">
        <f t="shared" si="26"/>
        <v>300</v>
      </c>
      <c r="W62" s="99">
        <f t="shared" si="26"/>
        <v>24.53125</v>
      </c>
      <c r="X62" s="99">
        <f t="shared" si="26"/>
        <v>800</v>
      </c>
      <c r="Y62" s="99">
        <f t="shared" si="26"/>
        <v>4.75</v>
      </c>
      <c r="Z62" s="99">
        <f t="shared" si="26"/>
        <v>15</v>
      </c>
    </row>
    <row r="63" spans="2:26" x14ac:dyDescent="0.2">
      <c r="H63" s="589" t="b">
        <f ca="1">ROUND(SUM(J63:Z63),2)=ROUND('Summary | 01 '!M27,2)</f>
        <v>1</v>
      </c>
      <c r="I63" s="88" t="s">
        <v>511</v>
      </c>
      <c r="J63" s="99">
        <f t="shared" ref="J63:Y63" si="27">SUMIF(J$10:J$40,"&gt;0",J$10:J$40)</f>
        <v>0</v>
      </c>
      <c r="K63" s="99">
        <f t="shared" si="27"/>
        <v>0</v>
      </c>
      <c r="L63" s="99">
        <f t="shared" si="27"/>
        <v>0</v>
      </c>
      <c r="M63" s="99">
        <f t="shared" si="27"/>
        <v>5</v>
      </c>
      <c r="N63" s="99">
        <f t="shared" si="27"/>
        <v>0</v>
      </c>
      <c r="O63" s="99">
        <f t="shared" si="27"/>
        <v>0</v>
      </c>
      <c r="P63" s="99">
        <f t="shared" si="27"/>
        <v>0</v>
      </c>
      <c r="Q63" s="99">
        <f t="shared" si="27"/>
        <v>0</v>
      </c>
      <c r="R63" s="99">
        <f t="shared" si="27"/>
        <v>0</v>
      </c>
      <c r="S63" s="99">
        <f t="shared" si="27"/>
        <v>0</v>
      </c>
      <c r="T63" s="99">
        <f t="shared" si="27"/>
        <v>0</v>
      </c>
      <c r="U63" s="99">
        <f t="shared" si="27"/>
        <v>0</v>
      </c>
      <c r="V63" s="99">
        <f t="shared" si="27"/>
        <v>0</v>
      </c>
      <c r="W63" s="99">
        <f t="shared" si="27"/>
        <v>0</v>
      </c>
      <c r="X63" s="99">
        <f t="shared" si="27"/>
        <v>0</v>
      </c>
      <c r="Y63" s="99">
        <f t="shared" si="27"/>
        <v>0</v>
      </c>
      <c r="Z63" s="99">
        <f t="shared" ref="Z63" si="28">SUMIF(Z$10:Z$39,"&gt;0",Z$10:Z$39)</f>
        <v>0</v>
      </c>
    </row>
    <row r="64" spans="2:26" x14ac:dyDescent="0.2">
      <c r="H64" s="590" t="b">
        <f>ROUND(SUM(J64:Z64),2)=ROUND('Summary | 01 '!N27,2)</f>
        <v>1</v>
      </c>
      <c r="I64" s="88" t="s">
        <v>510</v>
      </c>
      <c r="J64" s="99">
        <f>SUM(J$42:J$58)</f>
        <v>0</v>
      </c>
      <c r="K64" s="99">
        <f t="shared" ref="K64:Z64" si="29">SUM(K$42:K$58)</f>
        <v>3.1</v>
      </c>
      <c r="L64" s="99">
        <f t="shared" si="29"/>
        <v>78.082229999999996</v>
      </c>
      <c r="M64" s="99">
        <f t="shared" si="29"/>
        <v>0</v>
      </c>
      <c r="N64" s="99">
        <f t="shared" si="29"/>
        <v>91.001540300000002</v>
      </c>
      <c r="O64" s="99">
        <f t="shared" si="29"/>
        <v>122.38018713359999</v>
      </c>
      <c r="P64" s="99">
        <f t="shared" si="29"/>
        <v>119.24980363636364</v>
      </c>
      <c r="Q64" s="99">
        <f t="shared" si="29"/>
        <v>20</v>
      </c>
      <c r="R64" s="99">
        <f t="shared" si="29"/>
        <v>39.999983359999995</v>
      </c>
      <c r="S64" s="99">
        <f t="shared" si="29"/>
        <v>3</v>
      </c>
      <c r="T64" s="99">
        <f t="shared" si="29"/>
        <v>5.0237201984774336</v>
      </c>
      <c r="U64" s="99">
        <f t="shared" si="29"/>
        <v>424.06661818181823</v>
      </c>
      <c r="V64" s="99">
        <f t="shared" si="29"/>
        <v>300</v>
      </c>
      <c r="W64" s="99">
        <f t="shared" si="29"/>
        <v>8.3900321371999986</v>
      </c>
      <c r="X64" s="99">
        <f t="shared" si="29"/>
        <v>848.76998981818178</v>
      </c>
      <c r="Y64" s="99">
        <f t="shared" si="29"/>
        <v>4.75</v>
      </c>
      <c r="Z64" s="99">
        <f t="shared" si="29"/>
        <v>15</v>
      </c>
    </row>
    <row r="65" spans="9:26" s="83" customFormat="1" x14ac:dyDescent="0.2">
      <c r="I65" s="88" t="s">
        <v>43</v>
      </c>
      <c r="J65" s="100">
        <f>(J63+J64)/J62</f>
        <v>0</v>
      </c>
      <c r="K65" s="100">
        <f t="shared" ref="K65:Z65" si="30">(K63+K64)/K62</f>
        <v>0.38750000000000001</v>
      </c>
      <c r="L65" s="100">
        <f t="shared" si="30"/>
        <v>7.8082229999999999</v>
      </c>
      <c r="M65" s="100">
        <f t="shared" si="30"/>
        <v>2</v>
      </c>
      <c r="N65" s="100">
        <f t="shared" si="30"/>
        <v>1.0111282255555556</v>
      </c>
      <c r="O65" s="100">
        <f t="shared" si="30"/>
        <v>0.86505946490302854</v>
      </c>
      <c r="P65" s="100">
        <f t="shared" si="30"/>
        <v>1.9874967272727273</v>
      </c>
      <c r="Q65" s="100">
        <f t="shared" si="30"/>
        <v>1</v>
      </c>
      <c r="R65" s="100">
        <f t="shared" si="30"/>
        <v>1</v>
      </c>
      <c r="S65" s="100">
        <f t="shared" si="30"/>
        <v>1</v>
      </c>
      <c r="T65" s="100">
        <f t="shared" si="30"/>
        <v>1</v>
      </c>
      <c r="U65" s="100">
        <f t="shared" si="30"/>
        <v>0.85930252586979339</v>
      </c>
      <c r="V65" s="100">
        <f t="shared" si="30"/>
        <v>1</v>
      </c>
      <c r="W65" s="100">
        <f t="shared" si="30"/>
        <v>0.34201404890496812</v>
      </c>
      <c r="X65" s="100">
        <f t="shared" si="30"/>
        <v>1.0609624872727272</v>
      </c>
      <c r="Y65" s="100">
        <f t="shared" si="30"/>
        <v>1</v>
      </c>
      <c r="Z65" s="100">
        <f t="shared" si="30"/>
        <v>1</v>
      </c>
    </row>
    <row r="66" spans="9:26" s="83" customFormat="1" x14ac:dyDescent="0.2">
      <c r="I66" s="88" t="s">
        <v>142</v>
      </c>
      <c r="J66" s="100">
        <f>J63/J62</f>
        <v>0</v>
      </c>
      <c r="K66" s="100">
        <f t="shared" ref="K66:Z66" si="31">K63/K62</f>
        <v>0</v>
      </c>
      <c r="L66" s="100">
        <f t="shared" si="31"/>
        <v>0</v>
      </c>
      <c r="M66" s="100">
        <f t="shared" si="31"/>
        <v>2</v>
      </c>
      <c r="N66" s="100">
        <f t="shared" si="31"/>
        <v>0</v>
      </c>
      <c r="O66" s="100">
        <f t="shared" si="31"/>
        <v>0</v>
      </c>
      <c r="P66" s="100">
        <f t="shared" si="31"/>
        <v>0</v>
      </c>
      <c r="Q66" s="100">
        <f t="shared" si="31"/>
        <v>0</v>
      </c>
      <c r="R66" s="100">
        <f t="shared" si="31"/>
        <v>0</v>
      </c>
      <c r="S66" s="100">
        <f t="shared" si="31"/>
        <v>0</v>
      </c>
      <c r="T66" s="100">
        <f t="shared" si="31"/>
        <v>0</v>
      </c>
      <c r="U66" s="100">
        <f t="shared" si="31"/>
        <v>0</v>
      </c>
      <c r="V66" s="100">
        <f t="shared" si="31"/>
        <v>0</v>
      </c>
      <c r="W66" s="100">
        <f t="shared" si="31"/>
        <v>0</v>
      </c>
      <c r="X66" s="100">
        <f t="shared" si="31"/>
        <v>0</v>
      </c>
      <c r="Y66" s="100">
        <f t="shared" si="31"/>
        <v>0</v>
      </c>
      <c r="Z66" s="100">
        <f t="shared" si="31"/>
        <v>0</v>
      </c>
    </row>
    <row r="67" spans="9:26" s="83" customFormat="1" x14ac:dyDescent="0.2">
      <c r="I67" s="88" t="s">
        <v>143</v>
      </c>
      <c r="J67" s="100">
        <f>J64/J62</f>
        <v>0</v>
      </c>
      <c r="K67" s="100">
        <f t="shared" ref="K67:Z67" si="32">K64/K62</f>
        <v>0.38750000000000001</v>
      </c>
      <c r="L67" s="100">
        <f t="shared" si="32"/>
        <v>7.8082229999999999</v>
      </c>
      <c r="M67" s="100">
        <f t="shared" si="32"/>
        <v>0</v>
      </c>
      <c r="N67" s="100">
        <f t="shared" si="32"/>
        <v>1.0111282255555556</v>
      </c>
      <c r="O67" s="100">
        <f t="shared" si="32"/>
        <v>0.86505946490302854</v>
      </c>
      <c r="P67" s="100">
        <f t="shared" si="32"/>
        <v>1.9874967272727273</v>
      </c>
      <c r="Q67" s="100">
        <f t="shared" si="32"/>
        <v>1</v>
      </c>
      <c r="R67" s="100">
        <f t="shared" si="32"/>
        <v>1</v>
      </c>
      <c r="S67" s="100">
        <f t="shared" si="32"/>
        <v>1</v>
      </c>
      <c r="T67" s="100">
        <f t="shared" si="32"/>
        <v>1</v>
      </c>
      <c r="U67" s="100">
        <f t="shared" si="32"/>
        <v>0.85930252586979339</v>
      </c>
      <c r="V67" s="100">
        <f t="shared" si="32"/>
        <v>1</v>
      </c>
      <c r="W67" s="100">
        <f t="shared" si="32"/>
        <v>0.34201404890496812</v>
      </c>
      <c r="X67" s="100">
        <f t="shared" si="32"/>
        <v>1.0609624872727272</v>
      </c>
      <c r="Y67" s="100">
        <f t="shared" si="32"/>
        <v>1</v>
      </c>
      <c r="Z67" s="100">
        <f t="shared" si="32"/>
        <v>1</v>
      </c>
    </row>
    <row r="68" spans="9:26" s="83" customFormat="1" x14ac:dyDescent="0.2">
      <c r="I68" s="88"/>
      <c r="J68" s="100"/>
      <c r="K68" s="100"/>
      <c r="L68" s="100"/>
      <c r="M68" s="100"/>
      <c r="N68" s="100"/>
      <c r="O68" s="100"/>
      <c r="P68" s="100"/>
      <c r="Q68" s="100"/>
      <c r="R68" s="100"/>
      <c r="S68" s="100"/>
      <c r="T68" s="100"/>
      <c r="U68" s="100"/>
      <c r="V68" s="100"/>
      <c r="W68" s="100"/>
      <c r="X68" s="100"/>
      <c r="Y68" s="100"/>
      <c r="Z68" s="100"/>
    </row>
    <row r="69" spans="9:26" s="83" customFormat="1" x14ac:dyDescent="0.2">
      <c r="I69" s="88"/>
      <c r="J69" s="100"/>
      <c r="K69" s="100"/>
      <c r="L69" s="100"/>
      <c r="M69" s="100"/>
      <c r="N69" s="100"/>
      <c r="O69" s="100"/>
      <c r="P69" s="100"/>
      <c r="Q69" s="100"/>
      <c r="R69" s="100"/>
      <c r="S69" s="100"/>
      <c r="T69" s="100"/>
      <c r="U69" s="100"/>
      <c r="V69" s="100"/>
      <c r="W69" s="100"/>
      <c r="X69" s="100"/>
      <c r="Y69" s="100"/>
      <c r="Z69" s="100"/>
    </row>
    <row r="70" spans="9:26" s="83" customFormat="1" x14ac:dyDescent="0.2">
      <c r="I70" s="88"/>
      <c r="J70" s="100"/>
      <c r="K70" s="100"/>
      <c r="L70" s="100"/>
      <c r="M70" s="100"/>
      <c r="N70" s="100"/>
      <c r="O70" s="100"/>
      <c r="P70" s="100"/>
      <c r="Q70" s="100"/>
      <c r="R70" s="100"/>
      <c r="S70" s="100"/>
      <c r="T70" s="100"/>
      <c r="U70" s="100"/>
      <c r="V70" s="100"/>
      <c r="W70" s="100"/>
      <c r="X70" s="100"/>
      <c r="Y70" s="100"/>
      <c r="Z70" s="100"/>
    </row>
    <row r="71" spans="9:26" s="83" customFormat="1" x14ac:dyDescent="0.2">
      <c r="I71" s="88"/>
      <c r="J71" s="100"/>
      <c r="K71" s="100"/>
      <c r="L71" s="100"/>
      <c r="M71" s="100"/>
      <c r="N71" s="100"/>
      <c r="O71" s="100"/>
      <c r="P71" s="100"/>
      <c r="Q71" s="100"/>
      <c r="R71" s="100"/>
      <c r="S71" s="100"/>
      <c r="T71" s="100"/>
      <c r="U71" s="100"/>
      <c r="V71" s="100"/>
      <c r="W71" s="100"/>
      <c r="X71" s="100"/>
      <c r="Y71" s="100"/>
      <c r="Z71" s="100"/>
    </row>
  </sheetData>
  <pageMargins left="0.7" right="0.7" top="0.75" bottom="0.75" header="0.3" footer="0.3"/>
  <pageSetup paperSize="9" orientation="portrait" verticalDpi="0" r:id="rId1"/>
  <ignoredErrors>
    <ignoredError sqref="G10:G36" formulaRange="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80" zoomScaleNormal="80" workbookViewId="0">
      <selection activeCell="I47" sqref="I47"/>
    </sheetView>
  </sheetViews>
  <sheetFormatPr defaultRowHeight="12.75" x14ac:dyDescent="0.2"/>
  <cols>
    <col min="1" max="1" width="3.42578125" style="137" customWidth="1"/>
    <col min="2" max="2" width="21.5703125" style="137" bestFit="1" customWidth="1"/>
    <col min="3" max="3" width="12.7109375" style="137" bestFit="1" customWidth="1"/>
    <col min="4" max="4" width="12.85546875" style="137" bestFit="1" customWidth="1"/>
    <col min="5" max="5" width="12.42578125" style="137" bestFit="1" customWidth="1"/>
    <col min="6" max="6" width="14" style="137" bestFit="1" customWidth="1"/>
    <col min="7" max="7" width="9.85546875" style="137" bestFit="1" customWidth="1"/>
    <col min="8" max="8" width="6.42578125" style="137" customWidth="1"/>
    <col min="9" max="9" width="25.42578125" style="137" bestFit="1" customWidth="1"/>
    <col min="10" max="10" width="12" style="137" customWidth="1"/>
    <col min="11" max="11" width="12" style="137" bestFit="1" customWidth="1"/>
    <col min="12" max="13" width="14" style="137" bestFit="1" customWidth="1"/>
    <col min="14" max="14" width="9.85546875" style="137" bestFit="1" customWidth="1"/>
    <col min="15" max="15" width="4.7109375" style="137" customWidth="1"/>
    <col min="16" max="16" width="24.7109375" style="137" bestFit="1" customWidth="1"/>
    <col min="17" max="17" width="10.42578125" style="137" bestFit="1" customWidth="1"/>
    <col min="18" max="18" width="8.42578125" style="137" bestFit="1" customWidth="1"/>
    <col min="19" max="19" width="12" style="137" bestFit="1" customWidth="1"/>
    <col min="20" max="20" width="12.42578125" style="137" bestFit="1" customWidth="1"/>
    <col min="21" max="21" width="14" style="137" bestFit="1" customWidth="1"/>
    <col min="22" max="25" width="7.28515625" style="137" customWidth="1"/>
    <col min="26" max="16384" width="9.140625" style="137"/>
  </cols>
  <sheetData>
    <row r="1" spans="2:25" x14ac:dyDescent="0.2">
      <c r="J1" s="149"/>
      <c r="K1" s="149"/>
      <c r="L1" s="149"/>
      <c r="M1" s="149"/>
      <c r="N1" s="149"/>
    </row>
    <row r="2" spans="2:25" s="164" customFormat="1" ht="43.5" customHeight="1" x14ac:dyDescent="0.45">
      <c r="B2" s="345" t="s">
        <v>286</v>
      </c>
      <c r="C2" s="346"/>
      <c r="D2" s="346"/>
      <c r="E2" s="346"/>
      <c r="F2" s="353"/>
      <c r="G2" s="353"/>
      <c r="H2" s="353"/>
      <c r="I2" s="353"/>
      <c r="J2" s="347"/>
      <c r="K2" s="348"/>
      <c r="L2" s="347"/>
    </row>
    <row r="3" spans="2:25" ht="13.5" thickBot="1" x14ac:dyDescent="0.25">
      <c r="J3" s="149"/>
      <c r="K3" s="149"/>
      <c r="L3" s="149"/>
      <c r="M3" s="149"/>
      <c r="N3" s="149"/>
    </row>
    <row r="4" spans="2:25" ht="13.5" thickBot="1" x14ac:dyDescent="0.25">
      <c r="B4" s="271" t="s">
        <v>235</v>
      </c>
      <c r="C4" s="285">
        <f>D!D2</f>
        <v>45016</v>
      </c>
      <c r="I4" s="289" t="s">
        <v>512</v>
      </c>
      <c r="J4" s="290"/>
      <c r="K4" s="290"/>
      <c r="L4" s="290"/>
      <c r="M4" s="290"/>
      <c r="N4" s="290"/>
      <c r="O4" s="128"/>
      <c r="P4" s="289" t="s">
        <v>239</v>
      </c>
      <c r="Q4" s="290"/>
      <c r="R4" s="290"/>
      <c r="S4" s="290"/>
      <c r="T4" s="290"/>
      <c r="U4" s="290"/>
    </row>
    <row r="5" spans="2:25" x14ac:dyDescent="0.2">
      <c r="I5" s="289"/>
      <c r="J5" s="290"/>
      <c r="K5" s="290"/>
      <c r="L5" s="290"/>
      <c r="M5" s="290"/>
      <c r="N5" s="290"/>
      <c r="P5" s="289"/>
      <c r="Q5" s="290"/>
      <c r="R5" s="290"/>
      <c r="S5" s="290"/>
      <c r="T5" s="290"/>
      <c r="U5" s="290"/>
    </row>
    <row r="6" spans="2:25" x14ac:dyDescent="0.2">
      <c r="B6" s="292" t="s">
        <v>46</v>
      </c>
    </row>
    <row r="7" spans="2:25" ht="25.5" x14ac:dyDescent="0.2">
      <c r="B7" s="113" t="s">
        <v>6</v>
      </c>
      <c r="C7" s="126" t="s">
        <v>7</v>
      </c>
      <c r="D7" s="127" t="s">
        <v>245</v>
      </c>
      <c r="E7" s="127" t="s">
        <v>246</v>
      </c>
      <c r="F7" s="127" t="s">
        <v>223</v>
      </c>
      <c r="G7" s="127" t="s">
        <v>225</v>
      </c>
      <c r="I7" s="126"/>
      <c r="J7" s="126"/>
      <c r="K7" s="127" t="s">
        <v>141</v>
      </c>
      <c r="L7" s="127" t="s">
        <v>234</v>
      </c>
      <c r="M7" s="127" t="s">
        <v>223</v>
      </c>
      <c r="N7" s="127" t="s">
        <v>225</v>
      </c>
      <c r="P7" s="126"/>
      <c r="Q7" s="126" t="s">
        <v>41</v>
      </c>
      <c r="R7" s="127" t="s">
        <v>2</v>
      </c>
      <c r="S7" s="127" t="s">
        <v>60</v>
      </c>
      <c r="T7" s="127" t="s">
        <v>42</v>
      </c>
      <c r="U7" s="127" t="s">
        <v>223</v>
      </c>
      <c r="V7" s="127" t="s">
        <v>32</v>
      </c>
      <c r="W7" s="127" t="s">
        <v>43</v>
      </c>
      <c r="X7" s="127" t="s">
        <v>236</v>
      </c>
      <c r="Y7" s="127" t="s">
        <v>142</v>
      </c>
    </row>
    <row r="8" spans="2:25" x14ac:dyDescent="0.2">
      <c r="B8" s="137" t="s">
        <v>38</v>
      </c>
      <c r="J8" s="149"/>
      <c r="K8" s="149"/>
      <c r="L8" s="149"/>
      <c r="M8" s="149"/>
      <c r="N8" s="149"/>
      <c r="P8" s="262"/>
      <c r="V8" s="266"/>
    </row>
    <row r="9" spans="2:25" x14ac:dyDescent="0.2">
      <c r="B9" s="542" t="str">
        <f>'CF (Equity, Debt)'!C37</f>
        <v xml:space="preserve">Glass Earth Holdings LLC </v>
      </c>
      <c r="C9" s="542">
        <f>'CF (Equity, Debt)'!D37</f>
        <v>43635</v>
      </c>
      <c r="D9" s="117">
        <f>'CF (Equity, Debt)'!E37</f>
        <v>-8</v>
      </c>
      <c r="E9" s="117"/>
      <c r="F9" s="117"/>
      <c r="G9" s="117">
        <f t="shared" ref="G9:G11" si="0">SUM(D9:F9)</f>
        <v>-8</v>
      </c>
      <c r="I9" s="542" t="str">
        <f>B9</f>
        <v xml:space="preserve">Glass Earth Holdings LLC </v>
      </c>
      <c r="J9" s="119">
        <f>C9</f>
        <v>43635</v>
      </c>
      <c r="K9" s="117">
        <f>D9</f>
        <v>-8</v>
      </c>
      <c r="L9" s="117"/>
      <c r="M9" s="117"/>
      <c r="N9" s="117">
        <f>SUM(K9:M9)</f>
        <v>-8</v>
      </c>
      <c r="P9" s="264" t="s">
        <v>58</v>
      </c>
      <c r="Q9" s="263">
        <f>R9</f>
        <v>8</v>
      </c>
      <c r="R9" s="263">
        <f>-D9</f>
        <v>8</v>
      </c>
      <c r="S9" s="263">
        <v>0</v>
      </c>
      <c r="T9" s="263">
        <f>E9</f>
        <v>0</v>
      </c>
      <c r="U9" s="263">
        <f>F14</f>
        <v>0</v>
      </c>
      <c r="V9" s="288" t="str">
        <f>J12</f>
        <v>NM</v>
      </c>
      <c r="W9" s="277">
        <f>(T9+U9)/R9</f>
        <v>0</v>
      </c>
      <c r="X9" s="277">
        <f>U9/R9</f>
        <v>0</v>
      </c>
      <c r="Y9" s="277">
        <f>T9/R9</f>
        <v>0</v>
      </c>
    </row>
    <row r="10" spans="2:25" x14ac:dyDescent="0.2">
      <c r="B10" s="542" t="str">
        <f>'CF (Equity, Debt)'!C38</f>
        <v>Mena Mobile Inc (Debt)</v>
      </c>
      <c r="C10" s="542">
        <f>'CF (Equity, Debt)'!D38</f>
        <v>44293</v>
      </c>
      <c r="D10" s="117">
        <f>'CF (Equity, Debt)'!E38</f>
        <v>-2.3539819999999998</v>
      </c>
      <c r="E10" s="117"/>
      <c r="F10" s="117"/>
      <c r="G10" s="117">
        <f t="shared" si="0"/>
        <v>-2.3539819999999998</v>
      </c>
      <c r="I10" s="543" t="str">
        <f>B14</f>
        <v xml:space="preserve">Glass Earth Holdings LLC </v>
      </c>
      <c r="J10" s="122">
        <f>C14</f>
        <v>45016</v>
      </c>
      <c r="K10" s="124"/>
      <c r="L10" s="124"/>
      <c r="M10" s="124">
        <f>F14</f>
        <v>0</v>
      </c>
      <c r="N10" s="124">
        <f>SUM(K10:M10)</f>
        <v>0</v>
      </c>
      <c r="P10" s="264" t="s">
        <v>422</v>
      </c>
      <c r="Q10" s="263">
        <f>R10</f>
        <v>2.3539819999999998</v>
      </c>
      <c r="R10" s="263">
        <f>-D10</f>
        <v>2.3539819999999998</v>
      </c>
      <c r="S10" s="263">
        <v>0</v>
      </c>
      <c r="T10" s="263">
        <f>E10</f>
        <v>0</v>
      </c>
      <c r="U10" s="263">
        <f>F15</f>
        <v>2.3539819999999998</v>
      </c>
      <c r="V10" s="288">
        <f>J22:J22</f>
        <v>2.9802322387695314E-9</v>
      </c>
      <c r="W10" s="277">
        <f t="shared" ref="W10:W12" si="1">(T10+U10)/R10</f>
        <v>1</v>
      </c>
      <c r="X10" s="277">
        <f>U10/R10</f>
        <v>1</v>
      </c>
      <c r="Y10" s="277">
        <f>T10/R10</f>
        <v>0</v>
      </c>
    </row>
    <row r="11" spans="2:25" x14ac:dyDescent="0.2">
      <c r="B11" s="542" t="str">
        <f>'CF (Equity, Debt)'!C39</f>
        <v>Esyasoft Holding (Debt)</v>
      </c>
      <c r="C11" s="542">
        <f>'CF (Equity, Debt)'!D39</f>
        <v>44384</v>
      </c>
      <c r="D11" s="117">
        <f>'CF (Equity, Debt)'!E39</f>
        <v>-0.41176499999999999</v>
      </c>
      <c r="E11" s="117"/>
      <c r="F11" s="117"/>
      <c r="G11" s="117">
        <f t="shared" si="0"/>
        <v>-0.41176499999999999</v>
      </c>
      <c r="J11" s="149"/>
      <c r="K11" s="149"/>
      <c r="L11" s="149"/>
      <c r="M11" s="149"/>
      <c r="N11" s="149"/>
      <c r="P11" s="264" t="s">
        <v>411</v>
      </c>
      <c r="Q11" s="263">
        <f>R11</f>
        <v>0.41176499999999999</v>
      </c>
      <c r="R11" s="263">
        <f>-D11</f>
        <v>0.41176499999999999</v>
      </c>
      <c r="S11" s="263">
        <v>0</v>
      </c>
      <c r="T11" s="263">
        <f>E12</f>
        <v>0.47078465000000003</v>
      </c>
      <c r="U11" s="263">
        <f>F16</f>
        <v>0</v>
      </c>
      <c r="V11" s="288">
        <f>J31</f>
        <v>7.5277027487754833E-2</v>
      </c>
      <c r="W11" s="277">
        <f t="shared" si="1"/>
        <v>1.1433333333333333</v>
      </c>
      <c r="X11" s="277">
        <f>U11/R11</f>
        <v>0</v>
      </c>
      <c r="Y11" s="277">
        <f>T11/R11</f>
        <v>1.1433333333333333</v>
      </c>
    </row>
    <row r="12" spans="2:25" x14ac:dyDescent="0.2">
      <c r="B12" s="542" t="str">
        <f>'CF (Equity, Debt)'!C40</f>
        <v>Esyasoft Holding (Debt)</v>
      </c>
      <c r="C12" s="542">
        <f>'CF (Equity, Debt)'!D40</f>
        <v>44902</v>
      </c>
      <c r="D12" s="117">
        <f>'CF (Equity, Debt)'!E40</f>
        <v>0</v>
      </c>
      <c r="E12" s="117">
        <f>'CF (Equity, Debt)'!F40</f>
        <v>0.47078465000000003</v>
      </c>
      <c r="F12" s="117"/>
      <c r="G12" s="117">
        <f t="shared" ref="G12" si="2">SUM(D12:F12)</f>
        <v>0.47078465000000003</v>
      </c>
      <c r="I12" s="267" t="s">
        <v>224</v>
      </c>
      <c r="J12" s="296" t="str">
        <f>IF(ISERROR(XIRR(N9:N10,J9:J10)),"NM",XIRR(N9:N10,J9:J10))</f>
        <v>NM</v>
      </c>
      <c r="K12" s="149"/>
      <c r="L12" s="128" t="s">
        <v>227</v>
      </c>
      <c r="N12" s="149"/>
      <c r="P12" s="274"/>
      <c r="Q12" s="276">
        <f>SUM(Q9:Q11)</f>
        <v>10.765747000000001</v>
      </c>
      <c r="R12" s="276">
        <f>SUM(R9:R11)</f>
        <v>10.765747000000001</v>
      </c>
      <c r="S12" s="276">
        <f>SUM(S9:S11)</f>
        <v>0</v>
      </c>
      <c r="T12" s="276">
        <f>SUM(T9:T11)</f>
        <v>0.47078465000000003</v>
      </c>
      <c r="U12" s="276">
        <f>SUM(U9:U11)</f>
        <v>2.3539819999999998</v>
      </c>
      <c r="V12" s="420">
        <f>XIRR(G9:G16,C9:C16)</f>
        <v>-0.35001702047884475</v>
      </c>
      <c r="W12" s="278">
        <f t="shared" si="1"/>
        <v>0.26238463991397898</v>
      </c>
      <c r="X12" s="278">
        <f>U12/R12</f>
        <v>0.21865477611539633</v>
      </c>
      <c r="Y12" s="278">
        <f t="shared" ref="Y12" si="3">T12/R12</f>
        <v>4.3729863798582673E-2</v>
      </c>
    </row>
    <row r="13" spans="2:25" x14ac:dyDescent="0.2">
      <c r="I13" s="268" t="s">
        <v>43</v>
      </c>
      <c r="J13" s="283">
        <f>SUM(L9:M10)/-SUM(K9:K10)</f>
        <v>0</v>
      </c>
      <c r="K13" s="149"/>
      <c r="L13" s="128" t="s">
        <v>42</v>
      </c>
      <c r="M13" s="261"/>
      <c r="N13" s="149"/>
      <c r="P13" s="128"/>
    </row>
    <row r="14" spans="2:25" x14ac:dyDescent="0.2">
      <c r="B14" s="543" t="str">
        <f>B9</f>
        <v xml:space="preserve">Glass Earth Holdings LLC </v>
      </c>
      <c r="C14" s="122">
        <f>$C$4</f>
        <v>45016</v>
      </c>
      <c r="D14" s="124"/>
      <c r="E14" s="124"/>
      <c r="F14" s="124">
        <f>VLOOKUP(B14,NAV!$B$30:$E$32,4,0)</f>
        <v>0</v>
      </c>
      <c r="G14" s="124">
        <f t="shared" ref="G14:G16" si="4">SUM(D14:F14)</f>
        <v>0</v>
      </c>
      <c r="I14" s="268" t="s">
        <v>226</v>
      </c>
      <c r="J14" s="283">
        <f>SUM(M9:M10)/-SUM(K9:K10)</f>
        <v>0</v>
      </c>
      <c r="K14" s="149"/>
      <c r="L14" s="128" t="s">
        <v>223</v>
      </c>
      <c r="N14" s="149"/>
      <c r="S14" s="261"/>
      <c r="T14" s="261"/>
    </row>
    <row r="15" spans="2:25" x14ac:dyDescent="0.2">
      <c r="B15" s="543" t="str">
        <f>B10</f>
        <v>Mena Mobile Inc (Debt)</v>
      </c>
      <c r="C15" s="122">
        <f t="shared" ref="C15:C16" si="5">$C$4</f>
        <v>45016</v>
      </c>
      <c r="D15" s="124"/>
      <c r="E15" s="124"/>
      <c r="F15" s="124">
        <f>VLOOKUP(B15,NAV!$B$30:$E$32,4,0)</f>
        <v>2.3539819999999998</v>
      </c>
      <c r="G15" s="124">
        <f t="shared" si="4"/>
        <v>2.3539819999999998</v>
      </c>
      <c r="I15" s="269" t="s">
        <v>142</v>
      </c>
      <c r="J15" s="284">
        <f>SUM(L9:L10)/-SUM(K9:K10)</f>
        <v>0</v>
      </c>
      <c r="K15" s="149"/>
      <c r="L15" s="149"/>
      <c r="M15" s="149"/>
      <c r="N15" s="149"/>
      <c r="P15" s="267" t="s">
        <v>224</v>
      </c>
      <c r="Q15" s="282">
        <f>XIRR(G9:G18,C9:C18)</f>
        <v>-0.35001702047884475</v>
      </c>
      <c r="S15" s="261"/>
      <c r="T15" s="261"/>
    </row>
    <row r="16" spans="2:25" x14ac:dyDescent="0.2">
      <c r="B16" s="543" t="str">
        <f>B11</f>
        <v>Esyasoft Holding (Debt)</v>
      </c>
      <c r="C16" s="122">
        <f t="shared" si="5"/>
        <v>45016</v>
      </c>
      <c r="D16" s="124"/>
      <c r="E16" s="124"/>
      <c r="F16" s="124">
        <f>VLOOKUP(B16,NAV!$B$30:$E$32,4,0)</f>
        <v>0</v>
      </c>
      <c r="G16" s="124">
        <f t="shared" si="4"/>
        <v>0</v>
      </c>
      <c r="J16" s="149"/>
      <c r="K16" s="149"/>
      <c r="L16" s="149"/>
      <c r="M16" s="149"/>
      <c r="N16" s="149"/>
      <c r="P16" s="268" t="s">
        <v>43</v>
      </c>
      <c r="Q16" s="283">
        <f>SUM(T9:U11)/SUM(R9:R11)</f>
        <v>0.26238463991397898</v>
      </c>
      <c r="S16" s="265"/>
      <c r="T16" s="265"/>
    </row>
    <row r="17" spans="9:17" x14ac:dyDescent="0.2">
      <c r="J17" s="149"/>
      <c r="K17" s="149"/>
      <c r="L17" s="149"/>
      <c r="M17" s="149"/>
      <c r="N17" s="149"/>
      <c r="P17" s="268" t="s">
        <v>226</v>
      </c>
      <c r="Q17" s="283">
        <f>SUM(U9:U11)/SUM(R9:R11)</f>
        <v>0.21865477611539633</v>
      </c>
    </row>
    <row r="18" spans="9:17" x14ac:dyDescent="0.2">
      <c r="J18" s="149"/>
      <c r="K18" s="149"/>
      <c r="L18" s="149"/>
      <c r="M18" s="149"/>
      <c r="N18" s="149"/>
      <c r="P18" s="269" t="s">
        <v>142</v>
      </c>
      <c r="Q18" s="284">
        <f>SUM(T9:T11)/SUM(R9:R11)</f>
        <v>4.3729863798582673E-2</v>
      </c>
    </row>
    <row r="19" spans="9:17" x14ac:dyDescent="0.2">
      <c r="I19" s="542" t="str">
        <f>B10</f>
        <v>Mena Mobile Inc (Debt)</v>
      </c>
      <c r="J19" s="119">
        <f>C10</f>
        <v>44293</v>
      </c>
      <c r="K19" s="117">
        <v>-2.3539819999999998</v>
      </c>
      <c r="L19" s="117"/>
      <c r="M19" s="117"/>
      <c r="N19" s="117">
        <f>SUM(K19:M19)</f>
        <v>-2.3539819999999998</v>
      </c>
    </row>
    <row r="20" spans="9:17" x14ac:dyDescent="0.2">
      <c r="I20" s="543" t="str">
        <f>B15</f>
        <v>Mena Mobile Inc (Debt)</v>
      </c>
      <c r="J20" s="122">
        <f>C15</f>
        <v>45016</v>
      </c>
      <c r="K20" s="124"/>
      <c r="L20" s="124"/>
      <c r="M20" s="124">
        <v>2.3539819999999998</v>
      </c>
      <c r="N20" s="124">
        <f>SUM(K20:M20)</f>
        <v>2.3539819999999998</v>
      </c>
    </row>
    <row r="21" spans="9:17" x14ac:dyDescent="0.2">
      <c r="J21" s="149"/>
      <c r="K21" s="149"/>
      <c r="L21" s="149"/>
      <c r="M21" s="149"/>
      <c r="N21" s="149"/>
    </row>
    <row r="22" spans="9:17" x14ac:dyDescent="0.2">
      <c r="I22" s="267" t="s">
        <v>224</v>
      </c>
      <c r="J22" s="296">
        <f>IF(ISERROR(XIRR(N19:N20,J19:J20)),"NM",XIRR(N19:N20,J19:J20))</f>
        <v>2.9802322387695314E-9</v>
      </c>
      <c r="K22" s="149"/>
      <c r="L22" s="128" t="s">
        <v>227</v>
      </c>
      <c r="N22" s="149"/>
    </row>
    <row r="23" spans="9:17" x14ac:dyDescent="0.2">
      <c r="I23" s="268" t="s">
        <v>43</v>
      </c>
      <c r="J23" s="283">
        <f>SUM(L19:M20)/-SUM(K19:K20)</f>
        <v>1</v>
      </c>
      <c r="K23" s="149"/>
      <c r="L23" s="128" t="s">
        <v>42</v>
      </c>
      <c r="M23" s="261"/>
      <c r="N23" s="149"/>
    </row>
    <row r="24" spans="9:17" x14ac:dyDescent="0.2">
      <c r="I24" s="268" t="s">
        <v>226</v>
      </c>
      <c r="J24" s="283">
        <f>SUM(M19:M20)/-SUM(K19:K20)</f>
        <v>1</v>
      </c>
      <c r="K24" s="149"/>
      <c r="L24" s="128" t="s">
        <v>223</v>
      </c>
      <c r="N24" s="149"/>
    </row>
    <row r="25" spans="9:17" x14ac:dyDescent="0.2">
      <c r="I25" s="269" t="s">
        <v>142</v>
      </c>
      <c r="J25" s="284">
        <f>SUM(L19:L20)/-SUM(K19:K20)</f>
        <v>0</v>
      </c>
      <c r="K25" s="149"/>
      <c r="L25" s="149"/>
      <c r="M25" s="149"/>
      <c r="N25" s="149"/>
    </row>
    <row r="28" spans="9:17" x14ac:dyDescent="0.2">
      <c r="I28" s="542" t="str">
        <f>B11</f>
        <v>Esyasoft Holding (Debt)</v>
      </c>
      <c r="J28" s="542">
        <f>C11</f>
        <v>44384</v>
      </c>
      <c r="K28" s="117">
        <v>-0.41176499999999999</v>
      </c>
      <c r="L28" s="117"/>
      <c r="M28" s="117"/>
      <c r="N28" s="117">
        <f>SUM(K28:M28)</f>
        <v>-0.41176499999999999</v>
      </c>
    </row>
    <row r="29" spans="9:17" x14ac:dyDescent="0.2">
      <c r="I29" s="543" t="str">
        <f>B16</f>
        <v>Esyasoft Holding (Debt)</v>
      </c>
      <c r="J29" s="595">
        <f>'CF (Equity, Debt)'!D40</f>
        <v>44902</v>
      </c>
      <c r="K29" s="124"/>
      <c r="L29" s="124"/>
      <c r="M29" s="124">
        <v>0.45643868219178102</v>
      </c>
      <c r="N29" s="124">
        <f>SUM(K29:M29)</f>
        <v>0.45643868219178102</v>
      </c>
    </row>
    <row r="30" spans="9:17" x14ac:dyDescent="0.2">
      <c r="J30" s="149"/>
      <c r="K30" s="149"/>
      <c r="L30" s="149"/>
      <c r="M30" s="149"/>
      <c r="N30" s="149"/>
    </row>
    <row r="31" spans="9:17" x14ac:dyDescent="0.2">
      <c r="I31" s="267" t="s">
        <v>224</v>
      </c>
      <c r="J31" s="594">
        <f>IF(ISERROR(XIRR(N28:N29,J28:J29)),"NM",XIRR(N28:N29,J28:J29))</f>
        <v>7.5277027487754833E-2</v>
      </c>
      <c r="K31" s="149"/>
      <c r="L31" s="128" t="s">
        <v>227</v>
      </c>
      <c r="N31" s="149"/>
    </row>
    <row r="32" spans="9:17" x14ac:dyDescent="0.2">
      <c r="I32" s="268" t="s">
        <v>43</v>
      </c>
      <c r="J32" s="283">
        <f>SUM(L28:M29)/-SUM(K28:K29)</f>
        <v>1.108493150684932</v>
      </c>
      <c r="K32" s="149"/>
      <c r="L32" s="128" t="s">
        <v>42</v>
      </c>
      <c r="M32" s="261"/>
      <c r="N32" s="149"/>
    </row>
    <row r="33" spans="9:14" x14ac:dyDescent="0.2">
      <c r="I33" s="268" t="s">
        <v>226</v>
      </c>
      <c r="J33" s="283">
        <f>SUM(M28:M29)/-SUM(K28:K29)</f>
        <v>1.108493150684932</v>
      </c>
      <c r="K33" s="149"/>
      <c r="L33" s="128" t="s">
        <v>223</v>
      </c>
      <c r="N33" s="149"/>
    </row>
    <row r="34" spans="9:14" x14ac:dyDescent="0.2">
      <c r="I34" s="269" t="s">
        <v>142</v>
      </c>
      <c r="J34" s="284">
        <f>SUM(L28:L29)/-SUM(K28:K29)</f>
        <v>0</v>
      </c>
      <c r="K34" s="149"/>
      <c r="L34" s="149"/>
      <c r="M34" s="149"/>
      <c r="N34" s="149"/>
    </row>
  </sheetData>
  <pageMargins left="0.7" right="0.7" top="0.75" bottom="0.75" header="0.3" footer="0.3"/>
  <ignoredErrors>
    <ignoredError sqref="N9:N19 N28:N29 G9:G11" formulaRange="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3"/>
  <sheetViews>
    <sheetView topLeftCell="B1" zoomScale="90" zoomScaleNormal="90" workbookViewId="0">
      <selection activeCell="E27" sqref="E27"/>
    </sheetView>
  </sheetViews>
  <sheetFormatPr defaultRowHeight="12.75" x14ac:dyDescent="0.2"/>
  <cols>
    <col min="1" max="1" width="2.85546875" style="137" customWidth="1"/>
    <col min="2" max="2" width="24" style="137" bestFit="1" customWidth="1"/>
    <col min="3" max="3" width="18.85546875" style="137" customWidth="1"/>
    <col min="4" max="4" width="13.140625" style="137" customWidth="1"/>
    <col min="5" max="5" width="13.42578125" style="137" customWidth="1"/>
    <col min="6" max="6" width="12.85546875" style="137" bestFit="1" customWidth="1"/>
    <col min="7" max="7" width="11.140625" style="137" customWidth="1"/>
    <col min="8" max="8" width="3.7109375" style="137" customWidth="1"/>
    <col min="9" max="9" width="24" style="137" bestFit="1" customWidth="1"/>
    <col min="10" max="10" width="13.42578125" style="149" customWidth="1"/>
    <col min="11" max="11" width="12.7109375" style="149" customWidth="1"/>
    <col min="12" max="13" width="12.85546875" style="149" bestFit="1" customWidth="1"/>
    <col min="14" max="14" width="10.85546875" style="149" customWidth="1"/>
    <col min="15" max="15" width="4.140625" style="137" customWidth="1"/>
    <col min="16" max="16" width="34" style="137" bestFit="1" customWidth="1"/>
    <col min="17" max="21" width="15.42578125" style="137" customWidth="1"/>
    <col min="22" max="25" width="11.42578125" style="137" customWidth="1"/>
    <col min="26" max="16384" width="9.140625" style="137"/>
  </cols>
  <sheetData>
    <row r="2" spans="2:25" s="164" customFormat="1" ht="43.5" customHeight="1" x14ac:dyDescent="0.45">
      <c r="B2" s="345" t="s">
        <v>287</v>
      </c>
      <c r="C2" s="346"/>
      <c r="D2" s="346"/>
      <c r="E2" s="401" t="s">
        <v>533</v>
      </c>
      <c r="F2" s="625" t="b">
        <f>COUNTA(B8:B48)=COUNTA('CF (Funds)'!B3:B43)</f>
        <v>1</v>
      </c>
      <c r="G2" s="353"/>
      <c r="H2" s="353"/>
      <c r="I2" s="353"/>
      <c r="J2" s="347"/>
      <c r="K2" s="348"/>
      <c r="L2" s="347"/>
    </row>
    <row r="3" spans="2:25" ht="13.5" thickBot="1" x14ac:dyDescent="0.25"/>
    <row r="4" spans="2:25" ht="13.5" thickBot="1" x14ac:dyDescent="0.25">
      <c r="B4" s="271" t="s">
        <v>235</v>
      </c>
      <c r="C4" s="285">
        <f>D!D2</f>
        <v>45016</v>
      </c>
      <c r="I4" s="289" t="s">
        <v>238</v>
      </c>
      <c r="J4" s="290"/>
      <c r="K4" s="290"/>
      <c r="L4" s="290"/>
      <c r="M4" s="290"/>
      <c r="N4" s="290"/>
      <c r="O4" s="128"/>
      <c r="P4" s="289" t="s">
        <v>239</v>
      </c>
      <c r="Q4" s="291"/>
      <c r="R4" s="291"/>
      <c r="S4" s="291"/>
      <c r="T4" s="291"/>
      <c r="U4" s="291"/>
      <c r="V4" s="291"/>
      <c r="W4" s="291"/>
      <c r="X4" s="291"/>
      <c r="Y4" s="291"/>
    </row>
    <row r="5" spans="2:25" x14ac:dyDescent="0.2">
      <c r="B5" s="293"/>
      <c r="C5" s="294"/>
      <c r="D5" s="295"/>
      <c r="I5" s="289"/>
      <c r="J5" s="290"/>
      <c r="K5" s="290"/>
      <c r="L5" s="290"/>
      <c r="M5" s="290"/>
      <c r="N5" s="290"/>
      <c r="O5" s="128"/>
      <c r="P5" s="289"/>
      <c r="Q5" s="291"/>
      <c r="R5" s="291"/>
      <c r="S5" s="291"/>
      <c r="T5" s="291"/>
      <c r="U5" s="291"/>
      <c r="V5" s="291"/>
      <c r="W5" s="291"/>
      <c r="X5" s="291"/>
      <c r="Y5" s="291"/>
    </row>
    <row r="6" spans="2:25" x14ac:dyDescent="0.2">
      <c r="B6" s="292" t="s">
        <v>46</v>
      </c>
      <c r="I6" s="270"/>
    </row>
    <row r="7" spans="2:25" ht="33.75" customHeight="1" x14ac:dyDescent="0.2">
      <c r="B7" s="113" t="s">
        <v>6</v>
      </c>
      <c r="C7" s="126" t="s">
        <v>7</v>
      </c>
      <c r="D7" s="127" t="s">
        <v>245</v>
      </c>
      <c r="E7" s="544" t="s">
        <v>246</v>
      </c>
      <c r="F7" s="127" t="s">
        <v>223</v>
      </c>
      <c r="G7" s="127" t="s">
        <v>225</v>
      </c>
      <c r="I7" s="126"/>
      <c r="J7" s="126"/>
      <c r="K7" s="127" t="s">
        <v>141</v>
      </c>
      <c r="L7" s="127" t="s">
        <v>234</v>
      </c>
      <c r="M7" s="127" t="s">
        <v>223</v>
      </c>
      <c r="N7" s="127" t="s">
        <v>225</v>
      </c>
      <c r="P7" s="126"/>
      <c r="Q7" s="126" t="s">
        <v>41</v>
      </c>
      <c r="R7" s="127" t="s">
        <v>2</v>
      </c>
      <c r="S7" s="127" t="s">
        <v>60</v>
      </c>
      <c r="T7" s="127" t="s">
        <v>42</v>
      </c>
      <c r="U7" s="127" t="s">
        <v>223</v>
      </c>
      <c r="V7" s="127" t="s">
        <v>32</v>
      </c>
      <c r="W7" s="127" t="s">
        <v>43</v>
      </c>
      <c r="X7" s="127" t="s">
        <v>236</v>
      </c>
      <c r="Y7" s="127" t="s">
        <v>142</v>
      </c>
    </row>
    <row r="8" spans="2:25" x14ac:dyDescent="0.2">
      <c r="B8" s="116" t="str">
        <f>'CF (Funds)'!B3</f>
        <v>Sinovation Disrupt Fund, L.P.</v>
      </c>
      <c r="C8" s="432">
        <f>'CF (Funds)'!C3</f>
        <v>44153</v>
      </c>
      <c r="D8" s="117">
        <f>'CF (Funds)'!D3</f>
        <v>-10.5</v>
      </c>
      <c r="E8" s="545">
        <f>'CF (Funds)'!E3</f>
        <v>0</v>
      </c>
      <c r="F8" s="117"/>
      <c r="G8" s="117">
        <f>SUM(D8:F8)</f>
        <v>-10.5</v>
      </c>
      <c r="P8" s="262" t="s">
        <v>39</v>
      </c>
      <c r="V8" s="266"/>
    </row>
    <row r="9" spans="2:25" x14ac:dyDescent="0.2">
      <c r="B9" s="116" t="str">
        <f>'CF (Funds)'!B4</f>
        <v>Sinovation Disrupt Fund, L.P.</v>
      </c>
      <c r="C9" s="432">
        <f>'CF (Funds)'!C4</f>
        <v>44238</v>
      </c>
      <c r="D9" s="117">
        <f>'CF (Funds)'!D4</f>
        <v>4.2140269999999997</v>
      </c>
      <c r="E9" s="545">
        <f>'CF (Funds)'!E4</f>
        <v>0</v>
      </c>
      <c r="F9" s="117"/>
      <c r="G9" s="117">
        <f t="shared" ref="G9:G19" si="0">SUM(D9:F9)</f>
        <v>4.2140269999999997</v>
      </c>
      <c r="I9" s="116" t="str">
        <f t="shared" ref="I9:M15" si="1">B36</f>
        <v>New Space Capital Fund I</v>
      </c>
      <c r="J9" s="119">
        <f t="shared" si="1"/>
        <v>44087</v>
      </c>
      <c r="K9" s="117">
        <f t="shared" si="1"/>
        <v>-20.917552997000001</v>
      </c>
      <c r="L9" s="545">
        <f t="shared" si="1"/>
        <v>0</v>
      </c>
      <c r="M9" s="545">
        <f t="shared" si="1"/>
        <v>0</v>
      </c>
      <c r="N9" s="117">
        <f t="shared" ref="N9:N10" si="2">SUM(K9:M9)</f>
        <v>-20.917552997000001</v>
      </c>
      <c r="P9" s="264" t="s">
        <v>174</v>
      </c>
      <c r="Q9" s="263">
        <v>25.557908058353444</v>
      </c>
      <c r="R9" s="263">
        <f ca="1">-SUMIF($B$7:$F$104,$P9,$D$7:$D$104)</f>
        <v>11.058034651530003</v>
      </c>
      <c r="S9" s="263">
        <f ca="1">Q9-R9</f>
        <v>14.499873406823442</v>
      </c>
      <c r="T9" s="263">
        <f ca="1">SUMIF($B$7:$F$104,$P9,$E$7:$E$104)</f>
        <v>2.9557743514081998</v>
      </c>
      <c r="U9" s="263">
        <f ca="1">SUMIF($B$7:$F$104,$P9,$F$7:$F$104)</f>
        <v>14.29489121145</v>
      </c>
      <c r="V9" s="288">
        <f>J18</f>
        <v>0.10904429554939268</v>
      </c>
      <c r="W9" s="277">
        <f ca="1">(T9+U9)/R9</f>
        <v>1.5600118923909663</v>
      </c>
      <c r="X9" s="277">
        <f ca="1">U9/R9</f>
        <v>1.2927153569257575</v>
      </c>
      <c r="Y9" s="277">
        <f ca="1">T9/R9</f>
        <v>0.26729653546520904</v>
      </c>
    </row>
    <row r="10" spans="2:25" x14ac:dyDescent="0.2">
      <c r="B10" s="116" t="str">
        <f>'CF (Funds)'!B5</f>
        <v>Sinovation Disrupt Fund, L.P.</v>
      </c>
      <c r="C10" s="432">
        <f>'CF (Funds)'!C5</f>
        <v>44238</v>
      </c>
      <c r="D10" s="117">
        <f>'CF (Funds)'!D5</f>
        <v>0</v>
      </c>
      <c r="E10" s="545">
        <f>'CF (Funds)'!E5</f>
        <v>5.0448349999999996E-2</v>
      </c>
      <c r="F10" s="117"/>
      <c r="G10" s="117">
        <f t="shared" si="0"/>
        <v>5.0448349999999996E-2</v>
      </c>
      <c r="I10" s="116" t="str">
        <f t="shared" si="1"/>
        <v>New Space Capital Fund I</v>
      </c>
      <c r="J10" s="119">
        <f t="shared" si="1"/>
        <v>44287</v>
      </c>
      <c r="K10" s="117">
        <f t="shared" si="1"/>
        <v>-0.21103182000000001</v>
      </c>
      <c r="L10" s="545">
        <f t="shared" si="1"/>
        <v>0</v>
      </c>
      <c r="M10" s="545">
        <f t="shared" si="1"/>
        <v>0</v>
      </c>
      <c r="N10" s="117">
        <f t="shared" si="2"/>
        <v>-0.21103182000000001</v>
      </c>
      <c r="P10" s="264" t="s">
        <v>156</v>
      </c>
      <c r="Q10" s="263">
        <v>2.7058823529411762</v>
      </c>
      <c r="R10" s="263">
        <f ca="1">-SUMIF($B$7:$F$104,$P10,$D$7:$D$104)</f>
        <v>2.7058823529411762</v>
      </c>
      <c r="S10" s="263">
        <f t="shared" ref="S10:S13" ca="1" si="3">Q10-R10</f>
        <v>0</v>
      </c>
      <c r="T10" s="263">
        <f ca="1">SUMIF($B$7:$F$104,$P10,$E$7:$E$104)</f>
        <v>0</v>
      </c>
      <c r="U10" s="263">
        <f ca="1">SUMIF($B$7:$F$104,$P10,$F$7:$F$104)</f>
        <v>2.7058823529411762</v>
      </c>
      <c r="V10" s="288">
        <v>0</v>
      </c>
      <c r="W10" s="277">
        <f t="shared" ref="W10:W13" ca="1" si="4">(T10+U10)/R10</f>
        <v>1</v>
      </c>
      <c r="X10" s="277">
        <f t="shared" ref="X10:X13" ca="1" si="5">U10/R10</f>
        <v>1</v>
      </c>
      <c r="Y10" s="277">
        <f t="shared" ref="Y10:Y13" ca="1" si="6">T10/R10</f>
        <v>0</v>
      </c>
    </row>
    <row r="11" spans="2:25" x14ac:dyDescent="0.2">
      <c r="B11" s="116" t="str">
        <f>'CF (Funds)'!B6</f>
        <v>Sinovation Disrupt Fund, L.P.</v>
      </c>
      <c r="C11" s="432">
        <f>'CF (Funds)'!C6</f>
        <v>44285</v>
      </c>
      <c r="D11" s="117">
        <f>'CF (Funds)'!D6</f>
        <v>-6.4337459999999993</v>
      </c>
      <c r="E11" s="545">
        <f>'CF (Funds)'!E6</f>
        <v>0</v>
      </c>
      <c r="F11" s="117"/>
      <c r="G11" s="117">
        <f t="shared" si="0"/>
        <v>-6.4337459999999993</v>
      </c>
      <c r="I11" s="116" t="str">
        <f t="shared" si="1"/>
        <v>New Space Capital Fund I</v>
      </c>
      <c r="J11" s="119">
        <f t="shared" si="1"/>
        <v>44442</v>
      </c>
      <c r="K11" s="117">
        <f t="shared" si="1"/>
        <v>-0.23965473139999999</v>
      </c>
      <c r="L11" s="545">
        <f t="shared" si="1"/>
        <v>0</v>
      </c>
      <c r="M11" s="545">
        <f t="shared" si="1"/>
        <v>0</v>
      </c>
      <c r="N11" s="117">
        <f t="shared" ref="N11:N14" si="7">SUM(K11:M11)</f>
        <v>-0.23965473139999999</v>
      </c>
      <c r="P11" s="264" t="s">
        <v>1</v>
      </c>
      <c r="Q11" s="263">
        <v>300</v>
      </c>
      <c r="R11" s="263">
        <f ca="1">-SUMIF($B$7:$F$104,$P11,$D$7:$D$104)</f>
        <v>83.214652999999984</v>
      </c>
      <c r="S11" s="263">
        <f ca="1">Q11-R11+T11</f>
        <v>217.81330800000001</v>
      </c>
      <c r="T11" s="263">
        <f ca="1">SUMIF($B$7:$F$104,$P11,$E$7:$E$104)</f>
        <v>1.0279609999999999</v>
      </c>
      <c r="U11" s="263">
        <f ca="1">SUMIF($B$7:$F$104,$P11,$F$7:$F$104)</f>
        <v>70.03</v>
      </c>
      <c r="V11" s="288">
        <f>J49</f>
        <v>-6.4168629050254805E-2</v>
      </c>
      <c r="W11" s="277">
        <f t="shared" ca="1" si="4"/>
        <v>0.85391164222003091</v>
      </c>
      <c r="X11" s="277">
        <f t="shared" ca="1" si="5"/>
        <v>0.84155851734429532</v>
      </c>
      <c r="Y11" s="277">
        <f t="shared" ca="1" si="6"/>
        <v>1.2353124875735528E-2</v>
      </c>
    </row>
    <row r="12" spans="2:25" x14ac:dyDescent="0.2">
      <c r="B12" s="116" t="str">
        <f>'CF (Funds)'!B7</f>
        <v>Sinovation Disrupt Fund, L.P.</v>
      </c>
      <c r="C12" s="432">
        <f>'CF (Funds)'!C7</f>
        <v>44269</v>
      </c>
      <c r="D12" s="117">
        <f>'CF (Funds)'!D7</f>
        <v>1.1352073899999999</v>
      </c>
      <c r="E12" s="545">
        <f>'CF (Funds)'!E7</f>
        <v>0</v>
      </c>
      <c r="F12" s="117"/>
      <c r="G12" s="117">
        <f t="shared" si="0"/>
        <v>1.1352073899999999</v>
      </c>
      <c r="I12" s="116" t="str">
        <f t="shared" si="1"/>
        <v>New Space Capital Fund I</v>
      </c>
      <c r="J12" s="119">
        <f t="shared" si="1"/>
        <v>44623</v>
      </c>
      <c r="K12" s="117">
        <f t="shared" si="1"/>
        <v>-0.25893584940000003</v>
      </c>
      <c r="L12" s="545">
        <f t="shared" si="1"/>
        <v>0</v>
      </c>
      <c r="M12" s="545">
        <f t="shared" si="1"/>
        <v>0</v>
      </c>
      <c r="N12" s="117">
        <f t="shared" si="7"/>
        <v>-0.25893584940000003</v>
      </c>
      <c r="P12" s="264" t="s">
        <v>15</v>
      </c>
      <c r="Q12" s="263">
        <v>50</v>
      </c>
      <c r="R12" s="263">
        <f ca="1">-SUMIF($B$7:$F$104,$P12,$D$7:$D$104)</f>
        <v>22.657267000000001</v>
      </c>
      <c r="S12" s="263">
        <f t="shared" ca="1" si="3"/>
        <v>27.342732999999999</v>
      </c>
      <c r="T12" s="263">
        <f ca="1">SUMIF($B$7:$F$104,$P12,$E$7:$E$104)</f>
        <v>0.44382834999999998</v>
      </c>
      <c r="U12" s="263">
        <f ca="1">SUMIF($B$7:$F$104,$P12,$F$7:$F$104)</f>
        <v>21.515750000000001</v>
      </c>
      <c r="V12" s="288">
        <f>J71</f>
        <v>-1.8159523606300351E-2</v>
      </c>
      <c r="W12" s="277">
        <f t="shared" ca="1" si="4"/>
        <v>0.96920684873422736</v>
      </c>
      <c r="X12" s="277">
        <f t="shared" ca="1" si="5"/>
        <v>0.94961806293759965</v>
      </c>
      <c r="Y12" s="277">
        <f t="shared" ca="1" si="6"/>
        <v>1.9588785796627633E-2</v>
      </c>
    </row>
    <row r="13" spans="2:25" x14ac:dyDescent="0.2">
      <c r="B13" s="116" t="str">
        <f>'CF (Funds)'!B8</f>
        <v>Sinovation Disrupt Fund, L.P.</v>
      </c>
      <c r="C13" s="432">
        <f>'CF (Funds)'!C8</f>
        <v>44269</v>
      </c>
      <c r="D13" s="117">
        <f>'CF (Funds)'!D8</f>
        <v>0</v>
      </c>
      <c r="E13" s="545">
        <f>'CF (Funds)'!E8</f>
        <v>2.5899999999999999E-2</v>
      </c>
      <c r="F13" s="117"/>
      <c r="G13" s="117">
        <f t="shared" si="0"/>
        <v>2.5899999999999999E-2</v>
      </c>
      <c r="I13" s="116" t="str">
        <f t="shared" si="1"/>
        <v>New Space Capital Fund I</v>
      </c>
      <c r="J13" s="119">
        <f t="shared" si="1"/>
        <v>44784</v>
      </c>
      <c r="K13" s="117">
        <f t="shared" si="1"/>
        <v>1.5224656599999999E-2</v>
      </c>
      <c r="L13" s="545">
        <f t="shared" si="1"/>
        <v>0</v>
      </c>
      <c r="M13" s="545">
        <f t="shared" si="1"/>
        <v>0</v>
      </c>
      <c r="N13" s="117">
        <f t="shared" si="7"/>
        <v>1.5224656599999999E-2</v>
      </c>
      <c r="P13" s="264" t="s">
        <v>237</v>
      </c>
      <c r="Q13" s="263">
        <v>17.112500000000001</v>
      </c>
      <c r="R13" s="263">
        <f ca="1">-SUMIF($B$7:$F$104,$P13,$D$7:$D$104)</f>
        <v>14.0151375</v>
      </c>
      <c r="S13" s="263">
        <f t="shared" ca="1" si="3"/>
        <v>3.0973625000000009</v>
      </c>
      <c r="T13" s="263">
        <f ca="1">SUMIF($B$7:$F$104,$P13,$E$7:$E$104)</f>
        <v>0</v>
      </c>
      <c r="U13" s="263">
        <f ca="1">SUMIF($B$7:$F$104,$P13,$F$7:$F$104)</f>
        <v>13.742841</v>
      </c>
      <c r="V13" s="288">
        <f>J84</f>
        <v>-2.1553859114646915E-2</v>
      </c>
      <c r="W13" s="277">
        <f t="shared" ca="1" si="4"/>
        <v>0.98057125732801409</v>
      </c>
      <c r="X13" s="277">
        <f t="shared" ca="1" si="5"/>
        <v>0.98057125732801409</v>
      </c>
      <c r="Y13" s="277">
        <f t="shared" ca="1" si="6"/>
        <v>0</v>
      </c>
    </row>
    <row r="14" spans="2:25" x14ac:dyDescent="0.2">
      <c r="B14" s="116" t="str">
        <f>'CF (Funds)'!B9</f>
        <v>Sinovation Disrupt Fund, L.P.</v>
      </c>
      <c r="C14" s="432">
        <f>'CF (Funds)'!C9</f>
        <v>44483</v>
      </c>
      <c r="D14" s="117">
        <f>'CF (Funds)'!D9</f>
        <v>-7.5671379999999999</v>
      </c>
      <c r="E14" s="545">
        <f>'CF (Funds)'!E9</f>
        <v>0</v>
      </c>
      <c r="F14" s="117"/>
      <c r="G14" s="117">
        <f t="shared" si="0"/>
        <v>-7.5671379999999999</v>
      </c>
      <c r="I14" s="116" t="str">
        <f t="shared" si="1"/>
        <v>New Space Capital Fund I</v>
      </c>
      <c r="J14" s="119">
        <f t="shared" si="1"/>
        <v>44956</v>
      </c>
      <c r="K14" s="117">
        <f t="shared" si="1"/>
        <v>10.553916089669999</v>
      </c>
      <c r="L14" s="545">
        <f t="shared" si="1"/>
        <v>0</v>
      </c>
      <c r="M14" s="545">
        <f t="shared" si="1"/>
        <v>0</v>
      </c>
      <c r="N14" s="117">
        <f t="shared" si="7"/>
        <v>10.553916089669999</v>
      </c>
      <c r="Q14" s="275"/>
      <c r="R14" s="272"/>
      <c r="S14" s="273"/>
      <c r="T14" s="273"/>
      <c r="U14" s="273"/>
      <c r="V14" s="490"/>
      <c r="W14" s="273"/>
      <c r="X14" s="273"/>
    </row>
    <row r="15" spans="2:25" x14ac:dyDescent="0.2">
      <c r="B15" s="116" t="str">
        <f>'CF (Funds)'!B10</f>
        <v>Sinovation Disrupt Fund, L.P.</v>
      </c>
      <c r="C15" s="432">
        <f>'CF (Funds)'!C10</f>
        <v>44554</v>
      </c>
      <c r="D15" s="117">
        <f>'CF (Funds)'!D10</f>
        <v>-7.3850159999999994</v>
      </c>
      <c r="E15" s="545">
        <f>'CF (Funds)'!E10</f>
        <v>0</v>
      </c>
      <c r="F15" s="117"/>
      <c r="G15" s="117">
        <f t="shared" si="0"/>
        <v>-7.3850159999999994</v>
      </c>
      <c r="I15" s="116" t="str">
        <f t="shared" si="1"/>
        <v>New Space Capital Fund I</v>
      </c>
      <c r="J15" s="119">
        <f t="shared" si="1"/>
        <v>44956</v>
      </c>
      <c r="K15" s="117">
        <f t="shared" si="1"/>
        <v>0</v>
      </c>
      <c r="L15" s="545">
        <f t="shared" si="1"/>
        <v>2.9557743514081998</v>
      </c>
      <c r="M15" s="545">
        <f t="shared" si="1"/>
        <v>0</v>
      </c>
      <c r="N15" s="117">
        <f>SUM(K15:M15)</f>
        <v>2.9557743514081998</v>
      </c>
      <c r="P15" s="274" t="s">
        <v>76</v>
      </c>
      <c r="Q15" s="276">
        <f>SUM(Q9:Q14)</f>
        <v>395.37629041129463</v>
      </c>
      <c r="R15" s="276">
        <f ca="1">SUM(R9:R14)</f>
        <v>133.65097450447118</v>
      </c>
      <c r="S15" s="276">
        <f ca="1">SUM(S9:S14)</f>
        <v>262.75327690682343</v>
      </c>
      <c r="T15" s="276">
        <f ca="1">SUM(T9:T14)</f>
        <v>4.4275637014082001</v>
      </c>
      <c r="U15" s="276">
        <f ca="1">SUM(U9:U14)</f>
        <v>122.28936456439118</v>
      </c>
      <c r="V15" s="420">
        <f>XIRR(G8:G59,C8:C59)</f>
        <v>-2.269576042890549E-2</v>
      </c>
      <c r="W15" s="278">
        <f t="shared" ref="W15" ca="1" si="8">(T15+U15)/R15</f>
        <v>0.94811825155498719</v>
      </c>
      <c r="X15" s="278">
        <f t="shared" ref="X15" ca="1" si="9">U15/R15</f>
        <v>0.91499044446024669</v>
      </c>
      <c r="Y15" s="278">
        <f t="shared" ref="Y15" ca="1" si="10">T15/R15</f>
        <v>3.3127807094740488E-2</v>
      </c>
    </row>
    <row r="16" spans="2:25" x14ac:dyDescent="0.2">
      <c r="B16" s="116" t="str">
        <f>'CF (Funds)'!B11</f>
        <v>Sinovation Disrupt Fund, L.P.</v>
      </c>
      <c r="C16" s="432">
        <f>'CF (Funds)'!C11</f>
        <v>44554</v>
      </c>
      <c r="D16" s="117">
        <f>'CF (Funds)'!D11</f>
        <v>4.0733456099999996</v>
      </c>
      <c r="E16" s="545">
        <f>'CF (Funds)'!E11</f>
        <v>0</v>
      </c>
      <c r="F16" s="117"/>
      <c r="G16" s="117">
        <f t="shared" si="0"/>
        <v>4.0733456099999996</v>
      </c>
      <c r="I16" s="121" t="s">
        <v>174</v>
      </c>
      <c r="J16" s="122">
        <f>$C$4</f>
        <v>45016</v>
      </c>
      <c r="K16" s="124"/>
      <c r="L16" s="124"/>
      <c r="M16" s="124">
        <f>F51</f>
        <v>14.29489121145</v>
      </c>
      <c r="N16" s="124">
        <f>SUM(K16:M16)</f>
        <v>14.29489121145</v>
      </c>
      <c r="P16" s="128"/>
    </row>
    <row r="17" spans="2:20" x14ac:dyDescent="0.2">
      <c r="B17" s="116" t="str">
        <f>'CF (Funds)'!B12</f>
        <v>Sinovation Disrupt Fund, L.P.</v>
      </c>
      <c r="C17" s="432">
        <f>'CF (Funds)'!C12</f>
        <v>44554</v>
      </c>
      <c r="D17" s="117">
        <f>'CF (Funds)'!D12</f>
        <v>0</v>
      </c>
      <c r="E17" s="545">
        <f>'CF (Funds)'!E12</f>
        <v>0.13969399999999998</v>
      </c>
      <c r="F17" s="117"/>
      <c r="G17" s="117">
        <f t="shared" si="0"/>
        <v>0.13969399999999998</v>
      </c>
      <c r="S17" s="261"/>
      <c r="T17" s="261"/>
    </row>
    <row r="18" spans="2:20" x14ac:dyDescent="0.2">
      <c r="B18" s="116" t="str">
        <f>'CF (Funds)'!B13</f>
        <v>Sinovation Disrupt Fund, L.P.</v>
      </c>
      <c r="C18" s="432">
        <f>'CF (Funds)'!C13</f>
        <v>44703</v>
      </c>
      <c r="D18" s="117">
        <f>'CF (Funds)'!D13</f>
        <v>5.6730739999999997</v>
      </c>
      <c r="E18" s="545">
        <f>'CF (Funds)'!E13</f>
        <v>0</v>
      </c>
      <c r="F18" s="117"/>
      <c r="G18" s="117">
        <f t="shared" si="0"/>
        <v>5.6730739999999997</v>
      </c>
      <c r="I18" s="267" t="s">
        <v>224</v>
      </c>
      <c r="J18" s="282">
        <f>XIRR(N9:N16,J9:J16)</f>
        <v>0.10904429554939268</v>
      </c>
      <c r="L18" s="128" t="s">
        <v>227</v>
      </c>
      <c r="M18" s="137" t="b">
        <f>-SUM(K9:K16)='Summary | 01 '!K36</f>
        <v>1</v>
      </c>
      <c r="P18" s="267" t="s">
        <v>224</v>
      </c>
      <c r="Q18" s="624">
        <f>XIRR(G8:G59,C8:C59)</f>
        <v>-2.269576042890549E-2</v>
      </c>
      <c r="S18" s="261"/>
      <c r="T18" s="261"/>
    </row>
    <row r="19" spans="2:20" x14ac:dyDescent="0.2">
      <c r="B19" s="116" t="str">
        <f>'CF (Funds)'!B14</f>
        <v>Sinovation Disrupt Fund, L.P.</v>
      </c>
      <c r="C19" s="432">
        <f>'CF (Funds)'!C14</f>
        <v>44703</v>
      </c>
      <c r="D19" s="117">
        <f>'CF (Funds)'!D14</f>
        <v>0</v>
      </c>
      <c r="E19" s="545">
        <f>'CF (Funds)'!E14</f>
        <v>0.22778599999999999</v>
      </c>
      <c r="F19" s="117"/>
      <c r="G19" s="117">
        <f t="shared" si="0"/>
        <v>0.22778599999999999</v>
      </c>
      <c r="I19" s="268" t="s">
        <v>43</v>
      </c>
      <c r="J19" s="283">
        <f>SUM(L9:M16)/-SUM(K9:K16)</f>
        <v>1.5600118923909663</v>
      </c>
      <c r="L19" s="128" t="s">
        <v>42</v>
      </c>
      <c r="M19" s="261" t="b">
        <f>-SUM(L9:L17)=-'Summary | 01 '!M36</f>
        <v>1</v>
      </c>
      <c r="P19" s="268" t="s">
        <v>43</v>
      </c>
      <c r="Q19" s="283">
        <f ca="1">SUM(T9:U13)/SUM(R9:R13)</f>
        <v>0.94811825155498719</v>
      </c>
      <c r="S19" s="265"/>
      <c r="T19" s="265"/>
    </row>
    <row r="20" spans="2:20" x14ac:dyDescent="0.2">
      <c r="B20" s="116" t="str">
        <f>'CF (Funds)'!B15</f>
        <v>Sinovation Disrupt Fund, L.P.</v>
      </c>
      <c r="C20" s="432">
        <f>'CF (Funds)'!C15</f>
        <v>44776</v>
      </c>
      <c r="D20" s="117">
        <f>'CF (Funds)'!D15</f>
        <v>-3.235493</v>
      </c>
      <c r="E20" s="545">
        <f>'CF (Funds)'!E15</f>
        <v>0</v>
      </c>
      <c r="F20" s="117"/>
      <c r="G20" s="117">
        <f t="shared" ref="G20" si="11">SUM(D20:F20)</f>
        <v>-3.235493</v>
      </c>
      <c r="I20" s="268" t="s">
        <v>226</v>
      </c>
      <c r="J20" s="283">
        <f>SUM(M9:M16)/-SUM(K9:K16)</f>
        <v>1.2927153569257575</v>
      </c>
      <c r="L20" s="128" t="s">
        <v>223</v>
      </c>
      <c r="M20" s="137" t="b">
        <f>M16='Summary | 01 '!N36</f>
        <v>1</v>
      </c>
      <c r="P20" s="268" t="s">
        <v>226</v>
      </c>
      <c r="Q20" s="283">
        <f ca="1">SUM(U9:U13)/SUM(R9:R13)</f>
        <v>0.91499044446024669</v>
      </c>
    </row>
    <row r="21" spans="2:20" x14ac:dyDescent="0.2">
      <c r="B21" s="116" t="str">
        <f>'CF (Funds)'!B16</f>
        <v>Sinovation Disrupt Fund, L.P.</v>
      </c>
      <c r="C21" s="432">
        <f>'CF (Funds)'!C16</f>
        <v>44960</v>
      </c>
      <c r="D21" s="117">
        <f>'CF (Funds)'!D16</f>
        <v>-2.6315279999999999</v>
      </c>
      <c r="E21" s="545">
        <f>'CF (Funds)'!E16</f>
        <v>0</v>
      </c>
      <c r="F21" s="117"/>
      <c r="G21" s="117">
        <f t="shared" ref="G21" si="12">SUM(D21:F21)</f>
        <v>-2.6315279999999999</v>
      </c>
      <c r="I21" s="269" t="s">
        <v>142</v>
      </c>
      <c r="J21" s="284">
        <f>SUM(L9:L16)/-SUM(K9:K16)</f>
        <v>0.26729653546520904</v>
      </c>
      <c r="P21" s="269" t="s">
        <v>142</v>
      </c>
      <c r="Q21" s="284">
        <f ca="1">SUM(T9:T13)/SUM(R9:R13)</f>
        <v>3.3127807094740488E-2</v>
      </c>
    </row>
    <row r="22" spans="2:20" x14ac:dyDescent="0.2">
      <c r="B22" s="121" t="str">
        <f>'CF (Funds)'!B17</f>
        <v>North Summit Capital Fund</v>
      </c>
      <c r="C22" s="433">
        <f>'CF (Funds)'!C17</f>
        <v>43665</v>
      </c>
      <c r="D22" s="124">
        <f>'CF (Funds)'!D17</f>
        <v>-3</v>
      </c>
      <c r="E22" s="546">
        <f>'CF (Funds)'!E17</f>
        <v>0</v>
      </c>
      <c r="F22" s="124"/>
      <c r="G22" s="124">
        <f t="shared" ref="G22:G38" si="13">SUM(D22:F22)</f>
        <v>-3</v>
      </c>
    </row>
    <row r="23" spans="2:20" x14ac:dyDescent="0.2">
      <c r="B23" s="121" t="str">
        <f>'CF (Funds)'!B18</f>
        <v>North Summit Capital Fund</v>
      </c>
      <c r="C23" s="433">
        <f>'CF (Funds)'!C18</f>
        <v>43983</v>
      </c>
      <c r="D23" s="124">
        <f>'CF (Funds)'!D18</f>
        <v>-4.4849999999999994</v>
      </c>
      <c r="E23" s="546">
        <f>'CF (Funds)'!E18</f>
        <v>0</v>
      </c>
      <c r="F23" s="124"/>
      <c r="G23" s="124">
        <f t="shared" si="13"/>
        <v>-4.4849999999999994</v>
      </c>
    </row>
    <row r="24" spans="2:20" x14ac:dyDescent="0.2">
      <c r="B24" s="121" t="str">
        <f>'CF (Funds)'!B19</f>
        <v>North Summit Capital Fund</v>
      </c>
      <c r="C24" s="433">
        <f>'CF (Funds)'!C19</f>
        <v>43879</v>
      </c>
      <c r="D24" s="124">
        <f>'CF (Funds)'!D19</f>
        <v>-9.5097500000000004</v>
      </c>
      <c r="E24" s="546">
        <f>'CF (Funds)'!E19</f>
        <v>0</v>
      </c>
      <c r="F24" s="124"/>
      <c r="G24" s="124">
        <f t="shared" si="13"/>
        <v>-9.5097500000000004</v>
      </c>
      <c r="I24" s="116" t="str">
        <f>B43</f>
        <v>New Space Capital SCSp</v>
      </c>
      <c r="J24" s="119">
        <f>C43</f>
        <v>44087</v>
      </c>
      <c r="K24" s="117">
        <f>D43</f>
        <v>-2.7058823529411762</v>
      </c>
      <c r="L24" s="184"/>
      <c r="M24" s="184"/>
      <c r="N24" s="117">
        <f>SUM(K24:M24)</f>
        <v>-2.7058823529411762</v>
      </c>
    </row>
    <row r="25" spans="2:20" x14ac:dyDescent="0.2">
      <c r="B25" s="121" t="str">
        <f>'CF (Funds)'!B20</f>
        <v>North Summit Capital Fund</v>
      </c>
      <c r="C25" s="433">
        <f>'CF (Funds)'!C20</f>
        <v>43934</v>
      </c>
      <c r="D25" s="124">
        <f>'CF (Funds)'!D20</f>
        <v>-41.3</v>
      </c>
      <c r="E25" s="546">
        <f>'CF (Funds)'!E20</f>
        <v>0</v>
      </c>
      <c r="F25" s="124"/>
      <c r="G25" s="124">
        <f t="shared" si="13"/>
        <v>-41.3</v>
      </c>
      <c r="I25" s="121" t="s">
        <v>156</v>
      </c>
      <c r="J25" s="122">
        <f>$C$4</f>
        <v>45016</v>
      </c>
      <c r="K25" s="124"/>
      <c r="L25" s="124"/>
      <c r="M25" s="124">
        <f>F52</f>
        <v>2.7058823529411762</v>
      </c>
      <c r="N25" s="124">
        <f>SUM(K25:M25)</f>
        <v>2.7058823529411762</v>
      </c>
    </row>
    <row r="26" spans="2:20" x14ac:dyDescent="0.2">
      <c r="B26" s="121" t="str">
        <f>'CF (Funds)'!B21</f>
        <v>North Summit Capital Fund</v>
      </c>
      <c r="C26" s="433">
        <f>'CF (Funds)'!C21</f>
        <v>44151</v>
      </c>
      <c r="D26" s="124">
        <f>'CF (Funds)'!D21</f>
        <v>9.9499999999999993</v>
      </c>
      <c r="E26" s="546">
        <f>'CF (Funds)'!E21</f>
        <v>0</v>
      </c>
      <c r="F26" s="124"/>
      <c r="G26" s="124">
        <f t="shared" si="13"/>
        <v>9.9499999999999993</v>
      </c>
    </row>
    <row r="27" spans="2:20" x14ac:dyDescent="0.2">
      <c r="B27" s="121" t="str">
        <f>'CF (Funds)'!B22</f>
        <v>North Summit Capital Fund</v>
      </c>
      <c r="C27" s="433">
        <f>'CF (Funds)'!C22</f>
        <v>44151</v>
      </c>
      <c r="D27" s="124">
        <f>'CF (Funds)'!D22</f>
        <v>-10.455</v>
      </c>
      <c r="E27" s="546">
        <f>'CF (Funds)'!E22</f>
        <v>0</v>
      </c>
      <c r="F27" s="124"/>
      <c r="G27" s="124">
        <f t="shared" si="13"/>
        <v>-10.455</v>
      </c>
      <c r="I27" s="267" t="s">
        <v>224</v>
      </c>
      <c r="J27" s="282">
        <f>XIRR(N24:N25,J24:J25)</f>
        <v>2.9802322387695314E-9</v>
      </c>
      <c r="L27" s="128" t="s">
        <v>227</v>
      </c>
      <c r="M27" s="137" t="b">
        <f>-SUM(K24:K25)='Summary | 01 '!K37</f>
        <v>1</v>
      </c>
    </row>
    <row r="28" spans="2:20" x14ac:dyDescent="0.2">
      <c r="B28" s="121" t="str">
        <f>'CF (Funds)'!B23</f>
        <v>North Summit Capital Fund</v>
      </c>
      <c r="C28" s="433">
        <f>'CF (Funds)'!C23</f>
        <v>44196</v>
      </c>
      <c r="D28" s="124">
        <f>'CF (Funds)'!D23</f>
        <v>4.9749999999999996</v>
      </c>
      <c r="E28" s="546">
        <f>'CF (Funds)'!E23</f>
        <v>0</v>
      </c>
      <c r="F28" s="124"/>
      <c r="G28" s="124">
        <f t="shared" si="13"/>
        <v>4.9749999999999996</v>
      </c>
      <c r="I28" s="268" t="s">
        <v>43</v>
      </c>
      <c r="J28" s="283">
        <f>SUM(L24:M25)/-SUM(K24:K25)</f>
        <v>1</v>
      </c>
      <c r="L28" s="128" t="s">
        <v>42</v>
      </c>
      <c r="M28" s="261" t="b">
        <f>-SUM(L21:L26)=-'Summary | 01 '!L37</f>
        <v>1</v>
      </c>
    </row>
    <row r="29" spans="2:20" x14ac:dyDescent="0.2">
      <c r="B29" s="121" t="str">
        <f>'CF (Funds)'!B24</f>
        <v>North Summit Capital Fund</v>
      </c>
      <c r="C29" s="433">
        <f>'CF (Funds)'!C24</f>
        <v>44196</v>
      </c>
      <c r="D29" s="124">
        <f>'CF (Funds)'!D24</f>
        <v>-3.4522930000000001</v>
      </c>
      <c r="E29" s="546">
        <f>'CF (Funds)'!E24</f>
        <v>0</v>
      </c>
      <c r="F29" s="124"/>
      <c r="G29" s="124">
        <f t="shared" si="13"/>
        <v>-3.4522930000000001</v>
      </c>
      <c r="I29" s="268" t="s">
        <v>226</v>
      </c>
      <c r="J29" s="283">
        <f>SUM(M24:M25)/-SUM(K24:K25)</f>
        <v>1</v>
      </c>
      <c r="L29" s="128" t="s">
        <v>223</v>
      </c>
      <c r="M29" s="137" t="b">
        <f>M25='Summary | 01 '!N37</f>
        <v>1</v>
      </c>
    </row>
    <row r="30" spans="2:20" x14ac:dyDescent="0.2">
      <c r="B30" s="121" t="str">
        <f>'CF (Funds)'!B25</f>
        <v>North Summit Capital Fund</v>
      </c>
      <c r="C30" s="433">
        <f>'CF (Funds)'!C25</f>
        <v>44196</v>
      </c>
      <c r="D30" s="124">
        <f>'CF (Funds)'!D25</f>
        <v>0</v>
      </c>
      <c r="E30" s="546">
        <f>'CF (Funds)'!E25</f>
        <v>0.58290199999999992</v>
      </c>
      <c r="F30" s="124"/>
      <c r="G30" s="124">
        <f t="shared" si="13"/>
        <v>0.58290199999999992</v>
      </c>
      <c r="I30" s="269" t="s">
        <v>142</v>
      </c>
      <c r="J30" s="284">
        <f>SUM(L24:L25)/-SUM(K24:K25)</f>
        <v>0</v>
      </c>
    </row>
    <row r="31" spans="2:20" x14ac:dyDescent="0.2">
      <c r="B31" s="121" t="str">
        <f>'CF (Funds)'!B26</f>
        <v>North Summit Capital Fund</v>
      </c>
      <c r="C31" s="433">
        <f>'CF (Funds)'!C26</f>
        <v>44370</v>
      </c>
      <c r="D31" s="124">
        <f>'CF (Funds)'!D26</f>
        <v>-5.97</v>
      </c>
      <c r="E31" s="546">
        <f>'CF (Funds)'!E26</f>
        <v>0</v>
      </c>
      <c r="F31" s="124"/>
      <c r="G31" s="124">
        <f t="shared" si="13"/>
        <v>-5.97</v>
      </c>
    </row>
    <row r="32" spans="2:20" x14ac:dyDescent="0.2">
      <c r="B32" s="121" t="str">
        <f>'CF (Funds)'!B27</f>
        <v>North Summit Capital Fund</v>
      </c>
      <c r="C32" s="433">
        <f>'CF (Funds)'!C27</f>
        <v>44400</v>
      </c>
      <c r="D32" s="124">
        <f>'CF (Funds)'!D27</f>
        <v>-0.75</v>
      </c>
      <c r="E32" s="546">
        <f>'CF (Funds)'!E27</f>
        <v>0</v>
      </c>
      <c r="F32" s="124"/>
      <c r="G32" s="124">
        <f t="shared" si="13"/>
        <v>-0.75</v>
      </c>
    </row>
    <row r="33" spans="2:14" x14ac:dyDescent="0.2">
      <c r="B33" s="121" t="str">
        <f>'CF (Funds)'!B28</f>
        <v>North Summit Capital Fund</v>
      </c>
      <c r="C33" s="433">
        <f>'CF (Funds)'!C28</f>
        <v>44400</v>
      </c>
      <c r="D33" s="124">
        <f>'CF (Funds)'!D28</f>
        <v>0</v>
      </c>
      <c r="E33" s="546">
        <f>'CF (Funds)'!E28</f>
        <v>0.44505899999999998</v>
      </c>
      <c r="F33" s="124"/>
      <c r="G33" s="124">
        <f t="shared" si="13"/>
        <v>0.44505899999999998</v>
      </c>
      <c r="I33" s="116" t="str">
        <f t="shared" ref="I33:I46" si="14">B22</f>
        <v>North Summit Capital Fund</v>
      </c>
      <c r="J33" s="119">
        <f t="shared" ref="J33:J46" si="15">C22</f>
        <v>43665</v>
      </c>
      <c r="K33" s="117">
        <f t="shared" ref="K33:K46" si="16">D22</f>
        <v>-3</v>
      </c>
      <c r="L33" s="545">
        <f t="shared" ref="L33:L46" si="17">E22</f>
        <v>0</v>
      </c>
      <c r="M33" s="545">
        <f t="shared" ref="M33:M46" si="18">F22</f>
        <v>0</v>
      </c>
      <c r="N33" s="117">
        <f t="shared" ref="N33:N47" si="19">SUM(K33:M33)</f>
        <v>-3</v>
      </c>
    </row>
    <row r="34" spans="2:14" x14ac:dyDescent="0.2">
      <c r="B34" s="121" t="str">
        <f>'CF (Funds)'!B29</f>
        <v>North Summit Capital Fund</v>
      </c>
      <c r="C34" s="433">
        <f>'CF (Funds)'!C29</f>
        <v>44554</v>
      </c>
      <c r="D34" s="124">
        <f>'CF (Funds)'!D29</f>
        <v>1.7823899999999999</v>
      </c>
      <c r="E34" s="546">
        <f>'CF (Funds)'!E29</f>
        <v>0</v>
      </c>
      <c r="F34" s="124"/>
      <c r="G34" s="124">
        <f t="shared" si="13"/>
        <v>1.7823899999999999</v>
      </c>
      <c r="I34" s="116" t="str">
        <f t="shared" si="14"/>
        <v>North Summit Capital Fund</v>
      </c>
      <c r="J34" s="119">
        <f t="shared" si="15"/>
        <v>43983</v>
      </c>
      <c r="K34" s="117">
        <f t="shared" si="16"/>
        <v>-4.4849999999999994</v>
      </c>
      <c r="L34" s="545">
        <f t="shared" si="17"/>
        <v>0</v>
      </c>
      <c r="M34" s="545">
        <f t="shared" si="18"/>
        <v>0</v>
      </c>
      <c r="N34" s="117">
        <f t="shared" si="19"/>
        <v>-4.4849999999999994</v>
      </c>
    </row>
    <row r="35" spans="2:14" x14ac:dyDescent="0.2">
      <c r="B35" s="121" t="str">
        <f>'CF (Funds)'!B30</f>
        <v>North Summit Capital Fund</v>
      </c>
      <c r="C35" s="433">
        <f>'CF (Funds)'!C30</f>
        <v>44676</v>
      </c>
      <c r="D35" s="124">
        <f>'CF (Funds)'!D30</f>
        <v>-21</v>
      </c>
      <c r="E35" s="546">
        <f>'CF (Funds)'!E30</f>
        <v>0</v>
      </c>
      <c r="F35" s="124"/>
      <c r="G35" s="124">
        <f t="shared" si="13"/>
        <v>-21</v>
      </c>
      <c r="I35" s="116" t="str">
        <f t="shared" si="14"/>
        <v>North Summit Capital Fund</v>
      </c>
      <c r="J35" s="119">
        <f t="shared" si="15"/>
        <v>43879</v>
      </c>
      <c r="K35" s="117">
        <f t="shared" si="16"/>
        <v>-9.5097500000000004</v>
      </c>
      <c r="L35" s="545">
        <f t="shared" si="17"/>
        <v>0</v>
      </c>
      <c r="M35" s="545">
        <f t="shared" si="18"/>
        <v>0</v>
      </c>
      <c r="N35" s="117">
        <f t="shared" si="19"/>
        <v>-9.5097500000000004</v>
      </c>
    </row>
    <row r="36" spans="2:14" x14ac:dyDescent="0.2">
      <c r="B36" s="116" t="str">
        <f>'CF (Funds)'!B31</f>
        <v>New Space Capital Fund I</v>
      </c>
      <c r="C36" s="432">
        <f>'CF (Funds)'!C31</f>
        <v>44087</v>
      </c>
      <c r="D36" s="117">
        <f>'CF (Funds)'!D31</f>
        <v>-20.917552997000001</v>
      </c>
      <c r="E36" s="547">
        <f>'CF (Funds)'!E31</f>
        <v>0</v>
      </c>
      <c r="F36" s="184"/>
      <c r="G36" s="489">
        <f t="shared" si="13"/>
        <v>-20.917552997000001</v>
      </c>
      <c r="I36" s="116" t="str">
        <f t="shared" si="14"/>
        <v>North Summit Capital Fund</v>
      </c>
      <c r="J36" s="119">
        <f t="shared" si="15"/>
        <v>43934</v>
      </c>
      <c r="K36" s="117">
        <f t="shared" si="16"/>
        <v>-41.3</v>
      </c>
      <c r="L36" s="545">
        <f t="shared" si="17"/>
        <v>0</v>
      </c>
      <c r="M36" s="545">
        <f t="shared" si="18"/>
        <v>0</v>
      </c>
      <c r="N36" s="117">
        <f t="shared" si="19"/>
        <v>-41.3</v>
      </c>
    </row>
    <row r="37" spans="2:14" x14ac:dyDescent="0.2">
      <c r="B37" s="116" t="str">
        <f>'CF (Funds)'!B32</f>
        <v>New Space Capital Fund I</v>
      </c>
      <c r="C37" s="432">
        <f>'CF (Funds)'!C32</f>
        <v>44287</v>
      </c>
      <c r="D37" s="117">
        <f>'CF (Funds)'!D32</f>
        <v>-0.21103182000000001</v>
      </c>
      <c r="E37" s="547">
        <f>'CF (Funds)'!E32</f>
        <v>0</v>
      </c>
      <c r="F37" s="184"/>
      <c r="G37" s="489">
        <f t="shared" si="13"/>
        <v>-0.21103182000000001</v>
      </c>
      <c r="I37" s="116" t="str">
        <f t="shared" si="14"/>
        <v>North Summit Capital Fund</v>
      </c>
      <c r="J37" s="119">
        <f t="shared" si="15"/>
        <v>44151</v>
      </c>
      <c r="K37" s="117">
        <f t="shared" si="16"/>
        <v>9.9499999999999993</v>
      </c>
      <c r="L37" s="545">
        <f t="shared" si="17"/>
        <v>0</v>
      </c>
      <c r="M37" s="545">
        <f t="shared" si="18"/>
        <v>0</v>
      </c>
      <c r="N37" s="117">
        <f t="shared" si="19"/>
        <v>9.9499999999999993</v>
      </c>
    </row>
    <row r="38" spans="2:14" x14ac:dyDescent="0.2">
      <c r="B38" s="116" t="str">
        <f>'CF (Funds)'!B33</f>
        <v>New Space Capital Fund I</v>
      </c>
      <c r="C38" s="432">
        <f>'CF (Funds)'!C33</f>
        <v>44442</v>
      </c>
      <c r="D38" s="117">
        <f>'CF (Funds)'!D33</f>
        <v>-0.23965473139999999</v>
      </c>
      <c r="E38" s="547">
        <f>'CF (Funds)'!E33</f>
        <v>0</v>
      </c>
      <c r="F38" s="184"/>
      <c r="G38" s="489">
        <f t="shared" si="13"/>
        <v>-0.23965473139999999</v>
      </c>
      <c r="I38" s="116" t="str">
        <f t="shared" si="14"/>
        <v>North Summit Capital Fund</v>
      </c>
      <c r="J38" s="119">
        <f t="shared" si="15"/>
        <v>44151</v>
      </c>
      <c r="K38" s="117">
        <f t="shared" si="16"/>
        <v>-10.455</v>
      </c>
      <c r="L38" s="545">
        <f t="shared" si="17"/>
        <v>0</v>
      </c>
      <c r="M38" s="545">
        <f t="shared" si="18"/>
        <v>0</v>
      </c>
      <c r="N38" s="117">
        <f t="shared" si="19"/>
        <v>-10.455</v>
      </c>
    </row>
    <row r="39" spans="2:14" x14ac:dyDescent="0.2">
      <c r="B39" s="116" t="str">
        <f>'CF (Funds)'!B34</f>
        <v>New Space Capital Fund I</v>
      </c>
      <c r="C39" s="432">
        <f>'CF (Funds)'!C34</f>
        <v>44623</v>
      </c>
      <c r="D39" s="117">
        <f>'CF (Funds)'!D34</f>
        <v>-0.25893584940000003</v>
      </c>
      <c r="E39" s="547">
        <f>'CF (Funds)'!E34</f>
        <v>0</v>
      </c>
      <c r="F39" s="184"/>
      <c r="G39" s="489">
        <f t="shared" ref="G39:G40" si="20">SUM(D39:F39)</f>
        <v>-0.25893584940000003</v>
      </c>
      <c r="I39" s="116" t="str">
        <f t="shared" si="14"/>
        <v>North Summit Capital Fund</v>
      </c>
      <c r="J39" s="119">
        <f t="shared" si="15"/>
        <v>44196</v>
      </c>
      <c r="K39" s="117">
        <f t="shared" si="16"/>
        <v>4.9749999999999996</v>
      </c>
      <c r="L39" s="545">
        <f t="shared" si="17"/>
        <v>0</v>
      </c>
      <c r="M39" s="545">
        <f t="shared" si="18"/>
        <v>0</v>
      </c>
      <c r="N39" s="117">
        <f t="shared" si="19"/>
        <v>4.9749999999999996</v>
      </c>
    </row>
    <row r="40" spans="2:14" x14ac:dyDescent="0.2">
      <c r="B40" s="116" t="str">
        <f>'CF (Funds)'!B35</f>
        <v>New Space Capital Fund I</v>
      </c>
      <c r="C40" s="432">
        <f>'CF (Funds)'!C35</f>
        <v>44784</v>
      </c>
      <c r="D40" s="117">
        <f>'CF (Funds)'!D35</f>
        <v>1.5224656599999999E-2</v>
      </c>
      <c r="E40" s="547">
        <f>'CF (Funds)'!E35</f>
        <v>0</v>
      </c>
      <c r="F40" s="184"/>
      <c r="G40" s="489">
        <f t="shared" si="20"/>
        <v>1.5224656599999999E-2</v>
      </c>
      <c r="I40" s="116" t="str">
        <f t="shared" si="14"/>
        <v>North Summit Capital Fund</v>
      </c>
      <c r="J40" s="119">
        <f t="shared" si="15"/>
        <v>44196</v>
      </c>
      <c r="K40" s="117">
        <f t="shared" si="16"/>
        <v>-3.4522930000000001</v>
      </c>
      <c r="L40" s="545">
        <f t="shared" si="17"/>
        <v>0</v>
      </c>
      <c r="M40" s="545">
        <f t="shared" si="18"/>
        <v>0</v>
      </c>
      <c r="N40" s="117">
        <f t="shared" si="19"/>
        <v>-3.4522930000000001</v>
      </c>
    </row>
    <row r="41" spans="2:14" x14ac:dyDescent="0.2">
      <c r="B41" s="116" t="str">
        <f>'CF (Funds)'!B36</f>
        <v>New Space Capital Fund I</v>
      </c>
      <c r="C41" s="432">
        <f>'CF (Funds)'!C36</f>
        <v>44956</v>
      </c>
      <c r="D41" s="117">
        <f>'CF (Funds)'!D36</f>
        <v>10.553916089669999</v>
      </c>
      <c r="E41" s="547">
        <f>'CF (Funds)'!E36</f>
        <v>0</v>
      </c>
      <c r="F41" s="184"/>
      <c r="G41" s="489">
        <f t="shared" ref="G41:G47" si="21">SUM(D41:F41)</f>
        <v>10.553916089669999</v>
      </c>
      <c r="I41" s="116" t="str">
        <f t="shared" si="14"/>
        <v>North Summit Capital Fund</v>
      </c>
      <c r="J41" s="119">
        <f t="shared" si="15"/>
        <v>44196</v>
      </c>
      <c r="K41" s="117">
        <f t="shared" si="16"/>
        <v>0</v>
      </c>
      <c r="L41" s="545">
        <f t="shared" si="17"/>
        <v>0.58290199999999992</v>
      </c>
      <c r="M41" s="545">
        <f t="shared" si="18"/>
        <v>0</v>
      </c>
      <c r="N41" s="117">
        <f t="shared" si="19"/>
        <v>0.58290199999999992</v>
      </c>
    </row>
    <row r="42" spans="2:14" x14ac:dyDescent="0.2">
      <c r="B42" s="116" t="str">
        <f>'CF (Funds)'!B37</f>
        <v>New Space Capital Fund I</v>
      </c>
      <c r="C42" s="432">
        <f>'CF (Funds)'!C37</f>
        <v>44956</v>
      </c>
      <c r="D42" s="117">
        <f>'CF (Funds)'!D37</f>
        <v>0</v>
      </c>
      <c r="E42" s="547">
        <f>'CF (Funds)'!E37</f>
        <v>2.9557743514081998</v>
      </c>
      <c r="F42" s="184"/>
      <c r="G42" s="489">
        <f t="shared" si="21"/>
        <v>2.9557743514081998</v>
      </c>
      <c r="I42" s="116" t="str">
        <f t="shared" si="14"/>
        <v>North Summit Capital Fund</v>
      </c>
      <c r="J42" s="119">
        <f t="shared" si="15"/>
        <v>44370</v>
      </c>
      <c r="K42" s="117">
        <f t="shared" si="16"/>
        <v>-5.97</v>
      </c>
      <c r="L42" s="545">
        <f t="shared" si="17"/>
        <v>0</v>
      </c>
      <c r="M42" s="545">
        <f t="shared" si="18"/>
        <v>0</v>
      </c>
      <c r="N42" s="117">
        <f t="shared" si="19"/>
        <v>-5.97</v>
      </c>
    </row>
    <row r="43" spans="2:14" x14ac:dyDescent="0.2">
      <c r="B43" s="116" t="str">
        <f>'CF (Funds)'!B38</f>
        <v>New Space Capital SCSp</v>
      </c>
      <c r="C43" s="432">
        <f>'CF (Funds)'!C38</f>
        <v>44087</v>
      </c>
      <c r="D43" s="117">
        <f>'CF (Funds)'!D38</f>
        <v>-2.7058823529411762</v>
      </c>
      <c r="E43" s="547">
        <f>'CF (Funds)'!E38</f>
        <v>0</v>
      </c>
      <c r="F43" s="184"/>
      <c r="G43" s="489">
        <f t="shared" si="21"/>
        <v>-2.7058823529411762</v>
      </c>
      <c r="I43" s="116" t="str">
        <f t="shared" si="14"/>
        <v>North Summit Capital Fund</v>
      </c>
      <c r="J43" s="119">
        <f t="shared" si="15"/>
        <v>44400</v>
      </c>
      <c r="K43" s="117">
        <f t="shared" si="16"/>
        <v>-0.75</v>
      </c>
      <c r="L43" s="545">
        <f t="shared" si="17"/>
        <v>0</v>
      </c>
      <c r="M43" s="545">
        <f t="shared" si="18"/>
        <v>0</v>
      </c>
      <c r="N43" s="117">
        <f t="shared" si="19"/>
        <v>-0.75</v>
      </c>
    </row>
    <row r="44" spans="2:14" x14ac:dyDescent="0.2">
      <c r="B44" s="121" t="str">
        <f>'CF (Funds)'!B39</f>
        <v>Acies Investments Fund I, L.P.</v>
      </c>
      <c r="C44" s="433">
        <f>'CF (Funds)'!C39</f>
        <v>44540</v>
      </c>
      <c r="D44" s="124">
        <f>'CF (Funds)'!D39</f>
        <v>-2.8053124999999999</v>
      </c>
      <c r="E44" s="546">
        <f>'CF (Funds)'!E39</f>
        <v>0</v>
      </c>
      <c r="F44" s="124"/>
      <c r="G44" s="124">
        <f t="shared" si="21"/>
        <v>-2.8053124999999999</v>
      </c>
      <c r="I44" s="116" t="str">
        <f t="shared" si="14"/>
        <v>North Summit Capital Fund</v>
      </c>
      <c r="J44" s="119">
        <f t="shared" si="15"/>
        <v>44400</v>
      </c>
      <c r="K44" s="117">
        <f t="shared" si="16"/>
        <v>0</v>
      </c>
      <c r="L44" s="545">
        <f t="shared" si="17"/>
        <v>0.44505899999999998</v>
      </c>
      <c r="M44" s="545">
        <f t="shared" si="18"/>
        <v>0</v>
      </c>
      <c r="N44" s="117">
        <f t="shared" si="19"/>
        <v>0.44505899999999998</v>
      </c>
    </row>
    <row r="45" spans="2:14" x14ac:dyDescent="0.2">
      <c r="B45" s="121" t="str">
        <f>'CF (Funds)'!B40</f>
        <v>Acies Investments Fund I, L.P.</v>
      </c>
      <c r="C45" s="433">
        <f>'CF (Funds)'!C40</f>
        <v>44602</v>
      </c>
      <c r="D45" s="124">
        <f>'CF (Funds)'!D40</f>
        <v>-3.4074999999999998</v>
      </c>
      <c r="E45" s="546">
        <f>'CF (Funds)'!E40</f>
        <v>0</v>
      </c>
      <c r="F45" s="124"/>
      <c r="G45" s="124">
        <f t="shared" si="21"/>
        <v>-3.4074999999999998</v>
      </c>
      <c r="I45" s="116" t="str">
        <f t="shared" si="14"/>
        <v>North Summit Capital Fund</v>
      </c>
      <c r="J45" s="119">
        <f t="shared" si="15"/>
        <v>44554</v>
      </c>
      <c r="K45" s="117">
        <f t="shared" si="16"/>
        <v>1.7823899999999999</v>
      </c>
      <c r="L45" s="545">
        <f t="shared" si="17"/>
        <v>0</v>
      </c>
      <c r="M45" s="545">
        <f t="shared" si="18"/>
        <v>0</v>
      </c>
      <c r="N45" s="117">
        <f t="shared" si="19"/>
        <v>1.7823899999999999</v>
      </c>
    </row>
    <row r="46" spans="2:14" x14ac:dyDescent="0.2">
      <c r="B46" s="121" t="str">
        <f>'CF (Funds)'!B41</f>
        <v>Acies Investments Fund I, L.P.</v>
      </c>
      <c r="C46" s="433">
        <f>'CF (Funds)'!C41</f>
        <v>44683</v>
      </c>
      <c r="D46" s="124">
        <f>'CF (Funds)'!D41</f>
        <v>-1.0257749999999999</v>
      </c>
      <c r="E46" s="546">
        <f>'CF (Funds)'!E41</f>
        <v>0</v>
      </c>
      <c r="F46" s="124"/>
      <c r="G46" s="124">
        <f t="shared" si="21"/>
        <v>-1.0257749999999999</v>
      </c>
      <c r="I46" s="116" t="str">
        <f t="shared" si="14"/>
        <v>North Summit Capital Fund</v>
      </c>
      <c r="J46" s="119">
        <f t="shared" si="15"/>
        <v>44676</v>
      </c>
      <c r="K46" s="117">
        <f t="shared" si="16"/>
        <v>-21</v>
      </c>
      <c r="L46" s="545">
        <f t="shared" si="17"/>
        <v>0</v>
      </c>
      <c r="M46" s="545">
        <f t="shared" si="18"/>
        <v>0</v>
      </c>
      <c r="N46" s="117">
        <f t="shared" si="19"/>
        <v>-21</v>
      </c>
    </row>
    <row r="47" spans="2:14" x14ac:dyDescent="0.2">
      <c r="B47" s="121" t="str">
        <f>'CF (Funds)'!B42</f>
        <v>Acies Investments Fund I, L.P.</v>
      </c>
      <c r="C47" s="433">
        <f>'CF (Funds)'!C42</f>
        <v>44707</v>
      </c>
      <c r="D47" s="124">
        <f>'CF (Funds)'!D42</f>
        <v>-3.3882749999999997</v>
      </c>
      <c r="E47" s="546">
        <f>'CF (Funds)'!E42</f>
        <v>0</v>
      </c>
      <c r="F47" s="124"/>
      <c r="G47" s="124">
        <f t="shared" si="21"/>
        <v>-3.3882749999999997</v>
      </c>
      <c r="I47" s="121" t="s">
        <v>1</v>
      </c>
      <c r="J47" s="122">
        <f>$C$4</f>
        <v>45016</v>
      </c>
      <c r="K47" s="124"/>
      <c r="L47" s="124"/>
      <c r="M47" s="124">
        <f>F50</f>
        <v>70.03</v>
      </c>
      <c r="N47" s="124">
        <f t="shared" si="19"/>
        <v>70.03</v>
      </c>
    </row>
    <row r="48" spans="2:14" x14ac:dyDescent="0.2">
      <c r="B48" s="121" t="str">
        <f>'CF (Funds)'!B43</f>
        <v>Acies Investments Fund I, L.P.</v>
      </c>
      <c r="C48" s="433">
        <f>'CF (Funds)'!C43</f>
        <v>44875</v>
      </c>
      <c r="D48" s="124">
        <f>'CF (Funds)'!D43</f>
        <v>-3.3882749999999997</v>
      </c>
      <c r="E48" s="546">
        <f>'CF (Funds)'!E43</f>
        <v>0</v>
      </c>
      <c r="F48" s="124"/>
      <c r="G48" s="124">
        <f t="shared" ref="G48" si="22">SUM(D48:F48)</f>
        <v>-3.3882749999999997</v>
      </c>
    </row>
    <row r="49" spans="2:14" x14ac:dyDescent="0.2">
      <c r="B49" s="116" t="s">
        <v>15</v>
      </c>
      <c r="C49" s="432">
        <f t="shared" ref="C49:C53" si="23">$C$4</f>
        <v>45016</v>
      </c>
      <c r="D49" s="117"/>
      <c r="E49" s="547"/>
      <c r="F49" s="487">
        <f>VLOOKUP(B49,NAV!$B$2:$H$42,4,0)</f>
        <v>21.515750000000001</v>
      </c>
      <c r="G49" s="487">
        <f>SUM(D49:F49)</f>
        <v>21.515750000000001</v>
      </c>
      <c r="I49" s="267" t="s">
        <v>224</v>
      </c>
      <c r="J49" s="282">
        <f>XIRR(N33:N47,J33:J47,-0.1)</f>
        <v>-6.4168629050254805E-2</v>
      </c>
      <c r="L49" s="128" t="s">
        <v>227</v>
      </c>
      <c r="M49" s="137" t="b">
        <f>-SUM(K33:K46)='Summary | 01 '!K38</f>
        <v>1</v>
      </c>
    </row>
    <row r="50" spans="2:14" x14ac:dyDescent="0.2">
      <c r="B50" s="121" t="s">
        <v>1</v>
      </c>
      <c r="C50" s="433">
        <f t="shared" si="23"/>
        <v>45016</v>
      </c>
      <c r="D50" s="124"/>
      <c r="E50" s="124"/>
      <c r="F50" s="488">
        <f>VLOOKUP(B50,NAV!$B$2:$H$42,4,0)</f>
        <v>70.03</v>
      </c>
      <c r="G50" s="488">
        <f>SUM(D50:F50)</f>
        <v>70.03</v>
      </c>
      <c r="I50" s="268" t="s">
        <v>43</v>
      </c>
      <c r="J50" s="283">
        <f>SUM(L33:M47)/-SUM(K33:K47)</f>
        <v>0.85391164222003091</v>
      </c>
      <c r="L50" s="128" t="s">
        <v>42</v>
      </c>
      <c r="M50" s="261" t="b">
        <f>-SUM(L33:L46)=-'Summary | 01 '!M38</f>
        <v>1</v>
      </c>
    </row>
    <row r="51" spans="2:14" x14ac:dyDescent="0.2">
      <c r="B51" s="116" t="s">
        <v>174</v>
      </c>
      <c r="C51" s="432">
        <f>$C$4</f>
        <v>45016</v>
      </c>
      <c r="D51" s="117"/>
      <c r="E51" s="184"/>
      <c r="F51" s="487">
        <f>VLOOKUP(B51,NAV!$B$2:$H$42,4,0)</f>
        <v>14.29489121145</v>
      </c>
      <c r="G51" s="487">
        <f>SUM(D51:F51)</f>
        <v>14.29489121145</v>
      </c>
      <c r="I51" s="268" t="s">
        <v>226</v>
      </c>
      <c r="J51" s="283">
        <f>SUM(M33:M47)/-SUM(K33:K47)</f>
        <v>0.84155851734429532</v>
      </c>
      <c r="L51" s="128" t="s">
        <v>223</v>
      </c>
      <c r="M51" s="137" t="b">
        <f>M47='Summary | 01 '!N38</f>
        <v>1</v>
      </c>
    </row>
    <row r="52" spans="2:14" x14ac:dyDescent="0.2">
      <c r="B52" s="121" t="s">
        <v>156</v>
      </c>
      <c r="C52" s="433">
        <f t="shared" si="23"/>
        <v>45016</v>
      </c>
      <c r="D52" s="124"/>
      <c r="E52" s="124"/>
      <c r="F52" s="488">
        <f>VLOOKUP(B52,NAV!$B$2:$H$42,4,0)</f>
        <v>2.7058823529411762</v>
      </c>
      <c r="G52" s="488">
        <f>SUM(D52:F52)</f>
        <v>2.7058823529411762</v>
      </c>
      <c r="I52" s="269" t="s">
        <v>142</v>
      </c>
      <c r="J52" s="284">
        <f>SUM(L33:L47)/-SUM(K33:K47)</f>
        <v>1.2353124875735528E-2</v>
      </c>
    </row>
    <row r="53" spans="2:14" x14ac:dyDescent="0.2">
      <c r="B53" s="116" t="s">
        <v>237</v>
      </c>
      <c r="C53" s="432">
        <f t="shared" si="23"/>
        <v>45016</v>
      </c>
      <c r="D53" s="117"/>
      <c r="E53" s="184"/>
      <c r="F53" s="487">
        <f>VLOOKUP(B53,NAV!$B$2:$H$42,4,0)</f>
        <v>13.742841</v>
      </c>
      <c r="G53" s="487">
        <f>SUM(D53:F53)</f>
        <v>13.742841</v>
      </c>
    </row>
    <row r="55" spans="2:14" x14ac:dyDescent="0.2">
      <c r="B55" s="121"/>
      <c r="C55" s="433"/>
      <c r="D55" s="124"/>
      <c r="E55" s="124"/>
      <c r="F55" s="124"/>
      <c r="G55" s="124"/>
      <c r="I55" s="116" t="str">
        <f t="shared" ref="I55:I67" si="24">B8</f>
        <v>Sinovation Disrupt Fund, L.P.</v>
      </c>
      <c r="J55" s="119">
        <f t="shared" ref="J55:J67" si="25">C8</f>
        <v>44153</v>
      </c>
      <c r="K55" s="117">
        <f t="shared" ref="K55:K67" si="26">D8</f>
        <v>-10.5</v>
      </c>
      <c r="L55" s="545">
        <f t="shared" ref="L55:L67" si="27">E8</f>
        <v>0</v>
      </c>
      <c r="M55" s="545">
        <f t="shared" ref="M55:M67" si="28">F8</f>
        <v>0</v>
      </c>
      <c r="N55" s="117">
        <f t="shared" ref="N55:N66" si="29">SUM(K55:M55)</f>
        <v>-10.5</v>
      </c>
    </row>
    <row r="56" spans="2:14" x14ac:dyDescent="0.2">
      <c r="C56" s="147"/>
      <c r="I56" s="116" t="str">
        <f t="shared" si="24"/>
        <v>Sinovation Disrupt Fund, L.P.</v>
      </c>
      <c r="J56" s="119">
        <f t="shared" si="25"/>
        <v>44238</v>
      </c>
      <c r="K56" s="117">
        <f t="shared" si="26"/>
        <v>4.2140269999999997</v>
      </c>
      <c r="L56" s="545">
        <f t="shared" si="27"/>
        <v>0</v>
      </c>
      <c r="M56" s="545">
        <f t="shared" si="28"/>
        <v>0</v>
      </c>
      <c r="N56" s="117">
        <f t="shared" si="29"/>
        <v>4.2140269999999997</v>
      </c>
    </row>
    <row r="57" spans="2:14" x14ac:dyDescent="0.2">
      <c r="C57" s="147"/>
      <c r="I57" s="116" t="str">
        <f t="shared" si="24"/>
        <v>Sinovation Disrupt Fund, L.P.</v>
      </c>
      <c r="J57" s="119">
        <f t="shared" si="25"/>
        <v>44238</v>
      </c>
      <c r="K57" s="117">
        <f t="shared" si="26"/>
        <v>0</v>
      </c>
      <c r="L57" s="545">
        <f t="shared" si="27"/>
        <v>5.0448349999999996E-2</v>
      </c>
      <c r="M57" s="545">
        <f t="shared" si="28"/>
        <v>0</v>
      </c>
      <c r="N57" s="117">
        <f t="shared" si="29"/>
        <v>5.0448349999999996E-2</v>
      </c>
    </row>
    <row r="58" spans="2:14" x14ac:dyDescent="0.2">
      <c r="C58" s="147"/>
      <c r="I58" s="116" t="str">
        <f t="shared" si="24"/>
        <v>Sinovation Disrupt Fund, L.P.</v>
      </c>
      <c r="J58" s="119">
        <f t="shared" si="25"/>
        <v>44285</v>
      </c>
      <c r="K58" s="117">
        <f t="shared" si="26"/>
        <v>-6.4337459999999993</v>
      </c>
      <c r="L58" s="545">
        <f t="shared" si="27"/>
        <v>0</v>
      </c>
      <c r="M58" s="545">
        <f t="shared" si="28"/>
        <v>0</v>
      </c>
      <c r="N58" s="117">
        <f t="shared" si="29"/>
        <v>-6.4337459999999993</v>
      </c>
    </row>
    <row r="59" spans="2:14" x14ac:dyDescent="0.2">
      <c r="C59" s="147"/>
      <c r="I59" s="116" t="str">
        <f t="shared" si="24"/>
        <v>Sinovation Disrupt Fund, L.P.</v>
      </c>
      <c r="J59" s="119">
        <f t="shared" si="25"/>
        <v>44269</v>
      </c>
      <c r="K59" s="117">
        <f t="shared" si="26"/>
        <v>1.1352073899999999</v>
      </c>
      <c r="L59" s="545">
        <f t="shared" si="27"/>
        <v>0</v>
      </c>
      <c r="M59" s="545">
        <f t="shared" si="28"/>
        <v>0</v>
      </c>
      <c r="N59" s="117">
        <f t="shared" si="29"/>
        <v>1.1352073899999999</v>
      </c>
    </row>
    <row r="60" spans="2:14" x14ac:dyDescent="0.2">
      <c r="C60" s="147"/>
      <c r="I60" s="116" t="str">
        <f t="shared" si="24"/>
        <v>Sinovation Disrupt Fund, L.P.</v>
      </c>
      <c r="J60" s="119">
        <f t="shared" si="25"/>
        <v>44269</v>
      </c>
      <c r="K60" s="117">
        <f t="shared" si="26"/>
        <v>0</v>
      </c>
      <c r="L60" s="545">
        <f t="shared" si="27"/>
        <v>2.5899999999999999E-2</v>
      </c>
      <c r="M60" s="545">
        <f t="shared" si="28"/>
        <v>0</v>
      </c>
      <c r="N60" s="117">
        <f t="shared" si="29"/>
        <v>2.5899999999999999E-2</v>
      </c>
    </row>
    <row r="61" spans="2:14" x14ac:dyDescent="0.2">
      <c r="C61" s="147"/>
      <c r="I61" s="116" t="str">
        <f t="shared" si="24"/>
        <v>Sinovation Disrupt Fund, L.P.</v>
      </c>
      <c r="J61" s="119">
        <f t="shared" si="25"/>
        <v>44483</v>
      </c>
      <c r="K61" s="117">
        <f t="shared" si="26"/>
        <v>-7.5671379999999999</v>
      </c>
      <c r="L61" s="545">
        <f t="shared" si="27"/>
        <v>0</v>
      </c>
      <c r="M61" s="545">
        <f t="shared" si="28"/>
        <v>0</v>
      </c>
      <c r="N61" s="117">
        <f t="shared" si="29"/>
        <v>-7.5671379999999999</v>
      </c>
    </row>
    <row r="62" spans="2:14" x14ac:dyDescent="0.2">
      <c r="C62" s="147"/>
      <c r="I62" s="116" t="str">
        <f t="shared" si="24"/>
        <v>Sinovation Disrupt Fund, L.P.</v>
      </c>
      <c r="J62" s="119">
        <f t="shared" si="25"/>
        <v>44554</v>
      </c>
      <c r="K62" s="117">
        <f t="shared" si="26"/>
        <v>-7.3850159999999994</v>
      </c>
      <c r="L62" s="545">
        <f t="shared" si="27"/>
        <v>0</v>
      </c>
      <c r="M62" s="545">
        <f t="shared" si="28"/>
        <v>0</v>
      </c>
      <c r="N62" s="117">
        <f t="shared" si="29"/>
        <v>-7.3850159999999994</v>
      </c>
    </row>
    <row r="63" spans="2:14" x14ac:dyDescent="0.2">
      <c r="C63" s="147"/>
      <c r="I63" s="116" t="str">
        <f t="shared" si="24"/>
        <v>Sinovation Disrupt Fund, L.P.</v>
      </c>
      <c r="J63" s="119">
        <f t="shared" si="25"/>
        <v>44554</v>
      </c>
      <c r="K63" s="117">
        <f t="shared" si="26"/>
        <v>4.0733456099999996</v>
      </c>
      <c r="L63" s="545">
        <f t="shared" si="27"/>
        <v>0</v>
      </c>
      <c r="M63" s="545">
        <f t="shared" si="28"/>
        <v>0</v>
      </c>
      <c r="N63" s="117">
        <f t="shared" si="29"/>
        <v>4.0733456099999996</v>
      </c>
    </row>
    <row r="64" spans="2:14" x14ac:dyDescent="0.2">
      <c r="C64" s="147"/>
      <c r="I64" s="116" t="str">
        <f t="shared" si="24"/>
        <v>Sinovation Disrupt Fund, L.P.</v>
      </c>
      <c r="J64" s="119">
        <f t="shared" si="25"/>
        <v>44554</v>
      </c>
      <c r="K64" s="117">
        <f t="shared" si="26"/>
        <v>0</v>
      </c>
      <c r="L64" s="545">
        <f t="shared" si="27"/>
        <v>0.13969399999999998</v>
      </c>
      <c r="M64" s="545">
        <f t="shared" si="28"/>
        <v>0</v>
      </c>
      <c r="N64" s="117">
        <f t="shared" si="29"/>
        <v>0.13969399999999998</v>
      </c>
    </row>
    <row r="65" spans="3:14" x14ac:dyDescent="0.2">
      <c r="C65" s="147"/>
      <c r="I65" s="116" t="str">
        <f t="shared" si="24"/>
        <v>Sinovation Disrupt Fund, L.P.</v>
      </c>
      <c r="J65" s="119">
        <f t="shared" si="25"/>
        <v>44703</v>
      </c>
      <c r="K65" s="117">
        <f t="shared" si="26"/>
        <v>5.6730739999999997</v>
      </c>
      <c r="L65" s="545">
        <f t="shared" si="27"/>
        <v>0</v>
      </c>
      <c r="M65" s="545">
        <f t="shared" si="28"/>
        <v>0</v>
      </c>
      <c r="N65" s="117">
        <f t="shared" si="29"/>
        <v>5.6730739999999997</v>
      </c>
    </row>
    <row r="66" spans="3:14" x14ac:dyDescent="0.2">
      <c r="C66" s="147"/>
      <c r="I66" s="116" t="str">
        <f t="shared" si="24"/>
        <v>Sinovation Disrupt Fund, L.P.</v>
      </c>
      <c r="J66" s="119">
        <f t="shared" si="25"/>
        <v>44703</v>
      </c>
      <c r="K66" s="117">
        <f t="shared" si="26"/>
        <v>0</v>
      </c>
      <c r="L66" s="545">
        <f t="shared" si="27"/>
        <v>0.22778599999999999</v>
      </c>
      <c r="M66" s="545">
        <f t="shared" si="28"/>
        <v>0</v>
      </c>
      <c r="N66" s="117">
        <f t="shared" si="29"/>
        <v>0.22778599999999999</v>
      </c>
    </row>
    <row r="67" spans="3:14" x14ac:dyDescent="0.2">
      <c r="C67" s="147"/>
      <c r="I67" s="116" t="str">
        <f t="shared" si="24"/>
        <v>Sinovation Disrupt Fund, L.P.</v>
      </c>
      <c r="J67" s="119">
        <f t="shared" si="25"/>
        <v>44776</v>
      </c>
      <c r="K67" s="117">
        <f t="shared" si="26"/>
        <v>-3.235493</v>
      </c>
      <c r="L67" s="545">
        <f t="shared" si="27"/>
        <v>0</v>
      </c>
      <c r="M67" s="545">
        <f t="shared" si="28"/>
        <v>0</v>
      </c>
      <c r="N67" s="117">
        <f t="shared" ref="N67" si="30">SUM(K67:M67)</f>
        <v>-3.235493</v>
      </c>
    </row>
    <row r="68" spans="3:14" x14ac:dyDescent="0.2">
      <c r="C68" s="147"/>
      <c r="I68" s="116" t="str">
        <f t="shared" ref="I68" si="31">B21</f>
        <v>Sinovation Disrupt Fund, L.P.</v>
      </c>
      <c r="J68" s="119">
        <f t="shared" ref="J68" si="32">C21</f>
        <v>44960</v>
      </c>
      <c r="K68" s="117">
        <f t="shared" ref="K68" si="33">D21</f>
        <v>-2.6315279999999999</v>
      </c>
      <c r="L68" s="545">
        <f t="shared" ref="L68" si="34">E21</f>
        <v>0</v>
      </c>
      <c r="M68" s="545">
        <f t="shared" ref="M68" si="35">F21</f>
        <v>0</v>
      </c>
      <c r="N68" s="117">
        <f t="shared" ref="N68" si="36">SUM(K68:M68)</f>
        <v>-2.6315279999999999</v>
      </c>
    </row>
    <row r="69" spans="3:14" x14ac:dyDescent="0.2">
      <c r="C69" s="147"/>
      <c r="I69" s="121" t="s">
        <v>15</v>
      </c>
      <c r="J69" s="122">
        <f>$C$4</f>
        <v>45016</v>
      </c>
      <c r="K69" s="124"/>
      <c r="L69" s="124"/>
      <c r="M69" s="124">
        <f>F49</f>
        <v>21.515750000000001</v>
      </c>
      <c r="N69" s="124">
        <f>SUM(K69:M69)</f>
        <v>21.515750000000001</v>
      </c>
    </row>
    <row r="70" spans="3:14" x14ac:dyDescent="0.2">
      <c r="C70" s="147"/>
    </row>
    <row r="71" spans="3:14" x14ac:dyDescent="0.2">
      <c r="C71" s="147"/>
      <c r="I71" s="267" t="s">
        <v>224</v>
      </c>
      <c r="J71" s="282">
        <f>XIRR(N55:N69,J55:J69)</f>
        <v>-1.8159523606300351E-2</v>
      </c>
      <c r="L71" s="128" t="s">
        <v>227</v>
      </c>
      <c r="M71" s="137" t="b">
        <f>-SUM(K55:K66)='Summary | 01 '!K39</f>
        <v>0</v>
      </c>
    </row>
    <row r="72" spans="3:14" x14ac:dyDescent="0.2">
      <c r="C72" s="147"/>
      <c r="I72" s="268" t="s">
        <v>43</v>
      </c>
      <c r="J72" s="283">
        <f>SUM(L55:M69)/-SUM(K55:K69)</f>
        <v>0.96920684873422736</v>
      </c>
      <c r="L72" s="128" t="s">
        <v>42</v>
      </c>
      <c r="M72" s="261" t="b">
        <f>-SUM(L55:L66)=-'Summary | 01 '!M39</f>
        <v>1</v>
      </c>
    </row>
    <row r="73" spans="3:14" x14ac:dyDescent="0.2">
      <c r="C73" s="147"/>
      <c r="I73" s="268" t="s">
        <v>226</v>
      </c>
      <c r="J73" s="283">
        <f>SUM(M55:M69)/-SUM(K55:K69)</f>
        <v>0.94961806293759965</v>
      </c>
      <c r="L73" s="128" t="s">
        <v>223</v>
      </c>
      <c r="M73" s="137" t="b">
        <f>M69='Summary | 01 '!N39</f>
        <v>1</v>
      </c>
    </row>
    <row r="74" spans="3:14" x14ac:dyDescent="0.2">
      <c r="C74" s="147"/>
      <c r="I74" s="269" t="s">
        <v>142</v>
      </c>
      <c r="J74" s="284">
        <f>SUM(L55:L69)/-SUM(K55:K69)</f>
        <v>1.9588785796627633E-2</v>
      </c>
    </row>
    <row r="75" spans="3:14" x14ac:dyDescent="0.2">
      <c r="C75" s="147"/>
    </row>
    <row r="76" spans="3:14" x14ac:dyDescent="0.2">
      <c r="C76" s="147"/>
    </row>
    <row r="77" spans="3:14" x14ac:dyDescent="0.2">
      <c r="C77" s="147"/>
      <c r="I77" s="116" t="str">
        <f t="shared" ref="I77:M81" si="37">B44</f>
        <v>Acies Investments Fund I, L.P.</v>
      </c>
      <c r="J77" s="115">
        <f t="shared" si="37"/>
        <v>44540</v>
      </c>
      <c r="K77" s="117">
        <f t="shared" si="37"/>
        <v>-2.8053124999999999</v>
      </c>
      <c r="L77" s="545">
        <f t="shared" si="37"/>
        <v>0</v>
      </c>
      <c r="M77" s="545">
        <f t="shared" si="37"/>
        <v>0</v>
      </c>
      <c r="N77" s="117">
        <f t="shared" ref="N77:N82" si="38">SUM(K77:M77)</f>
        <v>-2.8053124999999999</v>
      </c>
    </row>
    <row r="78" spans="3:14" x14ac:dyDescent="0.2">
      <c r="C78" s="147"/>
      <c r="I78" s="116" t="str">
        <f t="shared" si="37"/>
        <v>Acies Investments Fund I, L.P.</v>
      </c>
      <c r="J78" s="119">
        <f t="shared" si="37"/>
        <v>44602</v>
      </c>
      <c r="K78" s="117">
        <f t="shared" si="37"/>
        <v>-3.4074999999999998</v>
      </c>
      <c r="L78" s="545">
        <f t="shared" si="37"/>
        <v>0</v>
      </c>
      <c r="M78" s="545">
        <f t="shared" si="37"/>
        <v>0</v>
      </c>
      <c r="N78" s="117">
        <f t="shared" si="38"/>
        <v>-3.4074999999999998</v>
      </c>
    </row>
    <row r="79" spans="3:14" x14ac:dyDescent="0.2">
      <c r="C79" s="147"/>
      <c r="I79" s="116" t="str">
        <f t="shared" si="37"/>
        <v>Acies Investments Fund I, L.P.</v>
      </c>
      <c r="J79" s="119">
        <f t="shared" si="37"/>
        <v>44683</v>
      </c>
      <c r="K79" s="117">
        <f t="shared" si="37"/>
        <v>-1.0257749999999999</v>
      </c>
      <c r="L79" s="545">
        <f t="shared" si="37"/>
        <v>0</v>
      </c>
      <c r="M79" s="545">
        <f t="shared" si="37"/>
        <v>0</v>
      </c>
      <c r="N79" s="117">
        <f t="shared" si="38"/>
        <v>-1.0257749999999999</v>
      </c>
    </row>
    <row r="80" spans="3:14" x14ac:dyDescent="0.2">
      <c r="C80" s="147"/>
      <c r="I80" s="116" t="str">
        <f t="shared" si="37"/>
        <v>Acies Investments Fund I, L.P.</v>
      </c>
      <c r="J80" s="119">
        <f t="shared" si="37"/>
        <v>44707</v>
      </c>
      <c r="K80" s="117">
        <f t="shared" si="37"/>
        <v>-3.3882749999999997</v>
      </c>
      <c r="L80" s="545">
        <f t="shared" si="37"/>
        <v>0</v>
      </c>
      <c r="M80" s="545">
        <f t="shared" si="37"/>
        <v>0</v>
      </c>
      <c r="N80" s="117">
        <f t="shared" si="38"/>
        <v>-3.3882749999999997</v>
      </c>
    </row>
    <row r="81" spans="3:14" x14ac:dyDescent="0.2">
      <c r="C81" s="147"/>
      <c r="I81" s="116" t="str">
        <f t="shared" si="37"/>
        <v>Acies Investments Fund I, L.P.</v>
      </c>
      <c r="J81" s="119">
        <f t="shared" si="37"/>
        <v>44875</v>
      </c>
      <c r="K81" s="117">
        <f t="shared" si="37"/>
        <v>-3.3882749999999997</v>
      </c>
      <c r="L81" s="545">
        <f t="shared" si="37"/>
        <v>0</v>
      </c>
      <c r="M81" s="545">
        <f t="shared" si="37"/>
        <v>0</v>
      </c>
      <c r="N81" s="117">
        <f t="shared" si="38"/>
        <v>-3.3882749999999997</v>
      </c>
    </row>
    <row r="82" spans="3:14" x14ac:dyDescent="0.2">
      <c r="C82" s="147"/>
      <c r="I82" s="121" t="s">
        <v>237</v>
      </c>
      <c r="J82" s="122">
        <f>$C$4</f>
        <v>45016</v>
      </c>
      <c r="K82" s="124"/>
      <c r="L82" s="124"/>
      <c r="M82" s="124">
        <f>F53</f>
        <v>13.742841</v>
      </c>
      <c r="N82" s="124">
        <f t="shared" si="38"/>
        <v>13.742841</v>
      </c>
    </row>
    <row r="83" spans="3:14" x14ac:dyDescent="0.2">
      <c r="C83" s="147"/>
    </row>
    <row r="84" spans="3:14" x14ac:dyDescent="0.2">
      <c r="C84" s="147"/>
      <c r="I84" s="267" t="s">
        <v>224</v>
      </c>
      <c r="J84" s="279">
        <f>XIRR(N77:N82,J77:J82)</f>
        <v>-2.1553859114646915E-2</v>
      </c>
      <c r="L84" s="128" t="s">
        <v>227</v>
      </c>
      <c r="M84" s="137" t="b">
        <f>-SUM(K77:K82)='Summary | 01 '!K40</f>
        <v>1</v>
      </c>
    </row>
    <row r="85" spans="3:14" x14ac:dyDescent="0.2">
      <c r="C85" s="147"/>
      <c r="I85" s="268" t="s">
        <v>43</v>
      </c>
      <c r="J85" s="280">
        <f>SUM(L77:M82)/-SUM(K77:K82)</f>
        <v>0.98057125732801409</v>
      </c>
      <c r="L85" s="128" t="s">
        <v>42</v>
      </c>
      <c r="M85" s="261" t="b">
        <f>-SUM(L77:L87)=-'Summary | 01 '!M40</f>
        <v>1</v>
      </c>
    </row>
    <row r="86" spans="3:14" x14ac:dyDescent="0.2">
      <c r="C86" s="147"/>
      <c r="I86" s="268" t="s">
        <v>226</v>
      </c>
      <c r="J86" s="280">
        <f>SUM(M77:M82)/-SUM(K77:K82)</f>
        <v>0.98057125732801409</v>
      </c>
      <c r="L86" s="128" t="s">
        <v>223</v>
      </c>
      <c r="M86" s="137" t="b">
        <f>M82='Summary | 01 '!N40</f>
        <v>1</v>
      </c>
    </row>
    <row r="87" spans="3:14" x14ac:dyDescent="0.2">
      <c r="C87" s="147"/>
      <c r="I87" s="269" t="s">
        <v>142</v>
      </c>
      <c r="J87" s="281">
        <f>SUM(L77:L82)/-SUM(K77:K82)</f>
        <v>0</v>
      </c>
      <c r="K87" s="260"/>
      <c r="L87" s="260"/>
      <c r="M87" s="260"/>
      <c r="N87" s="260"/>
    </row>
    <row r="88" spans="3:14" x14ac:dyDescent="0.2">
      <c r="C88" s="147"/>
    </row>
    <row r="89" spans="3:14" x14ac:dyDescent="0.2">
      <c r="C89" s="147"/>
    </row>
    <row r="90" spans="3:14" x14ac:dyDescent="0.2">
      <c r="C90" s="147"/>
    </row>
    <row r="91" spans="3:14" x14ac:dyDescent="0.2">
      <c r="C91" s="147"/>
    </row>
    <row r="92" spans="3:14" x14ac:dyDescent="0.2">
      <c r="C92" s="147"/>
    </row>
    <row r="93" spans="3:14" x14ac:dyDescent="0.2">
      <c r="C93" s="147"/>
    </row>
    <row r="94" spans="3:14" x14ac:dyDescent="0.2">
      <c r="C94" s="147"/>
    </row>
    <row r="95" spans="3:14" x14ac:dyDescent="0.2">
      <c r="C95" s="147"/>
    </row>
    <row r="96" spans="3:14" x14ac:dyDescent="0.2">
      <c r="C96" s="147"/>
    </row>
    <row r="97" spans="3:3" x14ac:dyDescent="0.2">
      <c r="C97" s="147"/>
    </row>
    <row r="98" spans="3:3" x14ac:dyDescent="0.2">
      <c r="C98" s="147"/>
    </row>
    <row r="99" spans="3:3" x14ac:dyDescent="0.2">
      <c r="C99" s="147"/>
    </row>
    <row r="100" spans="3:3" x14ac:dyDescent="0.2">
      <c r="C100" s="147"/>
    </row>
    <row r="101" spans="3:3" x14ac:dyDescent="0.2">
      <c r="C101" s="147"/>
    </row>
    <row r="102" spans="3:3" x14ac:dyDescent="0.2">
      <c r="C102" s="147"/>
    </row>
    <row r="103" spans="3:3" x14ac:dyDescent="0.2">
      <c r="C103" s="147"/>
    </row>
    <row r="104" spans="3:3" x14ac:dyDescent="0.2">
      <c r="C104" s="147"/>
    </row>
    <row r="105" spans="3:3" x14ac:dyDescent="0.2">
      <c r="C105" s="147"/>
    </row>
    <row r="106" spans="3:3" x14ac:dyDescent="0.2">
      <c r="C106" s="147"/>
    </row>
    <row r="107" spans="3:3" x14ac:dyDescent="0.2">
      <c r="C107" s="147"/>
    </row>
    <row r="108" spans="3:3" x14ac:dyDescent="0.2">
      <c r="C108" s="147"/>
    </row>
    <row r="109" spans="3:3" x14ac:dyDescent="0.2">
      <c r="C109" s="147"/>
    </row>
    <row r="110" spans="3:3" x14ac:dyDescent="0.2">
      <c r="C110" s="147"/>
    </row>
    <row r="111" spans="3:3" x14ac:dyDescent="0.2">
      <c r="C111" s="147"/>
    </row>
    <row r="112" spans="3:3" x14ac:dyDescent="0.2">
      <c r="C112" s="147"/>
    </row>
    <row r="113" spans="3:3" x14ac:dyDescent="0.2">
      <c r="C113" s="147"/>
    </row>
  </sheetData>
  <pageMargins left="0.7" right="0.7" top="0.75" bottom="0.75" header="0.3" footer="0.3"/>
  <pageSetup paperSize="9" orientation="portrait" verticalDpi="0" r:id="rId1"/>
  <ignoredErrors>
    <ignoredError sqref="G9:G19 N9" formulaRange="1"/>
    <ignoredError sqref="S11"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68"/>
  <sheetViews>
    <sheetView zoomScale="85" zoomScaleNormal="85" workbookViewId="0">
      <selection activeCell="I2" sqref="I2"/>
    </sheetView>
  </sheetViews>
  <sheetFormatPr defaultRowHeight="12" x14ac:dyDescent="0.2"/>
  <cols>
    <col min="1" max="1" width="9.140625" style="83"/>
    <col min="2" max="2" width="30.7109375" style="83" customWidth="1"/>
    <col min="3" max="3" width="11.42578125" style="83" bestFit="1" customWidth="1"/>
    <col min="4" max="4" width="10.85546875" style="83" bestFit="1" customWidth="1"/>
    <col min="5" max="5" width="14.85546875" style="83" customWidth="1"/>
    <col min="6" max="7" width="16.5703125" style="83" customWidth="1"/>
    <col min="8" max="8" width="14.42578125" style="88" customWidth="1"/>
    <col min="9" max="9" width="20" style="83" bestFit="1" customWidth="1"/>
    <col min="10" max="13" width="24.85546875" style="83" customWidth="1"/>
    <col min="14" max="17" width="8.7109375" style="83" customWidth="1"/>
    <col min="18" max="16384" width="9.140625" style="83"/>
  </cols>
  <sheetData>
    <row r="2" spans="2:17" s="164" customFormat="1" ht="43.5" customHeight="1" x14ac:dyDescent="0.45">
      <c r="B2" s="345" t="s">
        <v>308</v>
      </c>
      <c r="C2" s="346"/>
      <c r="D2" s="346"/>
      <c r="E2" s="353"/>
      <c r="F2" s="353"/>
      <c r="G2" s="353"/>
      <c r="H2" s="346" t="s">
        <v>534</v>
      </c>
      <c r="I2" s="353" t="b">
        <f>COUNTA(B8:B85)=COUNTA('CF (Equity, Debt)'!C4:C34)+COUNTA('CF (Equity, Debt)'!C37:C40)+COUNTA('CF (Funds)'!B3:B43)</f>
        <v>1</v>
      </c>
      <c r="J2" s="347"/>
      <c r="K2" s="348"/>
      <c r="L2" s="347"/>
    </row>
    <row r="3" spans="2:17" ht="12.75" thickBot="1" x14ac:dyDescent="0.25"/>
    <row r="4" spans="2:17" s="137" customFormat="1" ht="13.5" thickBot="1" x14ac:dyDescent="0.25">
      <c r="B4" s="271" t="s">
        <v>235</v>
      </c>
      <c r="C4" s="285">
        <f>D!D2</f>
        <v>45016</v>
      </c>
    </row>
    <row r="6" spans="2:17" x14ac:dyDescent="0.2">
      <c r="B6" s="97" t="s">
        <v>140</v>
      </c>
      <c r="H6" s="83"/>
    </row>
    <row r="7" spans="2:17" ht="30.75" customHeight="1" x14ac:dyDescent="0.2">
      <c r="B7" s="95" t="s">
        <v>6</v>
      </c>
      <c r="C7" s="96" t="s">
        <v>7</v>
      </c>
      <c r="D7" s="96" t="s">
        <v>141</v>
      </c>
      <c r="E7" s="96" t="s">
        <v>42</v>
      </c>
      <c r="F7" s="97" t="s">
        <v>139</v>
      </c>
      <c r="G7" s="97" t="s">
        <v>225</v>
      </c>
      <c r="H7" s="96" t="s">
        <v>221</v>
      </c>
      <c r="I7" s="335"/>
      <c r="J7" s="127" t="s">
        <v>2</v>
      </c>
      <c r="K7" s="127" t="s">
        <v>60</v>
      </c>
      <c r="L7" s="127" t="s">
        <v>42</v>
      </c>
      <c r="M7" s="127" t="s">
        <v>223</v>
      </c>
      <c r="N7" s="127" t="s">
        <v>32</v>
      </c>
      <c r="O7" s="127" t="s">
        <v>43</v>
      </c>
      <c r="P7" s="127" t="s">
        <v>236</v>
      </c>
      <c r="Q7" s="127" t="s">
        <v>142</v>
      </c>
    </row>
    <row r="8" spans="2:17" ht="12.75" x14ac:dyDescent="0.2">
      <c r="B8" s="84" t="str">
        <f>'CF (Equity, Debt)'!C4</f>
        <v>Jollychic Holding Limited</v>
      </c>
      <c r="C8" s="85">
        <f>'CF (Equity, Debt)'!D4</f>
        <v>43470</v>
      </c>
      <c r="D8" s="93">
        <f>'CF (Equity, Debt)'!E4</f>
        <v>-30</v>
      </c>
      <c r="E8" s="93"/>
      <c r="F8" s="93"/>
      <c r="G8" s="93">
        <f>SUM(D8:F8)</f>
        <v>-30</v>
      </c>
      <c r="H8" s="89" t="s">
        <v>220</v>
      </c>
      <c r="I8" s="262"/>
      <c r="J8" s="137"/>
      <c r="K8" s="137"/>
      <c r="L8" s="137"/>
      <c r="M8" s="137"/>
      <c r="N8" s="266"/>
      <c r="O8" s="137"/>
      <c r="P8" s="137"/>
      <c r="Q8" s="137"/>
    </row>
    <row r="9" spans="2:17" ht="15" x14ac:dyDescent="0.25">
      <c r="B9" s="84" t="str">
        <f>'CF (Equity, Debt)'!C5</f>
        <v>Jollychic Holding Limited</v>
      </c>
      <c r="C9" s="85">
        <f>'CF (Equity, Debt)'!D5</f>
        <v>43724</v>
      </c>
      <c r="D9" s="93">
        <f>'CF (Equity, Debt)'!E5</f>
        <v>-20</v>
      </c>
      <c r="E9" s="93"/>
      <c r="F9" s="93"/>
      <c r="G9" s="93">
        <f t="shared" ref="G9:G34" si="0">SUM(D9:F9)</f>
        <v>-20</v>
      </c>
      <c r="H9" s="89" t="s">
        <v>220</v>
      </c>
      <c r="J9" s="99">
        <f>-SUM(D8:D111)</f>
        <v>2227.192890937315</v>
      </c>
      <c r="K9" s="88"/>
      <c r="L9" s="99">
        <f>SUM(E8:E111)</f>
        <v>9.8983483514081989</v>
      </c>
      <c r="M9" s="99">
        <f>SUM(F8:F111)</f>
        <v>2207.4574513300322</v>
      </c>
      <c r="N9" s="332">
        <f>XIRR(G8:G110,C8:C110)</f>
        <v>-3.3056326210498818E-3</v>
      </c>
      <c r="O9" s="333">
        <f>(L9+M9)/J9</f>
        <v>0.99558318846297378</v>
      </c>
      <c r="P9" s="333">
        <f>M9/J9</f>
        <v>0.991138872754314</v>
      </c>
      <c r="Q9" s="333">
        <f>L9/J9</f>
        <v>4.4443157086598252E-3</v>
      </c>
    </row>
    <row r="10" spans="2:17" x14ac:dyDescent="0.2">
      <c r="B10" s="84" t="str">
        <f>'CF (Equity, Debt)'!C6</f>
        <v>Jollychic Holding Limited</v>
      </c>
      <c r="C10" s="85">
        <f>'CF (Equity, Debt)'!D6</f>
        <v>43724</v>
      </c>
      <c r="D10" s="93">
        <f>'CF (Equity, Debt)'!E6</f>
        <v>-15</v>
      </c>
      <c r="E10" s="93"/>
      <c r="F10" s="93"/>
      <c r="G10" s="93">
        <f t="shared" si="0"/>
        <v>-15</v>
      </c>
      <c r="H10" s="89" t="s">
        <v>220</v>
      </c>
    </row>
    <row r="11" spans="2:17" x14ac:dyDescent="0.2">
      <c r="B11" s="86" t="str">
        <f>'CF (Equity, Debt)'!C7</f>
        <v>Mena Mobile Inc</v>
      </c>
      <c r="C11" s="87">
        <f>'CF (Equity, Debt)'!D7</f>
        <v>43563</v>
      </c>
      <c r="D11" s="94">
        <f>'CF (Equity, Debt)'!E7</f>
        <v>-8</v>
      </c>
      <c r="E11" s="94"/>
      <c r="F11" s="94"/>
      <c r="G11" s="94">
        <f t="shared" si="0"/>
        <v>-8</v>
      </c>
      <c r="H11" s="90" t="s">
        <v>220</v>
      </c>
      <c r="J11" s="593" t="b">
        <f ca="1">ROUND(J9,2)=ROUND('Summary | 01 '!K43,2)</f>
        <v>1</v>
      </c>
      <c r="L11" s="83" t="b">
        <f ca="1">ROUND(L9,3)=ROUND('Summary | 01 '!M43,3)</f>
        <v>1</v>
      </c>
      <c r="M11" s="83" t="b">
        <f>ROUND(M9,3)=ROUND('Summary | 01 '!N43,3)</f>
        <v>1</v>
      </c>
    </row>
    <row r="12" spans="2:17" x14ac:dyDescent="0.2">
      <c r="B12" s="84" t="str">
        <f>'CF (Equity, Debt)'!C8</f>
        <v>Flyr Inc</v>
      </c>
      <c r="C12" s="85">
        <f>'CF (Equity, Debt)'!D8</f>
        <v>43570</v>
      </c>
      <c r="D12" s="93">
        <f>'CF (Equity, Debt)'!E8</f>
        <v>-4.9999980900000001</v>
      </c>
      <c r="E12" s="93"/>
      <c r="F12" s="93"/>
      <c r="G12" s="93">
        <f t="shared" si="0"/>
        <v>-4.9999980900000001</v>
      </c>
      <c r="H12" s="89" t="s">
        <v>220</v>
      </c>
    </row>
    <row r="13" spans="2:17" x14ac:dyDescent="0.2">
      <c r="B13" s="84" t="str">
        <f>'CF (Equity, Debt)'!C9</f>
        <v>Flyr Inc</v>
      </c>
      <c r="C13" s="85">
        <f>'CF (Equity, Debt)'!D9</f>
        <v>43915</v>
      </c>
      <c r="D13" s="93">
        <f>'CF (Equity, Debt)'!E9</f>
        <v>-5.0000019099999999</v>
      </c>
      <c r="E13" s="93"/>
      <c r="F13" s="93"/>
      <c r="G13" s="93">
        <f t="shared" si="0"/>
        <v>-5.0000019099999999</v>
      </c>
      <c r="H13" s="89" t="s">
        <v>220</v>
      </c>
    </row>
    <row r="14" spans="2:17" x14ac:dyDescent="0.2">
      <c r="B14" s="86" t="str">
        <f>'CF (Equity, Debt)'!C10</f>
        <v xml:space="preserve">Esyasoft Holding </v>
      </c>
      <c r="C14" s="87">
        <f>'CF (Equity, Debt)'!D10</f>
        <v>43870</v>
      </c>
      <c r="D14" s="94">
        <f>'CF (Equity, Debt)'!E10</f>
        <v>-2.5</v>
      </c>
      <c r="E14" s="94"/>
      <c r="F14" s="94"/>
      <c r="G14" s="94">
        <f t="shared" si="0"/>
        <v>-2.5</v>
      </c>
      <c r="H14" s="90" t="s">
        <v>220</v>
      </c>
    </row>
    <row r="15" spans="2:17" x14ac:dyDescent="0.2">
      <c r="B15" s="84" t="str">
        <f>'CF (Equity, Debt)'!C11</f>
        <v>Beyond Limits</v>
      </c>
      <c r="C15" s="85">
        <f>'CF (Equity, Debt)'!D11</f>
        <v>43879</v>
      </c>
      <c r="D15" s="93">
        <f>'CF (Equity, Debt)'!E11</f>
        <v>-20</v>
      </c>
      <c r="E15" s="93"/>
      <c r="F15" s="93"/>
      <c r="G15" s="93">
        <f t="shared" si="0"/>
        <v>-20</v>
      </c>
      <c r="H15" s="89" t="s">
        <v>220</v>
      </c>
    </row>
    <row r="16" spans="2:17" x14ac:dyDescent="0.2">
      <c r="B16" s="84" t="str">
        <f>'CF (Equity, Debt)'!C12</f>
        <v>Beyond Limits</v>
      </c>
      <c r="C16" s="85">
        <f>'CF (Equity, Debt)'!D12</f>
        <v>43921</v>
      </c>
      <c r="D16" s="93">
        <f>'CF (Equity, Debt)'!E12</f>
        <v>-30</v>
      </c>
      <c r="E16" s="93"/>
      <c r="F16" s="93"/>
      <c r="G16" s="93">
        <f t="shared" si="0"/>
        <v>-30</v>
      </c>
      <c r="H16" s="89" t="s">
        <v>220</v>
      </c>
    </row>
    <row r="17" spans="2:8" x14ac:dyDescent="0.2">
      <c r="B17" s="84" t="str">
        <f>'CF (Equity, Debt)'!C13</f>
        <v>Beyond Limits</v>
      </c>
      <c r="C17" s="85">
        <f>'CF (Equity, Debt)'!D13</f>
        <v>43989</v>
      </c>
      <c r="D17" s="93">
        <f>'CF (Equity, Debt)'!E13</f>
        <v>-30</v>
      </c>
      <c r="E17" s="93"/>
      <c r="F17" s="93"/>
      <c r="G17" s="93">
        <f t="shared" si="0"/>
        <v>-30</v>
      </c>
      <c r="H17" s="89" t="s">
        <v>220</v>
      </c>
    </row>
    <row r="18" spans="2:8" x14ac:dyDescent="0.2">
      <c r="B18" s="84" t="str">
        <f>'CF (Equity, Debt)'!C14</f>
        <v>Beyond Limits</v>
      </c>
      <c r="C18" s="85">
        <f>'CF (Equity, Debt)'!D14</f>
        <v>44103</v>
      </c>
      <c r="D18" s="93">
        <f>'CF (Equity, Debt)'!E14</f>
        <v>-10</v>
      </c>
      <c r="E18" s="93"/>
      <c r="F18" s="93"/>
      <c r="G18" s="93">
        <f t="shared" si="0"/>
        <v>-10</v>
      </c>
      <c r="H18" s="89" t="s">
        <v>220</v>
      </c>
    </row>
    <row r="19" spans="2:8" x14ac:dyDescent="0.2">
      <c r="B19" s="86" t="str">
        <f>'CF (Equity, Debt)'!C15</f>
        <v>ONT plc</v>
      </c>
      <c r="C19" s="87">
        <f>'CF (Equity, Debt)'!D15</f>
        <v>43968</v>
      </c>
      <c r="D19" s="94">
        <f>'CF (Equity, Debt)'!E15</f>
        <v>-50</v>
      </c>
      <c r="E19" s="94"/>
      <c r="F19" s="94"/>
      <c r="G19" s="94">
        <f t="shared" si="0"/>
        <v>-50</v>
      </c>
      <c r="H19" s="90" t="s">
        <v>220</v>
      </c>
    </row>
    <row r="20" spans="2:8" x14ac:dyDescent="0.2">
      <c r="B20" s="86" t="str">
        <f>'CF (Equity, Debt)'!C16</f>
        <v>ONT plc</v>
      </c>
      <c r="C20" s="87">
        <f>'CF (Equity, Debt)'!D16</f>
        <v>44006</v>
      </c>
      <c r="D20" s="94">
        <f>'CF (Equity, Debt)'!E16</f>
        <v>-27.268350856443721</v>
      </c>
      <c r="E20" s="94"/>
      <c r="F20" s="94"/>
      <c r="G20" s="94">
        <f t="shared" si="0"/>
        <v>-27.268350856443721</v>
      </c>
      <c r="H20" s="90" t="s">
        <v>220</v>
      </c>
    </row>
    <row r="21" spans="2:8" x14ac:dyDescent="0.2">
      <c r="B21" s="86" t="str">
        <f>'CF (Equity, Debt)'!C17</f>
        <v>ONT plc</v>
      </c>
      <c r="C21" s="87">
        <f>'CF (Equity, Debt)'!D17</f>
        <v>43837</v>
      </c>
      <c r="D21" s="94">
        <f>'CF (Equity, Debt)'!E17</f>
        <v>-18.109441299619355</v>
      </c>
      <c r="E21" s="94"/>
      <c r="F21" s="94"/>
      <c r="G21" s="94">
        <f t="shared" si="0"/>
        <v>-18.109441299619355</v>
      </c>
      <c r="H21" s="90" t="s">
        <v>220</v>
      </c>
    </row>
    <row r="22" spans="2:8" x14ac:dyDescent="0.2">
      <c r="B22" s="86" t="str">
        <f>'CF (Equity, Debt)'!C18</f>
        <v>ONT plc</v>
      </c>
      <c r="C22" s="87">
        <f>'CF (Equity, Debt)'!D18</f>
        <v>43990</v>
      </c>
      <c r="D22" s="94">
        <f>'CF (Equity, Debt)'!E18</f>
        <v>-34.851687094159864</v>
      </c>
      <c r="E22" s="94"/>
      <c r="F22" s="94"/>
      <c r="G22" s="94">
        <f t="shared" si="0"/>
        <v>-34.851687094159864</v>
      </c>
      <c r="H22" s="90" t="s">
        <v>220</v>
      </c>
    </row>
    <row r="23" spans="2:8" x14ac:dyDescent="0.2">
      <c r="B23" s="86" t="str">
        <f>'CF (Equity, Debt)'!C19</f>
        <v>ONT plc</v>
      </c>
      <c r="C23" s="87">
        <f>'CF (Equity, Debt)'!D19</f>
        <v>44315</v>
      </c>
      <c r="D23" s="94">
        <f>'CF (Equity, Debt)'!E19</f>
        <v>-11.240780424143557</v>
      </c>
      <c r="E23" s="94"/>
      <c r="F23" s="94"/>
      <c r="G23" s="94">
        <f t="shared" si="0"/>
        <v>-11.240780424143557</v>
      </c>
      <c r="H23" s="90" t="s">
        <v>220</v>
      </c>
    </row>
    <row r="24" spans="2:8" x14ac:dyDescent="0.2">
      <c r="B24" s="84" t="str">
        <f>'CF (Equity, Debt)'!C20</f>
        <v>Heygears</v>
      </c>
      <c r="C24" s="85">
        <f>'CF (Equity, Debt)'!D20</f>
        <v>44166</v>
      </c>
      <c r="D24" s="93">
        <f>'CF (Equity, Debt)'!E20</f>
        <v>-60</v>
      </c>
      <c r="E24" s="93"/>
      <c r="F24" s="93"/>
      <c r="G24" s="93">
        <f t="shared" si="0"/>
        <v>-60</v>
      </c>
      <c r="H24" s="89" t="s">
        <v>220</v>
      </c>
    </row>
    <row r="25" spans="2:8" x14ac:dyDescent="0.2">
      <c r="B25" s="86" t="str">
        <f>'CF (Equity, Debt)'!C21</f>
        <v>Jysan Technologies</v>
      </c>
      <c r="C25" s="87">
        <f>'CF (Equity, Debt)'!D21</f>
        <v>44363</v>
      </c>
      <c r="D25" s="94">
        <f>'CF (Equity, Debt)'!E21</f>
        <v>-20</v>
      </c>
      <c r="E25" s="94"/>
      <c r="F25" s="94"/>
      <c r="G25" s="94">
        <f t="shared" si="0"/>
        <v>-20</v>
      </c>
      <c r="H25" s="90" t="s">
        <v>220</v>
      </c>
    </row>
    <row r="26" spans="2:8" x14ac:dyDescent="0.2">
      <c r="B26" s="84" t="str">
        <f>'CF (Equity, Debt)'!C22</f>
        <v>Cerebras Systems Inc</v>
      </c>
      <c r="C26" s="85">
        <f>'CF (Equity, Debt)'!D22</f>
        <v>44488</v>
      </c>
      <c r="D26" s="93">
        <f>'CF (Equity, Debt)'!E22</f>
        <v>-39.999983359999995</v>
      </c>
      <c r="E26" s="93"/>
      <c r="F26" s="93"/>
      <c r="G26" s="93">
        <f t="shared" si="0"/>
        <v>-39.999983359999995</v>
      </c>
      <c r="H26" s="89" t="s">
        <v>220</v>
      </c>
    </row>
    <row r="27" spans="2:8" x14ac:dyDescent="0.2">
      <c r="B27" s="86" t="str">
        <f>'CF (Equity, Debt)'!C23</f>
        <v>Endless Studios LLC</v>
      </c>
      <c r="C27" s="87">
        <f>'CF (Equity, Debt)'!D23</f>
        <v>44494</v>
      </c>
      <c r="D27" s="94">
        <f>'CF (Equity, Debt)'!E23</f>
        <v>-3</v>
      </c>
      <c r="E27" s="94"/>
      <c r="F27" s="94"/>
      <c r="G27" s="94">
        <f t="shared" si="0"/>
        <v>-3</v>
      </c>
      <c r="H27" s="90" t="s">
        <v>220</v>
      </c>
    </row>
    <row r="28" spans="2:8" x14ac:dyDescent="0.2">
      <c r="B28" s="84" t="str">
        <f>'CF (Equity, Debt)'!C24</f>
        <v>Instadeep Limited</v>
      </c>
      <c r="C28" s="85">
        <f>'CF (Equity, Debt)'!D24</f>
        <v>44550</v>
      </c>
      <c r="D28" s="93">
        <f>'CF (Equity, Debt)'!E24</f>
        <v>-5.0237201984774336</v>
      </c>
      <c r="E28" s="93"/>
      <c r="F28" s="93"/>
      <c r="G28" s="93">
        <f t="shared" si="0"/>
        <v>-5.0237201984774336</v>
      </c>
      <c r="H28" s="89" t="s">
        <v>220</v>
      </c>
    </row>
    <row r="29" spans="2:8" x14ac:dyDescent="0.2">
      <c r="B29" s="86" t="str">
        <f>'CF (Equity, Debt)'!C25</f>
        <v>X-fusion</v>
      </c>
      <c r="C29" s="87">
        <f>'CF (Equity, Debt)'!D25</f>
        <v>44574</v>
      </c>
      <c r="D29" s="94">
        <f>'CF (Equity, Debt)'!E25</f>
        <v>-493.50095619999996</v>
      </c>
      <c r="E29" s="94"/>
      <c r="F29" s="94"/>
      <c r="G29" s="94">
        <f t="shared" si="0"/>
        <v>-493.50095619999996</v>
      </c>
      <c r="H29" s="90" t="s">
        <v>220</v>
      </c>
    </row>
    <row r="30" spans="2:8" x14ac:dyDescent="0.2">
      <c r="B30" s="84" t="str">
        <f>'CF (Equity, Debt)'!C26</f>
        <v>DriveNets</v>
      </c>
      <c r="C30" s="85">
        <f>'CF (Equity, Debt)'!D26</f>
        <v>44643</v>
      </c>
      <c r="D30" s="93">
        <f>'CF (Equity, Debt)'!E26</f>
        <v>-200</v>
      </c>
      <c r="E30" s="93"/>
      <c r="F30" s="93"/>
      <c r="G30" s="93">
        <f t="shared" si="0"/>
        <v>-200</v>
      </c>
      <c r="H30" s="89" t="s">
        <v>220</v>
      </c>
    </row>
    <row r="31" spans="2:8" x14ac:dyDescent="0.2">
      <c r="B31" s="84" t="str">
        <f>'CF (Equity, Debt)'!C27</f>
        <v>DriveNets</v>
      </c>
      <c r="C31" s="85">
        <f>'CF (Equity, Debt)'!D27</f>
        <v>44680</v>
      </c>
      <c r="D31" s="93">
        <f>'CF (Equity, Debt)'!E27</f>
        <v>-100</v>
      </c>
      <c r="E31" s="93"/>
      <c r="F31" s="93"/>
      <c r="G31" s="93">
        <f t="shared" si="0"/>
        <v>-100</v>
      </c>
      <c r="H31" s="89" t="s">
        <v>220</v>
      </c>
    </row>
    <row r="32" spans="2:8" x14ac:dyDescent="0.2">
      <c r="B32" s="86" t="str">
        <f>'CF (Equity, Debt)'!C28</f>
        <v xml:space="preserve">Esyasoft Holding </v>
      </c>
      <c r="C32" s="87">
        <f>'CF (Equity, Debt)'!D28</f>
        <v>44691</v>
      </c>
      <c r="D32" s="94">
        <f>'CF (Equity, Debt)'!E28</f>
        <v>0</v>
      </c>
      <c r="E32" s="94">
        <v>5</v>
      </c>
      <c r="F32" s="94"/>
      <c r="G32" s="94">
        <f t="shared" si="0"/>
        <v>5</v>
      </c>
      <c r="H32" s="90" t="s">
        <v>220</v>
      </c>
    </row>
    <row r="33" spans="2:8" x14ac:dyDescent="0.2">
      <c r="B33" s="84" t="str">
        <f>'CF (Equity, Debt)'!C29</f>
        <v>vTv Therapeutics Inc.</v>
      </c>
      <c r="C33" s="85">
        <f>'CF (Equity, Debt)'!D29</f>
        <v>44712</v>
      </c>
      <c r="D33" s="93">
        <f>'CF (Equity, Debt)'!E29</f>
        <v>-12.5</v>
      </c>
      <c r="E33" s="93"/>
      <c r="F33" s="93"/>
      <c r="G33" s="93">
        <f t="shared" si="0"/>
        <v>-12.5</v>
      </c>
      <c r="H33" s="89" t="s">
        <v>220</v>
      </c>
    </row>
    <row r="34" spans="2:8" x14ac:dyDescent="0.2">
      <c r="B34" s="86" t="str">
        <f>'CF (Equity, Debt)'!C30</f>
        <v>Honor Device Co Ltd</v>
      </c>
      <c r="C34" s="87">
        <f>'CF (Equity, Debt)'!D30</f>
        <v>44769</v>
      </c>
      <c r="D34" s="94">
        <f>'CF (Equity, Debt)'!E30</f>
        <v>-600</v>
      </c>
      <c r="E34" s="94"/>
      <c r="F34" s="94"/>
      <c r="G34" s="94">
        <f t="shared" si="0"/>
        <v>-600</v>
      </c>
      <c r="H34" s="90" t="s">
        <v>220</v>
      </c>
    </row>
    <row r="35" spans="2:8" x14ac:dyDescent="0.2">
      <c r="B35" s="86" t="str">
        <f>'CF (Equity, Debt)'!C31</f>
        <v>Honor Device Co Ltd</v>
      </c>
      <c r="C35" s="87">
        <f>'CF (Equity, Debt)'!D31</f>
        <v>44849</v>
      </c>
      <c r="D35" s="94">
        <f>'CF (Equity, Debt)'!E31</f>
        <v>-200</v>
      </c>
      <c r="E35" s="94"/>
      <c r="F35" s="94"/>
      <c r="G35" s="94">
        <f t="shared" ref="G35" si="1">SUM(D35:F35)</f>
        <v>-200</v>
      </c>
      <c r="H35" s="90" t="s">
        <v>220</v>
      </c>
    </row>
    <row r="36" spans="2:8" x14ac:dyDescent="0.2">
      <c r="B36" s="84" t="str">
        <f>'CF (Equity, Debt)'!C32</f>
        <v>Applied AI Corporation Limited</v>
      </c>
      <c r="C36" s="85">
        <f>'CF (Equity, Debt)'!D32</f>
        <v>44861</v>
      </c>
      <c r="D36" s="93">
        <f>'CF (Equity, Debt)'!E32</f>
        <v>-4.75</v>
      </c>
      <c r="E36" s="93"/>
      <c r="F36" s="93"/>
      <c r="G36" s="93">
        <f t="shared" ref="G36" si="2">SUM(D36:F36)</f>
        <v>-4.75</v>
      </c>
      <c r="H36" s="89" t="s">
        <v>220</v>
      </c>
    </row>
    <row r="37" spans="2:8" x14ac:dyDescent="0.2">
      <c r="B37" s="86" t="str">
        <f>'CF (Equity, Debt)'!C33</f>
        <v xml:space="preserve">eSpace </v>
      </c>
      <c r="C37" s="87">
        <f>'CF (Equity, Debt)'!D33</f>
        <v>44892</v>
      </c>
      <c r="D37" s="94">
        <f>'CF (Equity, Debt)'!E33</f>
        <v>-15</v>
      </c>
      <c r="E37" s="94"/>
      <c r="F37" s="94"/>
      <c r="G37" s="94">
        <f t="shared" ref="G37" si="3">SUM(D37:F37)</f>
        <v>-15</v>
      </c>
      <c r="H37" s="90" t="s">
        <v>220</v>
      </c>
    </row>
    <row r="38" spans="2:8" x14ac:dyDescent="0.2">
      <c r="B38" s="84" t="str">
        <f>'CF (Equity, Debt)'!C34</f>
        <v>vTv Therapeutics Inc.</v>
      </c>
      <c r="C38" s="85">
        <f>'CF (Equity, Debt)'!D34</f>
        <v>44985</v>
      </c>
      <c r="D38" s="93">
        <f>'CF (Equity, Debt)'!E34</f>
        <v>-12.03125</v>
      </c>
      <c r="E38" s="93"/>
      <c r="F38" s="93"/>
      <c r="G38" s="93">
        <f t="shared" ref="G38" si="4">SUM(D38:F38)</f>
        <v>-12.03125</v>
      </c>
      <c r="H38" s="89" t="s">
        <v>220</v>
      </c>
    </row>
    <row r="39" spans="2:8" x14ac:dyDescent="0.2">
      <c r="B39" s="84"/>
      <c r="C39" s="85"/>
      <c r="D39" s="93"/>
      <c r="E39" s="93"/>
      <c r="F39" s="93"/>
      <c r="G39" s="93"/>
      <c r="H39" s="89"/>
    </row>
    <row r="40" spans="2:8" x14ac:dyDescent="0.2">
      <c r="B40" s="410" t="str">
        <f>'CF (Equity, Debt)'!C37</f>
        <v xml:space="preserve">Glass Earth Holdings LLC </v>
      </c>
      <c r="C40" s="85">
        <f>'CF (Equity, Debt)'!D37</f>
        <v>43635</v>
      </c>
      <c r="D40" s="305">
        <f>'CF (Equity, Debt)'!E37</f>
        <v>-8</v>
      </c>
      <c r="E40" s="305"/>
      <c r="F40" s="305"/>
      <c r="G40" s="305">
        <f t="shared" ref="G40:G83" si="5">SUM(D40:F40)</f>
        <v>-8</v>
      </c>
      <c r="H40" s="303" t="s">
        <v>53</v>
      </c>
    </row>
    <row r="41" spans="2:8" x14ac:dyDescent="0.2">
      <c r="B41" s="302" t="str">
        <f>'CF (Equity, Debt)'!C38</f>
        <v>Mena Mobile Inc (Debt)</v>
      </c>
      <c r="C41" s="85">
        <f>'CF (Equity, Debt)'!D38</f>
        <v>44293</v>
      </c>
      <c r="D41" s="305">
        <f>'CF (Equity, Debt)'!E38</f>
        <v>-2.3539819999999998</v>
      </c>
      <c r="E41" s="305"/>
      <c r="F41" s="305"/>
      <c r="G41" s="305">
        <f t="shared" si="5"/>
        <v>-2.3539819999999998</v>
      </c>
      <c r="H41" s="303" t="s">
        <v>53</v>
      </c>
    </row>
    <row r="42" spans="2:8" x14ac:dyDescent="0.2">
      <c r="B42" s="302" t="str">
        <f>'CF (Equity, Debt)'!C39</f>
        <v>Esyasoft Holding (Debt)</v>
      </c>
      <c r="C42" s="85">
        <f>'CF (Equity, Debt)'!D39</f>
        <v>44384</v>
      </c>
      <c r="D42" s="305">
        <f>'CF (Equity, Debt)'!E39</f>
        <v>-0.41176499999999999</v>
      </c>
      <c r="E42" s="305"/>
      <c r="F42" s="305"/>
      <c r="G42" s="305">
        <f t="shared" si="5"/>
        <v>-0.41176499999999999</v>
      </c>
      <c r="H42" s="303" t="s">
        <v>53</v>
      </c>
    </row>
    <row r="43" spans="2:8" x14ac:dyDescent="0.2">
      <c r="B43" s="302" t="str">
        <f>'CF (Equity, Debt)'!C40</f>
        <v>Esyasoft Holding (Debt)</v>
      </c>
      <c r="C43" s="85">
        <f>'CF (Equity, Debt)'!D40</f>
        <v>44902</v>
      </c>
      <c r="D43" s="305">
        <f>'CF (Equity, Debt)'!E40</f>
        <v>0</v>
      </c>
      <c r="E43" s="305">
        <f>'CF (Equity, Debt)'!F40</f>
        <v>0.47078465000000003</v>
      </c>
      <c r="F43" s="305"/>
      <c r="G43" s="305">
        <f t="shared" ref="G43" si="6">SUM(D43:F43)</f>
        <v>0.47078465000000003</v>
      </c>
      <c r="H43" s="303" t="s">
        <v>53</v>
      </c>
    </row>
    <row r="44" spans="2:8" x14ac:dyDescent="0.2">
      <c r="B44" s="302"/>
      <c r="C44" s="85"/>
      <c r="D44" s="305"/>
      <c r="E44" s="305"/>
      <c r="F44" s="305"/>
      <c r="G44" s="305"/>
      <c r="H44" s="303"/>
    </row>
    <row r="45" spans="2:8" x14ac:dyDescent="0.2">
      <c r="B45" s="302" t="str">
        <f>'CF (Funds)'!B3</f>
        <v>Sinovation Disrupt Fund, L.P.</v>
      </c>
      <c r="C45" s="85">
        <f>'CF (Funds)'!C3</f>
        <v>44153</v>
      </c>
      <c r="D45" s="305">
        <f>'CF (Funds)'!D3</f>
        <v>-10.5</v>
      </c>
      <c r="E45" s="305">
        <f>'CF (Funds)'!E3</f>
        <v>0</v>
      </c>
      <c r="F45" s="305"/>
      <c r="G45" s="305">
        <f t="shared" si="5"/>
        <v>-10.5</v>
      </c>
      <c r="H45" s="303" t="s">
        <v>63</v>
      </c>
    </row>
    <row r="46" spans="2:8" x14ac:dyDescent="0.2">
      <c r="B46" s="302" t="str">
        <f>'CF (Funds)'!B4</f>
        <v>Sinovation Disrupt Fund, L.P.</v>
      </c>
      <c r="C46" s="85">
        <f>'CF (Funds)'!C4</f>
        <v>44238</v>
      </c>
      <c r="D46" s="305">
        <f>'CF (Funds)'!D4</f>
        <v>4.2140269999999997</v>
      </c>
      <c r="E46" s="305">
        <f>'CF (Funds)'!E4</f>
        <v>0</v>
      </c>
      <c r="F46" s="305"/>
      <c r="G46" s="305">
        <f t="shared" si="5"/>
        <v>4.2140269999999997</v>
      </c>
      <c r="H46" s="303" t="s">
        <v>63</v>
      </c>
    </row>
    <row r="47" spans="2:8" x14ac:dyDescent="0.2">
      <c r="B47" s="302" t="str">
        <f>'CF (Funds)'!B5</f>
        <v>Sinovation Disrupt Fund, L.P.</v>
      </c>
      <c r="C47" s="85">
        <f>'CF (Funds)'!C5</f>
        <v>44238</v>
      </c>
      <c r="D47" s="305">
        <f>'CF (Funds)'!D5</f>
        <v>0</v>
      </c>
      <c r="E47" s="305">
        <f>'CF (Funds)'!E5</f>
        <v>5.0448349999999996E-2</v>
      </c>
      <c r="F47" s="305"/>
      <c r="G47" s="305">
        <f t="shared" si="5"/>
        <v>5.0448349999999996E-2</v>
      </c>
      <c r="H47" s="303" t="s">
        <v>63</v>
      </c>
    </row>
    <row r="48" spans="2:8" x14ac:dyDescent="0.2">
      <c r="B48" s="302" t="str">
        <f>'CF (Funds)'!B6</f>
        <v>Sinovation Disrupt Fund, L.P.</v>
      </c>
      <c r="C48" s="85">
        <f>'CF (Funds)'!C6</f>
        <v>44285</v>
      </c>
      <c r="D48" s="305">
        <f>'CF (Funds)'!D6</f>
        <v>-6.4337459999999993</v>
      </c>
      <c r="E48" s="305">
        <f>'CF (Funds)'!E6</f>
        <v>0</v>
      </c>
      <c r="F48" s="305"/>
      <c r="G48" s="305">
        <f t="shared" si="5"/>
        <v>-6.4337459999999993</v>
      </c>
      <c r="H48" s="303" t="s">
        <v>63</v>
      </c>
    </row>
    <row r="49" spans="2:8" x14ac:dyDescent="0.2">
      <c r="B49" s="302" t="str">
        <f>'CF (Funds)'!B7</f>
        <v>Sinovation Disrupt Fund, L.P.</v>
      </c>
      <c r="C49" s="85">
        <f>'CF (Funds)'!C7</f>
        <v>44269</v>
      </c>
      <c r="D49" s="305">
        <f>'CF (Funds)'!D7</f>
        <v>1.1352073899999999</v>
      </c>
      <c r="E49" s="305">
        <f>'CF (Funds)'!E7</f>
        <v>0</v>
      </c>
      <c r="F49" s="305"/>
      <c r="G49" s="305">
        <f t="shared" si="5"/>
        <v>1.1352073899999999</v>
      </c>
      <c r="H49" s="303" t="s">
        <v>63</v>
      </c>
    </row>
    <row r="50" spans="2:8" x14ac:dyDescent="0.2">
      <c r="B50" s="302" t="str">
        <f>'CF (Funds)'!B8</f>
        <v>Sinovation Disrupt Fund, L.P.</v>
      </c>
      <c r="C50" s="85">
        <f>'CF (Funds)'!C8</f>
        <v>44269</v>
      </c>
      <c r="D50" s="305">
        <f>'CF (Funds)'!D8</f>
        <v>0</v>
      </c>
      <c r="E50" s="305">
        <f>'CF (Funds)'!E8</f>
        <v>2.5899999999999999E-2</v>
      </c>
      <c r="F50" s="305"/>
      <c r="G50" s="305">
        <f t="shared" si="5"/>
        <v>2.5899999999999999E-2</v>
      </c>
      <c r="H50" s="303" t="s">
        <v>63</v>
      </c>
    </row>
    <row r="51" spans="2:8" x14ac:dyDescent="0.2">
      <c r="B51" s="302" t="str">
        <f>'CF (Funds)'!B9</f>
        <v>Sinovation Disrupt Fund, L.P.</v>
      </c>
      <c r="C51" s="85">
        <f>'CF (Funds)'!C9</f>
        <v>44483</v>
      </c>
      <c r="D51" s="305">
        <f>'CF (Funds)'!D9</f>
        <v>-7.5671379999999999</v>
      </c>
      <c r="E51" s="305">
        <f>'CF (Funds)'!E9</f>
        <v>0</v>
      </c>
      <c r="F51" s="305"/>
      <c r="G51" s="305">
        <f t="shared" si="5"/>
        <v>-7.5671379999999999</v>
      </c>
      <c r="H51" s="303" t="s">
        <v>63</v>
      </c>
    </row>
    <row r="52" spans="2:8" x14ac:dyDescent="0.2">
      <c r="B52" s="302" t="str">
        <f>'CF (Funds)'!B10</f>
        <v>Sinovation Disrupt Fund, L.P.</v>
      </c>
      <c r="C52" s="85">
        <f>'CF (Funds)'!C10</f>
        <v>44554</v>
      </c>
      <c r="D52" s="305">
        <f>'CF (Funds)'!D10</f>
        <v>-7.3850159999999994</v>
      </c>
      <c r="E52" s="305">
        <f>'CF (Funds)'!E10</f>
        <v>0</v>
      </c>
      <c r="F52" s="305"/>
      <c r="G52" s="305">
        <f t="shared" si="5"/>
        <v>-7.3850159999999994</v>
      </c>
      <c r="H52" s="303" t="s">
        <v>63</v>
      </c>
    </row>
    <row r="53" spans="2:8" x14ac:dyDescent="0.2">
      <c r="B53" s="302" t="str">
        <f>'CF (Funds)'!B11</f>
        <v>Sinovation Disrupt Fund, L.P.</v>
      </c>
      <c r="C53" s="85">
        <f>'CF (Funds)'!C11</f>
        <v>44554</v>
      </c>
      <c r="D53" s="305">
        <f>'CF (Funds)'!D11</f>
        <v>4.0733456099999996</v>
      </c>
      <c r="E53" s="305">
        <f>'CF (Funds)'!E11</f>
        <v>0</v>
      </c>
      <c r="F53" s="305"/>
      <c r="G53" s="305">
        <f t="shared" si="5"/>
        <v>4.0733456099999996</v>
      </c>
      <c r="H53" s="303" t="s">
        <v>63</v>
      </c>
    </row>
    <row r="54" spans="2:8" x14ac:dyDescent="0.2">
      <c r="B54" s="302" t="str">
        <f>'CF (Funds)'!B12</f>
        <v>Sinovation Disrupt Fund, L.P.</v>
      </c>
      <c r="C54" s="85">
        <f>'CF (Funds)'!C12</f>
        <v>44554</v>
      </c>
      <c r="D54" s="305">
        <f>'CF (Funds)'!D12</f>
        <v>0</v>
      </c>
      <c r="E54" s="305">
        <f>'CF (Funds)'!E12</f>
        <v>0.13969399999999998</v>
      </c>
      <c r="F54" s="305"/>
      <c r="G54" s="305">
        <f t="shared" si="5"/>
        <v>0.13969399999999998</v>
      </c>
      <c r="H54" s="303" t="s">
        <v>63</v>
      </c>
    </row>
    <row r="55" spans="2:8" x14ac:dyDescent="0.2">
      <c r="B55" s="302" t="str">
        <f>'CF (Funds)'!B13</f>
        <v>Sinovation Disrupt Fund, L.P.</v>
      </c>
      <c r="C55" s="85">
        <f>'CF (Funds)'!C13</f>
        <v>44703</v>
      </c>
      <c r="D55" s="305">
        <f>'CF (Funds)'!D13</f>
        <v>5.6730739999999997</v>
      </c>
      <c r="E55" s="305">
        <f>'CF (Funds)'!E13</f>
        <v>0</v>
      </c>
      <c r="F55" s="305"/>
      <c r="G55" s="305">
        <f t="shared" si="5"/>
        <v>5.6730739999999997</v>
      </c>
      <c r="H55" s="303" t="s">
        <v>63</v>
      </c>
    </row>
    <row r="56" spans="2:8" x14ac:dyDescent="0.2">
      <c r="B56" s="302" t="str">
        <f>'CF (Funds)'!B14</f>
        <v>Sinovation Disrupt Fund, L.P.</v>
      </c>
      <c r="C56" s="85">
        <f>'CF (Funds)'!C14</f>
        <v>44703</v>
      </c>
      <c r="D56" s="305">
        <f>'CF (Funds)'!D14</f>
        <v>0</v>
      </c>
      <c r="E56" s="305">
        <f>'CF (Funds)'!E14</f>
        <v>0.22778599999999999</v>
      </c>
      <c r="F56" s="305"/>
      <c r="G56" s="305">
        <f t="shared" si="5"/>
        <v>0.22778599999999999</v>
      </c>
      <c r="H56" s="303" t="s">
        <v>63</v>
      </c>
    </row>
    <row r="57" spans="2:8" x14ac:dyDescent="0.2">
      <c r="B57" s="302" t="str">
        <f>'CF (Funds)'!B15</f>
        <v>Sinovation Disrupt Fund, L.P.</v>
      </c>
      <c r="C57" s="85">
        <f>'CF (Funds)'!C15</f>
        <v>44776</v>
      </c>
      <c r="D57" s="305">
        <f>'CF (Funds)'!D15</f>
        <v>-3.235493</v>
      </c>
      <c r="E57" s="305">
        <f>'CF (Funds)'!E15</f>
        <v>0</v>
      </c>
      <c r="F57" s="305"/>
      <c r="G57" s="305">
        <f t="shared" ref="G57" si="7">SUM(D57:F57)</f>
        <v>-3.235493</v>
      </c>
      <c r="H57" s="303" t="s">
        <v>63</v>
      </c>
    </row>
    <row r="58" spans="2:8" x14ac:dyDescent="0.2">
      <c r="B58" s="302" t="str">
        <f>'CF (Funds)'!B16</f>
        <v>Sinovation Disrupt Fund, L.P.</v>
      </c>
      <c r="C58" s="85">
        <f>'CF (Funds)'!C16</f>
        <v>44960</v>
      </c>
      <c r="D58" s="305">
        <f>'CF (Funds)'!D16</f>
        <v>-2.6315279999999999</v>
      </c>
      <c r="E58" s="305">
        <f>'CF (Funds)'!E16</f>
        <v>0</v>
      </c>
      <c r="F58" s="305"/>
      <c r="G58" s="305">
        <f t="shared" ref="G58" si="8">SUM(D58:F58)</f>
        <v>-2.6315279999999999</v>
      </c>
      <c r="H58" s="303" t="s">
        <v>63</v>
      </c>
    </row>
    <row r="59" spans="2:8" x14ac:dyDescent="0.2">
      <c r="B59" s="306" t="str">
        <f>'CF (Funds)'!B17</f>
        <v>North Summit Capital Fund</v>
      </c>
      <c r="C59" s="491">
        <f>'CF (Funds)'!C17</f>
        <v>43665</v>
      </c>
      <c r="D59" s="309">
        <f>'CF (Funds)'!D17</f>
        <v>-3</v>
      </c>
      <c r="E59" s="309">
        <f>'CF (Funds)'!E17</f>
        <v>0</v>
      </c>
      <c r="F59" s="309"/>
      <c r="G59" s="309">
        <f t="shared" si="5"/>
        <v>-3</v>
      </c>
      <c r="H59" s="307" t="s">
        <v>63</v>
      </c>
    </row>
    <row r="60" spans="2:8" x14ac:dyDescent="0.2">
      <c r="B60" s="306" t="str">
        <f>'CF (Funds)'!B18</f>
        <v>North Summit Capital Fund</v>
      </c>
      <c r="C60" s="491">
        <f>'CF (Funds)'!C18</f>
        <v>43983</v>
      </c>
      <c r="D60" s="309">
        <f>'CF (Funds)'!D18</f>
        <v>-4.4849999999999994</v>
      </c>
      <c r="E60" s="309">
        <f>'CF (Funds)'!E18</f>
        <v>0</v>
      </c>
      <c r="F60" s="309"/>
      <c r="G60" s="309">
        <f t="shared" si="5"/>
        <v>-4.4849999999999994</v>
      </c>
      <c r="H60" s="307" t="s">
        <v>63</v>
      </c>
    </row>
    <row r="61" spans="2:8" x14ac:dyDescent="0.2">
      <c r="B61" s="306" t="str">
        <f>'CF (Funds)'!B19</f>
        <v>North Summit Capital Fund</v>
      </c>
      <c r="C61" s="491">
        <f>'CF (Funds)'!C19</f>
        <v>43879</v>
      </c>
      <c r="D61" s="309">
        <f>'CF (Funds)'!D19</f>
        <v>-9.5097500000000004</v>
      </c>
      <c r="E61" s="309">
        <f>'CF (Funds)'!E19</f>
        <v>0</v>
      </c>
      <c r="F61" s="309"/>
      <c r="G61" s="309">
        <f t="shared" si="5"/>
        <v>-9.5097500000000004</v>
      </c>
      <c r="H61" s="307" t="s">
        <v>63</v>
      </c>
    </row>
    <row r="62" spans="2:8" x14ac:dyDescent="0.2">
      <c r="B62" s="306" t="str">
        <f>'CF (Funds)'!B20</f>
        <v>North Summit Capital Fund</v>
      </c>
      <c r="C62" s="491">
        <f>'CF (Funds)'!C20</f>
        <v>43934</v>
      </c>
      <c r="D62" s="309">
        <f>'CF (Funds)'!D20</f>
        <v>-41.3</v>
      </c>
      <c r="E62" s="309">
        <f>'CF (Funds)'!E20</f>
        <v>0</v>
      </c>
      <c r="F62" s="309"/>
      <c r="G62" s="309">
        <f t="shared" si="5"/>
        <v>-41.3</v>
      </c>
      <c r="H62" s="307" t="s">
        <v>63</v>
      </c>
    </row>
    <row r="63" spans="2:8" x14ac:dyDescent="0.2">
      <c r="B63" s="306" t="str">
        <f>'CF (Funds)'!B21</f>
        <v>North Summit Capital Fund</v>
      </c>
      <c r="C63" s="491">
        <f>'CF (Funds)'!C21</f>
        <v>44151</v>
      </c>
      <c r="D63" s="309">
        <f>'CF (Funds)'!D21</f>
        <v>9.9499999999999993</v>
      </c>
      <c r="E63" s="309">
        <f>'CF (Funds)'!E21</f>
        <v>0</v>
      </c>
      <c r="F63" s="309"/>
      <c r="G63" s="309">
        <f t="shared" si="5"/>
        <v>9.9499999999999993</v>
      </c>
      <c r="H63" s="307" t="s">
        <v>63</v>
      </c>
    </row>
    <row r="64" spans="2:8" x14ac:dyDescent="0.2">
      <c r="B64" s="306" t="str">
        <f>'CF (Funds)'!B22</f>
        <v>North Summit Capital Fund</v>
      </c>
      <c r="C64" s="491">
        <f>'CF (Funds)'!C22</f>
        <v>44151</v>
      </c>
      <c r="D64" s="309">
        <f>'CF (Funds)'!D22</f>
        <v>-10.455</v>
      </c>
      <c r="E64" s="309">
        <f>'CF (Funds)'!E22</f>
        <v>0</v>
      </c>
      <c r="F64" s="309"/>
      <c r="G64" s="309">
        <f t="shared" si="5"/>
        <v>-10.455</v>
      </c>
      <c r="H64" s="307" t="s">
        <v>63</v>
      </c>
    </row>
    <row r="65" spans="2:8" x14ac:dyDescent="0.2">
      <c r="B65" s="306" t="str">
        <f>'CF (Funds)'!B23</f>
        <v>North Summit Capital Fund</v>
      </c>
      <c r="C65" s="491">
        <f>'CF (Funds)'!C23</f>
        <v>44196</v>
      </c>
      <c r="D65" s="309">
        <f>'CF (Funds)'!D23</f>
        <v>4.9749999999999996</v>
      </c>
      <c r="E65" s="309">
        <f>'CF (Funds)'!E23</f>
        <v>0</v>
      </c>
      <c r="F65" s="309"/>
      <c r="G65" s="309">
        <f t="shared" si="5"/>
        <v>4.9749999999999996</v>
      </c>
      <c r="H65" s="307" t="s">
        <v>63</v>
      </c>
    </row>
    <row r="66" spans="2:8" x14ac:dyDescent="0.2">
      <c r="B66" s="306" t="str">
        <f>'CF (Funds)'!B24</f>
        <v>North Summit Capital Fund</v>
      </c>
      <c r="C66" s="491">
        <f>'CF (Funds)'!C24</f>
        <v>44196</v>
      </c>
      <c r="D66" s="309">
        <f>'CF (Funds)'!D24</f>
        <v>-3.4522930000000001</v>
      </c>
      <c r="E66" s="309">
        <f>'CF (Funds)'!E24</f>
        <v>0</v>
      </c>
      <c r="F66" s="309"/>
      <c r="G66" s="309">
        <f t="shared" si="5"/>
        <v>-3.4522930000000001</v>
      </c>
      <c r="H66" s="307" t="s">
        <v>63</v>
      </c>
    </row>
    <row r="67" spans="2:8" x14ac:dyDescent="0.2">
      <c r="B67" s="306" t="str">
        <f>'CF (Funds)'!B25</f>
        <v>North Summit Capital Fund</v>
      </c>
      <c r="C67" s="491">
        <f>'CF (Funds)'!C25</f>
        <v>44196</v>
      </c>
      <c r="D67" s="309">
        <f>'CF (Funds)'!D25</f>
        <v>0</v>
      </c>
      <c r="E67" s="309">
        <f>'CF (Funds)'!E25</f>
        <v>0.58290199999999992</v>
      </c>
      <c r="F67" s="309"/>
      <c r="G67" s="309">
        <f t="shared" si="5"/>
        <v>0.58290199999999992</v>
      </c>
      <c r="H67" s="307" t="s">
        <v>63</v>
      </c>
    </row>
    <row r="68" spans="2:8" x14ac:dyDescent="0.2">
      <c r="B68" s="306" t="str">
        <f>'CF (Funds)'!B26</f>
        <v>North Summit Capital Fund</v>
      </c>
      <c r="C68" s="491">
        <f>'CF (Funds)'!C26</f>
        <v>44370</v>
      </c>
      <c r="D68" s="309">
        <f>'CF (Funds)'!D26</f>
        <v>-5.97</v>
      </c>
      <c r="E68" s="309">
        <f>'CF (Funds)'!E26</f>
        <v>0</v>
      </c>
      <c r="F68" s="309"/>
      <c r="G68" s="309">
        <f t="shared" si="5"/>
        <v>-5.97</v>
      </c>
      <c r="H68" s="307" t="s">
        <v>63</v>
      </c>
    </row>
    <row r="69" spans="2:8" x14ac:dyDescent="0.2">
      <c r="B69" s="306" t="str">
        <f>'CF (Funds)'!B27</f>
        <v>North Summit Capital Fund</v>
      </c>
      <c r="C69" s="491">
        <f>'CF (Funds)'!C27</f>
        <v>44400</v>
      </c>
      <c r="D69" s="309">
        <f>'CF (Funds)'!D27</f>
        <v>-0.75</v>
      </c>
      <c r="E69" s="309">
        <f>'CF (Funds)'!E27</f>
        <v>0</v>
      </c>
      <c r="F69" s="309"/>
      <c r="G69" s="309">
        <f t="shared" si="5"/>
        <v>-0.75</v>
      </c>
      <c r="H69" s="307" t="s">
        <v>63</v>
      </c>
    </row>
    <row r="70" spans="2:8" x14ac:dyDescent="0.2">
      <c r="B70" s="306" t="str">
        <f>'CF (Funds)'!B28</f>
        <v>North Summit Capital Fund</v>
      </c>
      <c r="C70" s="491">
        <f>'CF (Funds)'!C28</f>
        <v>44400</v>
      </c>
      <c r="D70" s="309">
        <f>'CF (Funds)'!D28</f>
        <v>0</v>
      </c>
      <c r="E70" s="309">
        <f>'CF (Funds)'!E28</f>
        <v>0.44505899999999998</v>
      </c>
      <c r="F70" s="309"/>
      <c r="G70" s="309">
        <f t="shared" si="5"/>
        <v>0.44505899999999998</v>
      </c>
      <c r="H70" s="307" t="s">
        <v>63</v>
      </c>
    </row>
    <row r="71" spans="2:8" x14ac:dyDescent="0.2">
      <c r="B71" s="306" t="str">
        <f>'CF (Funds)'!B29</f>
        <v>North Summit Capital Fund</v>
      </c>
      <c r="C71" s="491">
        <f>'CF (Funds)'!C29</f>
        <v>44554</v>
      </c>
      <c r="D71" s="309">
        <f>'CF (Funds)'!D29</f>
        <v>1.7823899999999999</v>
      </c>
      <c r="E71" s="309">
        <f>'CF (Funds)'!E29</f>
        <v>0</v>
      </c>
      <c r="F71" s="309"/>
      <c r="G71" s="309">
        <f t="shared" si="5"/>
        <v>1.7823899999999999</v>
      </c>
      <c r="H71" s="307" t="s">
        <v>63</v>
      </c>
    </row>
    <row r="72" spans="2:8" x14ac:dyDescent="0.2">
      <c r="B72" s="306" t="str">
        <f>'CF (Funds)'!B30</f>
        <v>North Summit Capital Fund</v>
      </c>
      <c r="C72" s="491">
        <f>'CF (Funds)'!C30</f>
        <v>44676</v>
      </c>
      <c r="D72" s="309">
        <f>'CF (Funds)'!D30</f>
        <v>-21</v>
      </c>
      <c r="E72" s="309">
        <f>'CF (Funds)'!E30</f>
        <v>0</v>
      </c>
      <c r="F72" s="309"/>
      <c r="G72" s="309">
        <f t="shared" si="5"/>
        <v>-21</v>
      </c>
      <c r="H72" s="307" t="s">
        <v>63</v>
      </c>
    </row>
    <row r="73" spans="2:8" x14ac:dyDescent="0.2">
      <c r="B73" s="302" t="str">
        <f>'CF (Funds)'!B31</f>
        <v>New Space Capital Fund I</v>
      </c>
      <c r="C73" s="492">
        <f>'CF (Funds)'!C31</f>
        <v>44087</v>
      </c>
      <c r="D73" s="305">
        <f>'CF (Funds)'!D31</f>
        <v>-20.917552997000001</v>
      </c>
      <c r="E73" s="305">
        <f>'CF (Funds)'!E31</f>
        <v>0</v>
      </c>
      <c r="F73" s="305"/>
      <c r="G73" s="305">
        <f t="shared" si="5"/>
        <v>-20.917552997000001</v>
      </c>
      <c r="H73" s="303" t="s">
        <v>63</v>
      </c>
    </row>
    <row r="74" spans="2:8" x14ac:dyDescent="0.2">
      <c r="B74" s="302" t="str">
        <f>'CF (Funds)'!B32</f>
        <v>New Space Capital Fund I</v>
      </c>
      <c r="C74" s="492">
        <f>'CF (Funds)'!C32</f>
        <v>44287</v>
      </c>
      <c r="D74" s="305">
        <f>'CF (Funds)'!D32</f>
        <v>-0.21103182000000001</v>
      </c>
      <c r="E74" s="305">
        <f>'CF (Funds)'!E32</f>
        <v>0</v>
      </c>
      <c r="F74" s="305"/>
      <c r="G74" s="305">
        <f t="shared" si="5"/>
        <v>-0.21103182000000001</v>
      </c>
      <c r="H74" s="303" t="s">
        <v>63</v>
      </c>
    </row>
    <row r="75" spans="2:8" x14ac:dyDescent="0.2">
      <c r="B75" s="302" t="str">
        <f>'CF (Funds)'!B33</f>
        <v>New Space Capital Fund I</v>
      </c>
      <c r="C75" s="492">
        <f>'CF (Funds)'!C33</f>
        <v>44442</v>
      </c>
      <c r="D75" s="305">
        <f>'CF (Funds)'!D33</f>
        <v>-0.23965473139999999</v>
      </c>
      <c r="E75" s="305">
        <f>'CF (Funds)'!E33</f>
        <v>0</v>
      </c>
      <c r="F75" s="305"/>
      <c r="G75" s="305">
        <f t="shared" si="5"/>
        <v>-0.23965473139999999</v>
      </c>
      <c r="H75" s="303" t="s">
        <v>63</v>
      </c>
    </row>
    <row r="76" spans="2:8" x14ac:dyDescent="0.2">
      <c r="B76" s="302" t="str">
        <f>'CF (Funds)'!B34</f>
        <v>New Space Capital Fund I</v>
      </c>
      <c r="C76" s="492">
        <f>'CF (Funds)'!C34</f>
        <v>44623</v>
      </c>
      <c r="D76" s="305">
        <f>'CF (Funds)'!D34</f>
        <v>-0.25893584940000003</v>
      </c>
      <c r="E76" s="305">
        <f>'CF (Funds)'!E34</f>
        <v>0</v>
      </c>
      <c r="F76" s="305"/>
      <c r="G76" s="305">
        <f t="shared" si="5"/>
        <v>-0.25893584940000003</v>
      </c>
      <c r="H76" s="303" t="s">
        <v>63</v>
      </c>
    </row>
    <row r="77" spans="2:8" x14ac:dyDescent="0.2">
      <c r="B77" s="302" t="str">
        <f>'CF (Funds)'!B35</f>
        <v>New Space Capital Fund I</v>
      </c>
      <c r="C77" s="492">
        <f>'CF (Funds)'!C35</f>
        <v>44784</v>
      </c>
      <c r="D77" s="305">
        <f>'CF (Funds)'!D35</f>
        <v>1.5224656599999999E-2</v>
      </c>
      <c r="E77" s="305">
        <f>'CF (Funds)'!E35</f>
        <v>0</v>
      </c>
      <c r="F77" s="305"/>
      <c r="G77" s="305">
        <f t="shared" si="5"/>
        <v>1.5224656599999999E-2</v>
      </c>
      <c r="H77" s="303" t="s">
        <v>63</v>
      </c>
    </row>
    <row r="78" spans="2:8" x14ac:dyDescent="0.2">
      <c r="B78" s="302" t="str">
        <f>'CF (Funds)'!B36</f>
        <v>New Space Capital Fund I</v>
      </c>
      <c r="C78" s="492">
        <f>'CF (Funds)'!C36</f>
        <v>44956</v>
      </c>
      <c r="D78" s="305">
        <f>'CF (Funds)'!D36</f>
        <v>10.553916089669999</v>
      </c>
      <c r="E78" s="305">
        <f>'CF (Funds)'!E36</f>
        <v>0</v>
      </c>
      <c r="F78" s="305"/>
      <c r="G78" s="305">
        <f t="shared" ref="G78:G79" si="9">SUM(D78:F78)</f>
        <v>10.553916089669999</v>
      </c>
      <c r="H78" s="303" t="s">
        <v>63</v>
      </c>
    </row>
    <row r="79" spans="2:8" x14ac:dyDescent="0.2">
      <c r="B79" s="302" t="str">
        <f>'CF (Funds)'!B37</f>
        <v>New Space Capital Fund I</v>
      </c>
      <c r="C79" s="492">
        <f>'CF (Funds)'!C37</f>
        <v>44956</v>
      </c>
      <c r="D79" s="305">
        <f>'CF (Funds)'!D37</f>
        <v>0</v>
      </c>
      <c r="E79" s="305">
        <f>'CF (Funds)'!E37</f>
        <v>2.9557743514081998</v>
      </c>
      <c r="F79" s="305"/>
      <c r="G79" s="305">
        <f t="shared" si="9"/>
        <v>2.9557743514081998</v>
      </c>
      <c r="H79" s="303" t="s">
        <v>63</v>
      </c>
    </row>
    <row r="80" spans="2:8" x14ac:dyDescent="0.2">
      <c r="B80" s="302" t="str">
        <f>'CF (Funds)'!B38</f>
        <v>New Space Capital SCSp</v>
      </c>
      <c r="C80" s="492">
        <f>'CF (Funds)'!C38</f>
        <v>44087</v>
      </c>
      <c r="D80" s="305">
        <f>'CF (Funds)'!D38</f>
        <v>-2.7058823529411762</v>
      </c>
      <c r="E80" s="305">
        <f>'CF (Funds)'!E38</f>
        <v>0</v>
      </c>
      <c r="F80" s="305"/>
      <c r="G80" s="305">
        <f t="shared" si="5"/>
        <v>-2.7058823529411762</v>
      </c>
      <c r="H80" s="303" t="s">
        <v>63</v>
      </c>
    </row>
    <row r="81" spans="2:8" x14ac:dyDescent="0.2">
      <c r="B81" s="306" t="str">
        <f>'CF (Funds)'!B39</f>
        <v>Acies Investments Fund I, L.P.</v>
      </c>
      <c r="C81" s="491">
        <f>'CF (Funds)'!C39</f>
        <v>44540</v>
      </c>
      <c r="D81" s="309">
        <f>'CF (Funds)'!D39</f>
        <v>-2.8053124999999999</v>
      </c>
      <c r="E81" s="309">
        <f>'CF (Funds)'!E39</f>
        <v>0</v>
      </c>
      <c r="F81" s="309"/>
      <c r="G81" s="309">
        <f t="shared" si="5"/>
        <v>-2.8053124999999999</v>
      </c>
      <c r="H81" s="307" t="s">
        <v>63</v>
      </c>
    </row>
    <row r="82" spans="2:8" x14ac:dyDescent="0.2">
      <c r="B82" s="306" t="str">
        <f>'CF (Funds)'!B40</f>
        <v>Acies Investments Fund I, L.P.</v>
      </c>
      <c r="C82" s="491">
        <f>'CF (Funds)'!C40</f>
        <v>44602</v>
      </c>
      <c r="D82" s="309">
        <f>'CF (Funds)'!D40</f>
        <v>-3.4074999999999998</v>
      </c>
      <c r="E82" s="309">
        <f>'CF (Funds)'!E40</f>
        <v>0</v>
      </c>
      <c r="F82" s="309"/>
      <c r="G82" s="309">
        <f t="shared" si="5"/>
        <v>-3.4074999999999998</v>
      </c>
      <c r="H82" s="307" t="s">
        <v>63</v>
      </c>
    </row>
    <row r="83" spans="2:8" x14ac:dyDescent="0.2">
      <c r="B83" s="306" t="str">
        <f>'CF (Funds)'!B41</f>
        <v>Acies Investments Fund I, L.P.</v>
      </c>
      <c r="C83" s="491">
        <f>'CF (Funds)'!C41</f>
        <v>44683</v>
      </c>
      <c r="D83" s="309">
        <f>'CF (Funds)'!D41</f>
        <v>-1.0257749999999999</v>
      </c>
      <c r="E83" s="309">
        <f>'CF (Funds)'!E41</f>
        <v>0</v>
      </c>
      <c r="F83" s="309"/>
      <c r="G83" s="309">
        <f t="shared" si="5"/>
        <v>-1.0257749999999999</v>
      </c>
      <c r="H83" s="307" t="s">
        <v>63</v>
      </c>
    </row>
    <row r="84" spans="2:8" x14ac:dyDescent="0.2">
      <c r="B84" s="306" t="str">
        <f>'CF (Funds)'!B42</f>
        <v>Acies Investments Fund I, L.P.</v>
      </c>
      <c r="C84" s="491">
        <f>'CF (Funds)'!C42</f>
        <v>44707</v>
      </c>
      <c r="D84" s="309">
        <f>'CF (Funds)'!D42</f>
        <v>-3.3882749999999997</v>
      </c>
      <c r="E84" s="309">
        <f>'CF (Funds)'!E42</f>
        <v>0</v>
      </c>
      <c r="F84" s="309"/>
      <c r="G84" s="309">
        <f t="shared" ref="G84:G102" si="10">SUM(D84:F84)</f>
        <v>-3.3882749999999997</v>
      </c>
      <c r="H84" s="307" t="s">
        <v>63</v>
      </c>
    </row>
    <row r="85" spans="2:8" x14ac:dyDescent="0.2">
      <c r="B85" s="306" t="str">
        <f>'CF (Funds)'!B43</f>
        <v>Acies Investments Fund I, L.P.</v>
      </c>
      <c r="C85" s="491">
        <f>'CF (Funds)'!C43</f>
        <v>44875</v>
      </c>
      <c r="D85" s="309">
        <f>'CF (Funds)'!D43</f>
        <v>-3.3882749999999997</v>
      </c>
      <c r="E85" s="309">
        <f>'CF (Funds)'!E43</f>
        <v>0</v>
      </c>
      <c r="F85" s="309"/>
      <c r="G85" s="309">
        <f t="shared" ref="G85" si="11">SUM(D85:F85)</f>
        <v>-3.3882749999999997</v>
      </c>
      <c r="H85" s="307" t="s">
        <v>63</v>
      </c>
    </row>
    <row r="86" spans="2:8" x14ac:dyDescent="0.2">
      <c r="B86" s="302" t="s">
        <v>57</v>
      </c>
      <c r="C86" s="492">
        <f t="shared" ref="C86:C110" si="12">$C$4</f>
        <v>45016</v>
      </c>
      <c r="D86" s="305"/>
      <c r="E86" s="305"/>
      <c r="F86" s="305">
        <f>VLOOKUP(B86,NAV!$B$9:$E$41,4,0)</f>
        <v>0</v>
      </c>
      <c r="G86" s="305">
        <f t="shared" si="10"/>
        <v>0</v>
      </c>
      <c r="H86" s="303" t="s">
        <v>426</v>
      </c>
    </row>
    <row r="87" spans="2:8" x14ac:dyDescent="0.2">
      <c r="B87" s="302" t="s">
        <v>0</v>
      </c>
      <c r="C87" s="492">
        <f t="shared" si="12"/>
        <v>45016</v>
      </c>
      <c r="D87" s="305"/>
      <c r="E87" s="305"/>
      <c r="F87" s="305">
        <f>VLOOKUP(B87,NAV!$B$9:$E$41,4,0)</f>
        <v>3.1</v>
      </c>
      <c r="G87" s="305">
        <f t="shared" si="10"/>
        <v>3.1</v>
      </c>
      <c r="H87" s="303" t="s">
        <v>426</v>
      </c>
    </row>
    <row r="88" spans="2:8" x14ac:dyDescent="0.2">
      <c r="B88" s="302" t="s">
        <v>48</v>
      </c>
      <c r="C88" s="492">
        <f t="shared" si="12"/>
        <v>45016</v>
      </c>
      <c r="D88" s="305"/>
      <c r="E88" s="305"/>
      <c r="F88" s="305">
        <f>VLOOKUP(B88,NAV!$B$9:$E$41,4,0)</f>
        <v>78.082229999999996</v>
      </c>
      <c r="G88" s="305">
        <f t="shared" si="10"/>
        <v>78.082229999999996</v>
      </c>
      <c r="H88" s="303" t="s">
        <v>426</v>
      </c>
    </row>
    <row r="89" spans="2:8" x14ac:dyDescent="0.2">
      <c r="B89" s="302" t="s">
        <v>49</v>
      </c>
      <c r="C89" s="492">
        <f t="shared" si="12"/>
        <v>45016</v>
      </c>
      <c r="D89" s="305"/>
      <c r="E89" s="305"/>
      <c r="F89" s="305">
        <f>VLOOKUP(B89,NAV!$B$9:$E$41,4,0)</f>
        <v>0</v>
      </c>
      <c r="G89" s="305">
        <f t="shared" si="10"/>
        <v>0</v>
      </c>
      <c r="H89" s="303" t="s">
        <v>426</v>
      </c>
    </row>
    <row r="90" spans="2:8" x14ac:dyDescent="0.2">
      <c r="B90" s="302" t="s">
        <v>47</v>
      </c>
      <c r="C90" s="492">
        <f t="shared" si="12"/>
        <v>45016</v>
      </c>
      <c r="D90" s="305"/>
      <c r="E90" s="305"/>
      <c r="F90" s="305">
        <f>VLOOKUP(B90,NAV!$B$9:$E$41,4,0)</f>
        <v>91.001540300000002</v>
      </c>
      <c r="G90" s="305">
        <f t="shared" si="10"/>
        <v>91.001540300000002</v>
      </c>
      <c r="H90" s="303" t="s">
        <v>426</v>
      </c>
    </row>
    <row r="91" spans="2:8" x14ac:dyDescent="0.2">
      <c r="B91" s="302" t="s">
        <v>133</v>
      </c>
      <c r="C91" s="492">
        <f t="shared" si="12"/>
        <v>45016</v>
      </c>
      <c r="D91" s="305"/>
      <c r="E91" s="305"/>
      <c r="F91" s="305">
        <f>VLOOKUP(B91,NAV!$B$9:$E$41,4,0)</f>
        <v>122.38018713359999</v>
      </c>
      <c r="G91" s="305">
        <f t="shared" si="10"/>
        <v>122.38018713359999</v>
      </c>
      <c r="H91" s="303" t="s">
        <v>426</v>
      </c>
    </row>
    <row r="92" spans="2:8" x14ac:dyDescent="0.2">
      <c r="B92" s="302" t="s">
        <v>11</v>
      </c>
      <c r="C92" s="492">
        <f t="shared" si="12"/>
        <v>45016</v>
      </c>
      <c r="D92" s="305"/>
      <c r="E92" s="305"/>
      <c r="F92" s="305">
        <f>VLOOKUP(B92,NAV!$B$9:$E$41,4,0)</f>
        <v>119.24980363636364</v>
      </c>
      <c r="G92" s="305">
        <f t="shared" si="10"/>
        <v>119.24980363636364</v>
      </c>
      <c r="H92" s="303" t="s">
        <v>426</v>
      </c>
    </row>
    <row r="93" spans="2:8" x14ac:dyDescent="0.2">
      <c r="B93" s="302" t="s">
        <v>24</v>
      </c>
      <c r="C93" s="492">
        <f t="shared" si="12"/>
        <v>45016</v>
      </c>
      <c r="D93" s="305"/>
      <c r="E93" s="305"/>
      <c r="F93" s="305">
        <f>VLOOKUP(B93,NAV!$B$9:$E$41,4,0)</f>
        <v>20</v>
      </c>
      <c r="G93" s="305">
        <f t="shared" si="10"/>
        <v>20</v>
      </c>
      <c r="H93" s="303" t="s">
        <v>426</v>
      </c>
    </row>
    <row r="94" spans="2:8" x14ac:dyDescent="0.2">
      <c r="B94" s="302" t="s">
        <v>50</v>
      </c>
      <c r="C94" s="492">
        <f t="shared" si="12"/>
        <v>45016</v>
      </c>
      <c r="D94" s="305"/>
      <c r="E94" s="305"/>
      <c r="F94" s="305">
        <f>VLOOKUP(B94,NAV!$B$9:$E$41,4,0)</f>
        <v>39.999983359999995</v>
      </c>
      <c r="G94" s="305">
        <f t="shared" si="10"/>
        <v>39.999983359999995</v>
      </c>
      <c r="H94" s="303" t="s">
        <v>426</v>
      </c>
    </row>
    <row r="95" spans="2:8" x14ac:dyDescent="0.2">
      <c r="B95" s="302" t="s">
        <v>51</v>
      </c>
      <c r="C95" s="492">
        <f t="shared" si="12"/>
        <v>45016</v>
      </c>
      <c r="D95" s="305"/>
      <c r="E95" s="305"/>
      <c r="F95" s="305">
        <f>VLOOKUP(B95,NAV!$B$9:$E$41,4,0)</f>
        <v>3</v>
      </c>
      <c r="G95" s="305">
        <f t="shared" si="10"/>
        <v>3</v>
      </c>
      <c r="H95" s="303" t="s">
        <v>426</v>
      </c>
    </row>
    <row r="96" spans="2:8" x14ac:dyDescent="0.2">
      <c r="B96" s="302" t="s">
        <v>52</v>
      </c>
      <c r="C96" s="492">
        <f t="shared" si="12"/>
        <v>45016</v>
      </c>
      <c r="D96" s="305"/>
      <c r="E96" s="305"/>
      <c r="F96" s="305">
        <f>VLOOKUP(B96,NAV!$B$9:$E$41,4,0)</f>
        <v>5.0237201984774336</v>
      </c>
      <c r="G96" s="305">
        <f t="shared" si="10"/>
        <v>5.0237201984774336</v>
      </c>
      <c r="H96" s="303" t="s">
        <v>426</v>
      </c>
    </row>
    <row r="97" spans="2:8" x14ac:dyDescent="0.2">
      <c r="B97" s="302" t="s">
        <v>113</v>
      </c>
      <c r="C97" s="492">
        <f t="shared" si="12"/>
        <v>45016</v>
      </c>
      <c r="D97" s="305"/>
      <c r="E97" s="305"/>
      <c r="F97" s="305">
        <f>VLOOKUP(B97,NAV!$B$9:$E$41,4,0)</f>
        <v>424.06661818181823</v>
      </c>
      <c r="G97" s="305">
        <f t="shared" si="10"/>
        <v>424.06661818181823</v>
      </c>
      <c r="H97" s="303" t="s">
        <v>426</v>
      </c>
    </row>
    <row r="98" spans="2:8" x14ac:dyDescent="0.2">
      <c r="B98" s="302" t="s">
        <v>25</v>
      </c>
      <c r="C98" s="492">
        <f t="shared" si="12"/>
        <v>45016</v>
      </c>
      <c r="D98" s="305"/>
      <c r="E98" s="305"/>
      <c r="F98" s="305">
        <f>VLOOKUP(B98,NAV!$B$9:$E$41,4,0)</f>
        <v>300</v>
      </c>
      <c r="G98" s="305">
        <f t="shared" si="10"/>
        <v>300</v>
      </c>
      <c r="H98" s="303" t="s">
        <v>426</v>
      </c>
    </row>
    <row r="99" spans="2:8" x14ac:dyDescent="0.2">
      <c r="B99" s="302" t="s">
        <v>134</v>
      </c>
      <c r="C99" s="492">
        <f t="shared" si="12"/>
        <v>45016</v>
      </c>
      <c r="D99" s="305"/>
      <c r="E99" s="305"/>
      <c r="F99" s="305">
        <f>VLOOKUP(B99,NAV!$B$9:$E$41,4,0)</f>
        <v>8.3900321371999986</v>
      </c>
      <c r="G99" s="305">
        <f t="shared" si="10"/>
        <v>8.3900321371999986</v>
      </c>
      <c r="H99" s="303" t="s">
        <v>426</v>
      </c>
    </row>
    <row r="100" spans="2:8" x14ac:dyDescent="0.2">
      <c r="B100" s="302" t="s">
        <v>44</v>
      </c>
      <c r="C100" s="492">
        <f t="shared" si="12"/>
        <v>45016</v>
      </c>
      <c r="D100" s="305"/>
      <c r="E100" s="305"/>
      <c r="F100" s="305">
        <f>VLOOKUP(B100,NAV!$B$9:$E$41,4,0)</f>
        <v>848.76998981818178</v>
      </c>
      <c r="G100" s="305">
        <f t="shared" si="10"/>
        <v>848.76998981818178</v>
      </c>
      <c r="H100" s="303" t="s">
        <v>426</v>
      </c>
    </row>
    <row r="101" spans="2:8" x14ac:dyDescent="0.2">
      <c r="B101" s="84" t="s">
        <v>418</v>
      </c>
      <c r="C101" s="492">
        <f t="shared" si="12"/>
        <v>45016</v>
      </c>
      <c r="D101" s="305"/>
      <c r="E101" s="305"/>
      <c r="F101" s="305">
        <f>VLOOKUP(B101,NAV!$B$9:$E$41,4,0)</f>
        <v>4.75</v>
      </c>
      <c r="G101" s="305">
        <f t="shared" si="10"/>
        <v>4.75</v>
      </c>
      <c r="H101" s="303" t="s">
        <v>426</v>
      </c>
    </row>
    <row r="102" spans="2:8" x14ac:dyDescent="0.2">
      <c r="B102" s="84" t="s">
        <v>458</v>
      </c>
      <c r="C102" s="492">
        <f t="shared" si="12"/>
        <v>45016</v>
      </c>
      <c r="D102" s="305"/>
      <c r="E102" s="305"/>
      <c r="F102" s="305">
        <f>VLOOKUP(B102,NAV!$B$9:$E$41,4,0)</f>
        <v>15</v>
      </c>
      <c r="G102" s="305">
        <f t="shared" si="10"/>
        <v>15</v>
      </c>
      <c r="H102" s="303" t="s">
        <v>426</v>
      </c>
    </row>
    <row r="103" spans="2:8" x14ac:dyDescent="0.2">
      <c r="B103" s="302" t="s">
        <v>58</v>
      </c>
      <c r="C103" s="492">
        <f t="shared" si="12"/>
        <v>45016</v>
      </c>
      <c r="D103" s="305"/>
      <c r="E103" s="305"/>
      <c r="F103" s="305">
        <f>VLOOKUP(B103,NAV!$B$9:$E$41,4,0)</f>
        <v>0</v>
      </c>
      <c r="G103" s="305">
        <f t="shared" ref="G103" si="13">SUM(D103:F103)</f>
        <v>0</v>
      </c>
      <c r="H103" s="303" t="s">
        <v>426</v>
      </c>
    </row>
    <row r="104" spans="2:8" x14ac:dyDescent="0.2">
      <c r="B104" s="302" t="s">
        <v>422</v>
      </c>
      <c r="C104" s="492">
        <f t="shared" si="12"/>
        <v>45016</v>
      </c>
      <c r="D104" s="305"/>
      <c r="E104" s="305"/>
      <c r="F104" s="305">
        <f>VLOOKUP(B104,NAV!$B$9:$E$41,4,0)</f>
        <v>2.3539819999999998</v>
      </c>
      <c r="G104" s="305">
        <f t="shared" ref="G104:G110" si="14">SUM(D104:F104)</f>
        <v>2.3539819999999998</v>
      </c>
      <c r="H104" s="303" t="s">
        <v>426</v>
      </c>
    </row>
    <row r="105" spans="2:8" x14ac:dyDescent="0.2">
      <c r="B105" s="302" t="s">
        <v>411</v>
      </c>
      <c r="C105" s="492">
        <f t="shared" si="12"/>
        <v>45016</v>
      </c>
      <c r="D105" s="305"/>
      <c r="E105" s="305"/>
      <c r="F105" s="305">
        <f>VLOOKUP(B105,NAV!$B$9:$E$41,4,0)</f>
        <v>0</v>
      </c>
      <c r="G105" s="305">
        <f t="shared" si="14"/>
        <v>0</v>
      </c>
      <c r="H105" s="303" t="s">
        <v>426</v>
      </c>
    </row>
    <row r="106" spans="2:8" x14ac:dyDescent="0.2">
      <c r="B106" s="302" t="s">
        <v>174</v>
      </c>
      <c r="C106" s="492">
        <f t="shared" si="12"/>
        <v>45016</v>
      </c>
      <c r="D106" s="305"/>
      <c r="E106" s="305"/>
      <c r="F106" s="305">
        <f>VLOOKUP(B106,NAV!$B$9:$E$41,4,0)</f>
        <v>14.29489121145</v>
      </c>
      <c r="G106" s="305">
        <f t="shared" si="14"/>
        <v>14.29489121145</v>
      </c>
      <c r="H106" s="303" t="s">
        <v>426</v>
      </c>
    </row>
    <row r="107" spans="2:8" x14ac:dyDescent="0.2">
      <c r="B107" s="302" t="s">
        <v>156</v>
      </c>
      <c r="C107" s="492">
        <f t="shared" si="12"/>
        <v>45016</v>
      </c>
      <c r="D107" s="305"/>
      <c r="E107" s="305"/>
      <c r="F107" s="305">
        <f>VLOOKUP(B107,NAV!$B$9:$E$41,4,0)</f>
        <v>2.7058823529411762</v>
      </c>
      <c r="G107" s="305">
        <f t="shared" si="14"/>
        <v>2.7058823529411762</v>
      </c>
      <c r="H107" s="303" t="s">
        <v>426</v>
      </c>
    </row>
    <row r="108" spans="2:8" x14ac:dyDescent="0.2">
      <c r="B108" s="302" t="s">
        <v>1</v>
      </c>
      <c r="C108" s="492">
        <f t="shared" si="12"/>
        <v>45016</v>
      </c>
      <c r="D108" s="305"/>
      <c r="E108" s="305"/>
      <c r="F108" s="305">
        <f>VLOOKUP(B108,NAV!$B$9:$E$41,4,0)</f>
        <v>70.03</v>
      </c>
      <c r="G108" s="305">
        <f t="shared" si="14"/>
        <v>70.03</v>
      </c>
      <c r="H108" s="303" t="s">
        <v>426</v>
      </c>
    </row>
    <row r="109" spans="2:8" x14ac:dyDescent="0.2">
      <c r="B109" s="302" t="s">
        <v>15</v>
      </c>
      <c r="C109" s="492">
        <f t="shared" si="12"/>
        <v>45016</v>
      </c>
      <c r="D109" s="305"/>
      <c r="E109" s="305"/>
      <c r="F109" s="305">
        <f>VLOOKUP(B109,NAV!$B$9:$E$41,4,0)</f>
        <v>21.515750000000001</v>
      </c>
      <c r="G109" s="305">
        <f t="shared" si="14"/>
        <v>21.515750000000001</v>
      </c>
      <c r="H109" s="303" t="s">
        <v>426</v>
      </c>
    </row>
    <row r="110" spans="2:8" x14ac:dyDescent="0.2">
      <c r="B110" s="302" t="s">
        <v>237</v>
      </c>
      <c r="C110" s="492">
        <f t="shared" si="12"/>
        <v>45016</v>
      </c>
      <c r="D110" s="305"/>
      <c r="E110" s="305"/>
      <c r="F110" s="305">
        <f>VLOOKUP(B110,NAV!$B$9:$E$41,4,0)</f>
        <v>13.742841</v>
      </c>
      <c r="G110" s="305">
        <f t="shared" si="14"/>
        <v>13.742841</v>
      </c>
      <c r="H110" s="303" t="s">
        <v>426</v>
      </c>
    </row>
    <row r="111" spans="2:8" x14ac:dyDescent="0.2">
      <c r="C111" s="493"/>
    </row>
    <row r="112" spans="2:8" x14ac:dyDescent="0.2">
      <c r="C112" s="493"/>
    </row>
    <row r="113" spans="3:3" x14ac:dyDescent="0.2">
      <c r="C113" s="493"/>
    </row>
    <row r="114" spans="3:3" x14ac:dyDescent="0.2">
      <c r="C114" s="493"/>
    </row>
    <row r="115" spans="3:3" x14ac:dyDescent="0.2">
      <c r="C115" s="493"/>
    </row>
    <row r="116" spans="3:3" x14ac:dyDescent="0.2">
      <c r="C116" s="493"/>
    </row>
    <row r="117" spans="3:3" x14ac:dyDescent="0.2">
      <c r="C117" s="493"/>
    </row>
    <row r="118" spans="3:3" x14ac:dyDescent="0.2">
      <c r="C118" s="493"/>
    </row>
    <row r="119" spans="3:3" x14ac:dyDescent="0.2">
      <c r="C119" s="493"/>
    </row>
    <row r="120" spans="3:3" x14ac:dyDescent="0.2">
      <c r="C120" s="493"/>
    </row>
    <row r="121" spans="3:3" x14ac:dyDescent="0.2">
      <c r="C121" s="493"/>
    </row>
    <row r="122" spans="3:3" x14ac:dyDescent="0.2">
      <c r="C122" s="493"/>
    </row>
    <row r="123" spans="3:3" x14ac:dyDescent="0.2">
      <c r="C123" s="493"/>
    </row>
    <row r="124" spans="3:3" x14ac:dyDescent="0.2">
      <c r="C124" s="493"/>
    </row>
    <row r="125" spans="3:3" x14ac:dyDescent="0.2">
      <c r="C125" s="493"/>
    </row>
    <row r="126" spans="3:3" x14ac:dyDescent="0.2">
      <c r="C126" s="493"/>
    </row>
    <row r="127" spans="3:3" x14ac:dyDescent="0.2">
      <c r="C127" s="493"/>
    </row>
    <row r="128" spans="3:3" x14ac:dyDescent="0.2">
      <c r="C128" s="493"/>
    </row>
    <row r="129" spans="3:3" x14ac:dyDescent="0.2">
      <c r="C129" s="493"/>
    </row>
    <row r="130" spans="3:3" x14ac:dyDescent="0.2">
      <c r="C130" s="493"/>
    </row>
    <row r="131" spans="3:3" x14ac:dyDescent="0.2">
      <c r="C131" s="493"/>
    </row>
    <row r="132" spans="3:3" x14ac:dyDescent="0.2">
      <c r="C132" s="493"/>
    </row>
    <row r="133" spans="3:3" x14ac:dyDescent="0.2">
      <c r="C133" s="493"/>
    </row>
    <row r="134" spans="3:3" x14ac:dyDescent="0.2">
      <c r="C134" s="493"/>
    </row>
    <row r="135" spans="3:3" x14ac:dyDescent="0.2">
      <c r="C135" s="493"/>
    </row>
    <row r="136" spans="3:3" x14ac:dyDescent="0.2">
      <c r="C136" s="493"/>
    </row>
    <row r="137" spans="3:3" x14ac:dyDescent="0.2">
      <c r="C137" s="493"/>
    </row>
    <row r="138" spans="3:3" x14ac:dyDescent="0.2">
      <c r="C138" s="493"/>
    </row>
    <row r="139" spans="3:3" x14ac:dyDescent="0.2">
      <c r="C139" s="493"/>
    </row>
    <row r="140" spans="3:3" x14ac:dyDescent="0.2">
      <c r="C140" s="493"/>
    </row>
    <row r="141" spans="3:3" x14ac:dyDescent="0.2">
      <c r="C141" s="493"/>
    </row>
    <row r="142" spans="3:3" x14ac:dyDescent="0.2">
      <c r="C142" s="493"/>
    </row>
    <row r="143" spans="3:3" x14ac:dyDescent="0.2">
      <c r="C143" s="493"/>
    </row>
    <row r="144" spans="3:3" x14ac:dyDescent="0.2">
      <c r="C144" s="493"/>
    </row>
    <row r="145" spans="3:3" x14ac:dyDescent="0.2">
      <c r="C145" s="493"/>
    </row>
    <row r="146" spans="3:3" x14ac:dyDescent="0.2">
      <c r="C146" s="493"/>
    </row>
    <row r="147" spans="3:3" x14ac:dyDescent="0.2">
      <c r="C147" s="493"/>
    </row>
    <row r="148" spans="3:3" x14ac:dyDescent="0.2">
      <c r="C148" s="493"/>
    </row>
    <row r="149" spans="3:3" x14ac:dyDescent="0.2">
      <c r="C149" s="493"/>
    </row>
    <row r="150" spans="3:3" x14ac:dyDescent="0.2">
      <c r="C150" s="493"/>
    </row>
    <row r="151" spans="3:3" x14ac:dyDescent="0.2">
      <c r="C151" s="493"/>
    </row>
    <row r="152" spans="3:3" x14ac:dyDescent="0.2">
      <c r="C152" s="493"/>
    </row>
    <row r="153" spans="3:3" x14ac:dyDescent="0.2">
      <c r="C153" s="493"/>
    </row>
    <row r="154" spans="3:3" x14ac:dyDescent="0.2">
      <c r="C154" s="493"/>
    </row>
    <row r="155" spans="3:3" x14ac:dyDescent="0.2">
      <c r="C155" s="493"/>
    </row>
    <row r="156" spans="3:3" x14ac:dyDescent="0.2">
      <c r="C156" s="493"/>
    </row>
    <row r="157" spans="3:3" x14ac:dyDescent="0.2">
      <c r="C157" s="493"/>
    </row>
    <row r="158" spans="3:3" x14ac:dyDescent="0.2">
      <c r="C158" s="493"/>
    </row>
    <row r="159" spans="3:3" x14ac:dyDescent="0.2">
      <c r="C159" s="493"/>
    </row>
    <row r="160" spans="3:3" x14ac:dyDescent="0.2">
      <c r="C160" s="493"/>
    </row>
    <row r="161" spans="3:3" x14ac:dyDescent="0.2">
      <c r="C161" s="493"/>
    </row>
    <row r="162" spans="3:3" x14ac:dyDescent="0.2">
      <c r="C162" s="493"/>
    </row>
    <row r="163" spans="3:3" x14ac:dyDescent="0.2">
      <c r="C163" s="493"/>
    </row>
    <row r="164" spans="3:3" x14ac:dyDescent="0.2">
      <c r="C164" s="493"/>
    </row>
    <row r="165" spans="3:3" x14ac:dyDescent="0.2">
      <c r="C165" s="493"/>
    </row>
    <row r="166" spans="3:3" x14ac:dyDescent="0.2">
      <c r="C166" s="493"/>
    </row>
    <row r="167" spans="3:3" x14ac:dyDescent="0.2">
      <c r="C167" s="493"/>
    </row>
    <row r="168" spans="3:3" x14ac:dyDescent="0.2">
      <c r="C168" s="493"/>
    </row>
  </sheetData>
  <pageMargins left="0.7" right="0.7" top="0.75" bottom="0.75" header="0.3" footer="0.3"/>
  <pageSetup paperSize="9" orientation="portrait" verticalDpi="0" r:id="rId1"/>
  <ignoredErrors>
    <ignoredError sqref="G8:G34"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10"/>
  <sheetViews>
    <sheetView zoomScale="85" zoomScaleNormal="85" workbookViewId="0">
      <selection activeCell="H53" sqref="H53"/>
    </sheetView>
  </sheetViews>
  <sheetFormatPr defaultRowHeight="12" x14ac:dyDescent="0.2"/>
  <cols>
    <col min="1" max="1" width="9.140625" style="83"/>
    <col min="2" max="2" width="31.140625" style="83" customWidth="1"/>
    <col min="3" max="4" width="22.7109375" style="88" customWidth="1"/>
    <col min="5" max="6" width="17.42578125" style="83" customWidth="1"/>
    <col min="7" max="7" width="14.85546875" style="83" customWidth="1"/>
    <col min="8" max="9" width="16.5703125" style="83" customWidth="1"/>
    <col min="10" max="10" width="20" style="83" bestFit="1" customWidth="1"/>
    <col min="11" max="14" width="24.85546875" style="83" customWidth="1"/>
    <col min="15" max="18" width="8.7109375" style="83" customWidth="1"/>
    <col min="19" max="16384" width="9.140625" style="83"/>
  </cols>
  <sheetData>
    <row r="2" spans="2:18" s="164" customFormat="1" ht="43.5" customHeight="1" x14ac:dyDescent="0.45">
      <c r="B2" s="345" t="s">
        <v>454</v>
      </c>
      <c r="C2" s="507"/>
      <c r="D2" s="507"/>
      <c r="E2" s="346"/>
      <c r="F2" s="346"/>
      <c r="G2" s="353" t="s">
        <v>534</v>
      </c>
      <c r="H2" s="353" t="b">
        <f>H5=H4</f>
        <v>1</v>
      </c>
      <c r="I2" s="353"/>
      <c r="J2" s="353"/>
      <c r="K2" s="347"/>
      <c r="L2" s="348"/>
      <c r="M2" s="347"/>
    </row>
    <row r="3" spans="2:18" ht="12.75" thickBot="1" x14ac:dyDescent="0.25"/>
    <row r="4" spans="2:18" s="137" customFormat="1" ht="13.5" thickBot="1" x14ac:dyDescent="0.25">
      <c r="B4" s="271" t="s">
        <v>235</v>
      </c>
      <c r="C4" s="508"/>
      <c r="D4" s="508"/>
      <c r="E4" s="285">
        <f>D!D2</f>
        <v>45016</v>
      </c>
      <c r="H4" s="137">
        <f>COUNTIF('CF (Equity, Debt)'!$B$4:$B$50,MID('CF (Equity, Debt)'!$B$4:$B$50,1,4))</f>
        <v>26</v>
      </c>
    </row>
    <row r="5" spans="2:18" ht="12.75" x14ac:dyDescent="0.2">
      <c r="G5" s="137"/>
      <c r="H5" s="137">
        <f>COUNTIFS('CF (Equity, Debt)'!B4:B40,"Mozn")+COUNTIFS('CF (Funds)'!A3:A43,"Mozn")</f>
        <v>26</v>
      </c>
      <c r="K5" s="83" t="b">
        <f ca="1">K9='S | 02'!L27</f>
        <v>1</v>
      </c>
      <c r="M5" s="83" t="b">
        <f ca="1">M9='S | 02'!M27</f>
        <v>1</v>
      </c>
      <c r="N5" s="83" t="b">
        <f>N9='S | 02'!N27</f>
        <v>1</v>
      </c>
    </row>
    <row r="7" spans="2:18" ht="12.75" x14ac:dyDescent="0.2">
      <c r="J7" s="335"/>
      <c r="K7" s="127" t="s">
        <v>2</v>
      </c>
      <c r="L7" s="127" t="s">
        <v>60</v>
      </c>
      <c r="M7" s="127" t="s">
        <v>42</v>
      </c>
      <c r="N7" s="127" t="s">
        <v>223</v>
      </c>
      <c r="O7" s="127" t="s">
        <v>32</v>
      </c>
      <c r="P7" s="127" t="s">
        <v>43</v>
      </c>
      <c r="Q7" s="127" t="s">
        <v>236</v>
      </c>
      <c r="R7" s="127" t="s">
        <v>142</v>
      </c>
    </row>
    <row r="8" spans="2:18" ht="12.75" x14ac:dyDescent="0.2">
      <c r="J8" s="262"/>
      <c r="K8" s="137"/>
      <c r="L8" s="137"/>
      <c r="M8" s="137"/>
      <c r="N8" s="137"/>
      <c r="O8" s="266"/>
      <c r="P8" s="137"/>
      <c r="Q8" s="137"/>
      <c r="R8" s="137"/>
    </row>
    <row r="9" spans="2:18" ht="15" x14ac:dyDescent="0.25">
      <c r="K9" s="509">
        <f>-SUM(F12:F57)</f>
        <v>969.01066643284378</v>
      </c>
      <c r="L9" s="509"/>
      <c r="M9" s="99">
        <f>SUM(G12:G57)</f>
        <v>5.4707846499999997</v>
      </c>
      <c r="N9" s="509">
        <f>SUM(H12:H57)</f>
        <v>928.00806481025927</v>
      </c>
      <c r="O9" s="332">
        <f>XIRR(I12:I57,E12:E57)</f>
        <v>-1.9320041127502924E-2</v>
      </c>
      <c r="P9" s="333">
        <f>(M9+N9)/K9</f>
        <v>0.96333186186341435</v>
      </c>
      <c r="Q9" s="333">
        <f>N9/K9</f>
        <v>0.95768611941752435</v>
      </c>
      <c r="R9" s="333">
        <f>M9/K9</f>
        <v>5.6457424458899357E-3</v>
      </c>
    </row>
    <row r="10" spans="2:18" ht="15" x14ac:dyDescent="0.25">
      <c r="B10" s="506" t="s">
        <v>140</v>
      </c>
      <c r="C10" s="97"/>
      <c r="D10" s="97"/>
      <c r="E10" s="97"/>
      <c r="F10" s="97"/>
      <c r="G10" s="97"/>
      <c r="H10" s="97"/>
      <c r="I10" s="97"/>
      <c r="K10" s="99"/>
      <c r="L10" s="88"/>
      <c r="M10" s="99"/>
      <c r="N10" s="99"/>
      <c r="O10" s="332"/>
      <c r="P10" s="333"/>
      <c r="Q10" s="333"/>
      <c r="R10" s="333"/>
    </row>
    <row r="11" spans="2:18" x14ac:dyDescent="0.2">
      <c r="B11" s="503" t="s">
        <v>6</v>
      </c>
      <c r="C11" s="505" t="s">
        <v>221</v>
      </c>
      <c r="D11" s="505" t="s">
        <v>171</v>
      </c>
      <c r="E11" s="504" t="s">
        <v>7</v>
      </c>
      <c r="F11" s="504" t="s">
        <v>141</v>
      </c>
      <c r="G11" s="504" t="s">
        <v>42</v>
      </c>
      <c r="H11" s="505" t="s">
        <v>139</v>
      </c>
      <c r="I11" s="505" t="s">
        <v>225</v>
      </c>
    </row>
    <row r="12" spans="2:18" x14ac:dyDescent="0.2">
      <c r="B12" s="84" t="str">
        <f>'CF (Equity, Debt)'!C4</f>
        <v>Jollychic Holding Limited</v>
      </c>
      <c r="C12" s="89" t="str">
        <f>VLOOKUP(B12,'S | 02'!$C$6:$J$37,2,0)</f>
        <v>Direct Investment</v>
      </c>
      <c r="D12" s="89" t="str">
        <f>VLOOKUP(B12,'S | 02'!$C$6:$J$37,5,0)</f>
        <v>Mozn</v>
      </c>
      <c r="E12" s="85">
        <f>'CF (Equity, Debt)'!D4</f>
        <v>43470</v>
      </c>
      <c r="F12" s="93">
        <f>'CF (Equity, Debt)'!E4</f>
        <v>-30</v>
      </c>
      <c r="G12" s="93"/>
      <c r="H12" s="93"/>
      <c r="I12" s="93">
        <f>SUM(F12:H12)</f>
        <v>-30</v>
      </c>
      <c r="K12" s="83" t="s">
        <v>2</v>
      </c>
      <c r="L12" s="513">
        <f>-SUM(F12:F68)</f>
        <v>969.01066643284378</v>
      </c>
      <c r="M12" s="83" t="b">
        <f ca="1">'S | 02'!L27=L12</f>
        <v>1</v>
      </c>
    </row>
    <row r="13" spans="2:18" ht="12.75" x14ac:dyDescent="0.2">
      <c r="B13" s="84" t="str">
        <f>'CF (Equity, Debt)'!C5</f>
        <v>Jollychic Holding Limited</v>
      </c>
      <c r="C13" s="89" t="str">
        <f>VLOOKUP(B13,'S | 02'!$C$6:$J$37,2,0)</f>
        <v>Direct Investment</v>
      </c>
      <c r="D13" s="89" t="str">
        <f>VLOOKUP(B13,'S | 02'!$C$6:$J$37,5,0)</f>
        <v>Mozn</v>
      </c>
      <c r="E13" s="85">
        <f>'CF (Equity, Debt)'!D5</f>
        <v>43724</v>
      </c>
      <c r="F13" s="93">
        <f>'CF (Equity, Debt)'!E5</f>
        <v>-20</v>
      </c>
      <c r="G13" s="93"/>
      <c r="H13" s="93"/>
      <c r="I13" s="93">
        <f t="shared" ref="I13:I28" si="0">SUM(F13:H13)</f>
        <v>-20</v>
      </c>
      <c r="K13" s="83" t="s">
        <v>426</v>
      </c>
      <c r="L13" s="513">
        <f>SUM(H12:H68)</f>
        <v>928.00806481025927</v>
      </c>
      <c r="M13" s="263"/>
      <c r="N13" s="263"/>
      <c r="O13" s="286"/>
      <c r="P13" s="277"/>
      <c r="Q13" s="277"/>
      <c r="R13" s="277"/>
    </row>
    <row r="14" spans="2:18" x14ac:dyDescent="0.2">
      <c r="B14" s="84" t="str">
        <f>'CF (Equity, Debt)'!C6</f>
        <v>Jollychic Holding Limited</v>
      </c>
      <c r="C14" s="89" t="str">
        <f>VLOOKUP(B14,'S | 02'!$C$6:$J$37,2,0)</f>
        <v>Direct Investment</v>
      </c>
      <c r="D14" s="89" t="str">
        <f>VLOOKUP(B14,'S | 02'!$C$6:$J$37,5,0)</f>
        <v>Mozn</v>
      </c>
      <c r="E14" s="85">
        <f>'CF (Equity, Debt)'!D6</f>
        <v>43724</v>
      </c>
      <c r="F14" s="93">
        <f>'CF (Equity, Debt)'!E6</f>
        <v>-15</v>
      </c>
      <c r="G14" s="93"/>
      <c r="H14" s="93"/>
      <c r="I14" s="93">
        <f t="shared" si="0"/>
        <v>-15</v>
      </c>
      <c r="K14" s="83" t="s">
        <v>42</v>
      </c>
      <c r="L14" s="512">
        <f>SUM(G12:G68)</f>
        <v>5.4707846499999997</v>
      </c>
    </row>
    <row r="15" spans="2:18" x14ac:dyDescent="0.2">
      <c r="B15" s="86" t="str">
        <f>'CF (Equity, Debt)'!C7</f>
        <v>Mena Mobile Inc</v>
      </c>
      <c r="C15" s="90" t="str">
        <f>VLOOKUP(B15,'S | 02'!$C$6:$J$37,2,0)</f>
        <v>Direct Investment</v>
      </c>
      <c r="D15" s="90" t="str">
        <f>VLOOKUP(B15,'S | 02'!$C$6:$J$37,5,0)</f>
        <v>Mozn</v>
      </c>
      <c r="E15" s="87">
        <f>'CF (Equity, Debt)'!D7</f>
        <v>43563</v>
      </c>
      <c r="F15" s="94">
        <f>'CF (Equity, Debt)'!E7</f>
        <v>-8</v>
      </c>
      <c r="G15" s="94"/>
      <c r="H15" s="94"/>
      <c r="I15" s="94">
        <f t="shared" si="0"/>
        <v>-8</v>
      </c>
      <c r="K15" s="83" t="s">
        <v>427</v>
      </c>
      <c r="L15" s="512">
        <f>L14+L13-L12</f>
        <v>-35.531816972584465</v>
      </c>
    </row>
    <row r="16" spans="2:18" x14ac:dyDescent="0.2">
      <c r="B16" s="84" t="str">
        <f>'CF (Equity, Debt)'!C8</f>
        <v>Flyr Inc</v>
      </c>
      <c r="C16" s="89" t="str">
        <f>VLOOKUP(B16,'S | 02'!$C$6:$J$37,2,0)</f>
        <v>Direct Investment</v>
      </c>
      <c r="D16" s="89" t="str">
        <f>VLOOKUP(B16,'S | 02'!$C$6:$J$37,5,0)</f>
        <v>Mozn</v>
      </c>
      <c r="E16" s="85">
        <f>'CF (Equity, Debt)'!D8</f>
        <v>43570</v>
      </c>
      <c r="F16" s="93">
        <f>'CF (Equity, Debt)'!E8</f>
        <v>-4.9999980900000001</v>
      </c>
      <c r="G16" s="93"/>
      <c r="H16" s="93"/>
      <c r="I16" s="93">
        <f t="shared" si="0"/>
        <v>-4.9999980900000001</v>
      </c>
      <c r="K16" s="83" t="s">
        <v>32</v>
      </c>
      <c r="L16" s="511">
        <f>O9</f>
        <v>-1.9320041127502924E-2</v>
      </c>
    </row>
    <row r="17" spans="2:9" x14ac:dyDescent="0.2">
      <c r="B17" s="84" t="str">
        <f>'CF (Equity, Debt)'!C9</f>
        <v>Flyr Inc</v>
      </c>
      <c r="C17" s="89" t="str">
        <f>VLOOKUP(B17,'S | 02'!$C$6:$J$37,2,0)</f>
        <v>Direct Investment</v>
      </c>
      <c r="D17" s="89" t="str">
        <f>VLOOKUP(B17,'S | 02'!$C$6:$J$37,5,0)</f>
        <v>Mozn</v>
      </c>
      <c r="E17" s="85">
        <f>'CF (Equity, Debt)'!D9</f>
        <v>43915</v>
      </c>
      <c r="F17" s="93">
        <f>'CF (Equity, Debt)'!E9</f>
        <v>-5.0000019099999999</v>
      </c>
      <c r="G17" s="93"/>
      <c r="H17" s="93"/>
      <c r="I17" s="93">
        <f t="shared" si="0"/>
        <v>-5.0000019099999999</v>
      </c>
    </row>
    <row r="18" spans="2:9" x14ac:dyDescent="0.2">
      <c r="B18" s="86" t="str">
        <f>'CF (Equity, Debt)'!C10</f>
        <v xml:space="preserve">Esyasoft Holding </v>
      </c>
      <c r="C18" s="90" t="str">
        <f>VLOOKUP(B18,'S | 02'!$C$6:$J$37,2,0)</f>
        <v>Direct Investment</v>
      </c>
      <c r="D18" s="90" t="str">
        <f>VLOOKUP(B18,'S | 02'!$C$6:$J$37,5,0)</f>
        <v>Mozn</v>
      </c>
      <c r="E18" s="87">
        <f>'CF (Equity, Debt)'!D10</f>
        <v>43870</v>
      </c>
      <c r="F18" s="94">
        <f>'CF (Equity, Debt)'!E10</f>
        <v>-2.5</v>
      </c>
      <c r="G18" s="94"/>
      <c r="H18" s="94"/>
      <c r="I18" s="94">
        <f t="shared" si="0"/>
        <v>-2.5</v>
      </c>
    </row>
    <row r="19" spans="2:9" x14ac:dyDescent="0.2">
      <c r="B19" s="84" t="str">
        <f>'CF (Equity, Debt)'!C11</f>
        <v>Beyond Limits</v>
      </c>
      <c r="C19" s="89" t="str">
        <f>VLOOKUP(B19,'S | 02'!$C$6:$J$37,2,0)</f>
        <v>Direct Investment</v>
      </c>
      <c r="D19" s="89" t="str">
        <f>VLOOKUP(B19,'S | 02'!$C$6:$J$37,5,0)</f>
        <v>Mozn</v>
      </c>
      <c r="E19" s="85">
        <f>'CF (Equity, Debt)'!D11</f>
        <v>43879</v>
      </c>
      <c r="F19" s="93">
        <f>'CF (Equity, Debt)'!E11</f>
        <v>-20</v>
      </c>
      <c r="G19" s="93"/>
      <c r="H19" s="93"/>
      <c r="I19" s="93">
        <f t="shared" si="0"/>
        <v>-20</v>
      </c>
    </row>
    <row r="20" spans="2:9" x14ac:dyDescent="0.2">
      <c r="B20" s="84" t="str">
        <f>'CF (Equity, Debt)'!C12</f>
        <v>Beyond Limits</v>
      </c>
      <c r="C20" s="89" t="str">
        <f>VLOOKUP(B20,'S | 02'!$C$6:$J$37,2,0)</f>
        <v>Direct Investment</v>
      </c>
      <c r="D20" s="89" t="str">
        <f>VLOOKUP(B20,'S | 02'!$C$6:$J$37,5,0)</f>
        <v>Mozn</v>
      </c>
      <c r="E20" s="85">
        <f>'CF (Equity, Debt)'!D12</f>
        <v>43921</v>
      </c>
      <c r="F20" s="93">
        <f>'CF (Equity, Debt)'!E12</f>
        <v>-30</v>
      </c>
      <c r="G20" s="93"/>
      <c r="H20" s="93"/>
      <c r="I20" s="93">
        <f t="shared" si="0"/>
        <v>-30</v>
      </c>
    </row>
    <row r="21" spans="2:9" x14ac:dyDescent="0.2">
      <c r="B21" s="84" t="str">
        <f>'CF (Equity, Debt)'!C13</f>
        <v>Beyond Limits</v>
      </c>
      <c r="C21" s="89" t="str">
        <f>VLOOKUP(B21,'S | 02'!$C$6:$J$37,2,0)</f>
        <v>Direct Investment</v>
      </c>
      <c r="D21" s="89" t="str">
        <f>VLOOKUP(B21,'S | 02'!$C$6:$J$37,5,0)</f>
        <v>Mozn</v>
      </c>
      <c r="E21" s="85">
        <f>'CF (Equity, Debt)'!D13</f>
        <v>43989</v>
      </c>
      <c r="F21" s="93">
        <f>'CF (Equity, Debt)'!E13</f>
        <v>-30</v>
      </c>
      <c r="G21" s="93"/>
      <c r="H21" s="93"/>
      <c r="I21" s="93">
        <f t="shared" si="0"/>
        <v>-30</v>
      </c>
    </row>
    <row r="22" spans="2:9" x14ac:dyDescent="0.2">
      <c r="B22" s="84" t="str">
        <f>'CF (Equity, Debt)'!C14</f>
        <v>Beyond Limits</v>
      </c>
      <c r="C22" s="89" t="str">
        <f>VLOOKUP(B22,'S | 02'!$C$6:$J$37,2,0)</f>
        <v>Direct Investment</v>
      </c>
      <c r="D22" s="89" t="str">
        <f>VLOOKUP(B22,'S | 02'!$C$6:$J$37,5,0)</f>
        <v>Mozn</v>
      </c>
      <c r="E22" s="85">
        <f>'CF (Equity, Debt)'!D14</f>
        <v>44103</v>
      </c>
      <c r="F22" s="93">
        <f>'CF (Equity, Debt)'!E14</f>
        <v>-10</v>
      </c>
      <c r="G22" s="93"/>
      <c r="H22" s="93"/>
      <c r="I22" s="93">
        <f t="shared" si="0"/>
        <v>-10</v>
      </c>
    </row>
    <row r="23" spans="2:9" x14ac:dyDescent="0.2">
      <c r="B23" s="86" t="str">
        <f>'CF (Equity, Debt)'!C15</f>
        <v>ONT plc</v>
      </c>
      <c r="C23" s="90" t="str">
        <f>VLOOKUP(B23,'S | 02'!$C$6:$J$37,2,0)</f>
        <v>Direct Investment</v>
      </c>
      <c r="D23" s="90" t="str">
        <f>VLOOKUP(B23,'S | 02'!$C$6:$J$37,5,0)</f>
        <v>Mozn</v>
      </c>
      <c r="E23" s="87">
        <f>'CF (Equity, Debt)'!D15</f>
        <v>43968</v>
      </c>
      <c r="F23" s="94">
        <f>'CF (Equity, Debt)'!E15</f>
        <v>-50</v>
      </c>
      <c r="G23" s="94"/>
      <c r="H23" s="94"/>
      <c r="I23" s="94">
        <f t="shared" si="0"/>
        <v>-50</v>
      </c>
    </row>
    <row r="24" spans="2:9" x14ac:dyDescent="0.2">
      <c r="B24" s="86" t="str">
        <f>'CF (Equity, Debt)'!C16</f>
        <v>ONT plc</v>
      </c>
      <c r="C24" s="90" t="str">
        <f>VLOOKUP(B24,'S | 02'!$C$6:$J$37,2,0)</f>
        <v>Direct Investment</v>
      </c>
      <c r="D24" s="90" t="str">
        <f>VLOOKUP(B24,'S | 02'!$C$6:$J$37,5,0)</f>
        <v>Mozn</v>
      </c>
      <c r="E24" s="87">
        <f>'CF (Equity, Debt)'!D16</f>
        <v>44006</v>
      </c>
      <c r="F24" s="94">
        <f>'CF (Equity, Debt)'!E16</f>
        <v>-27.268350856443721</v>
      </c>
      <c r="G24" s="94"/>
      <c r="H24" s="94"/>
      <c r="I24" s="94">
        <f t="shared" si="0"/>
        <v>-27.268350856443721</v>
      </c>
    </row>
    <row r="25" spans="2:9" x14ac:dyDescent="0.2">
      <c r="B25" s="86" t="str">
        <f>'CF (Equity, Debt)'!C17</f>
        <v>ONT plc</v>
      </c>
      <c r="C25" s="90" t="str">
        <f>VLOOKUP(B25,'S | 02'!$C$6:$J$37,2,0)</f>
        <v>Direct Investment</v>
      </c>
      <c r="D25" s="90" t="str">
        <f>VLOOKUP(B25,'S | 02'!$C$6:$J$37,5,0)</f>
        <v>Mozn</v>
      </c>
      <c r="E25" s="87">
        <f>'CF (Equity, Debt)'!D17</f>
        <v>43837</v>
      </c>
      <c r="F25" s="94">
        <f>'CF (Equity, Debt)'!E17</f>
        <v>-18.109441299619355</v>
      </c>
      <c r="G25" s="94"/>
      <c r="H25" s="94"/>
      <c r="I25" s="94">
        <f t="shared" si="0"/>
        <v>-18.109441299619355</v>
      </c>
    </row>
    <row r="26" spans="2:9" x14ac:dyDescent="0.2">
      <c r="B26" s="86" t="str">
        <f>'CF (Equity, Debt)'!C18</f>
        <v>ONT plc</v>
      </c>
      <c r="C26" s="90" t="str">
        <f>VLOOKUP(B26,'S | 02'!$C$6:$J$37,2,0)</f>
        <v>Direct Investment</v>
      </c>
      <c r="D26" s="90" t="str">
        <f>VLOOKUP(B26,'S | 02'!$C$6:$J$37,5,0)</f>
        <v>Mozn</v>
      </c>
      <c r="E26" s="87">
        <f>'CF (Equity, Debt)'!D18</f>
        <v>43990</v>
      </c>
      <c r="F26" s="94">
        <f>'CF (Equity, Debt)'!E18</f>
        <v>-34.851687094159864</v>
      </c>
      <c r="G26" s="94"/>
      <c r="H26" s="94"/>
      <c r="I26" s="94">
        <f t="shared" si="0"/>
        <v>-34.851687094159864</v>
      </c>
    </row>
    <row r="27" spans="2:9" x14ac:dyDescent="0.2">
      <c r="B27" s="86" t="str">
        <f>'CF (Equity, Debt)'!C19</f>
        <v>ONT plc</v>
      </c>
      <c r="C27" s="90" t="str">
        <f>VLOOKUP(B27,'S | 02'!$C$6:$J$37,2,0)</f>
        <v>Direct Investment</v>
      </c>
      <c r="D27" s="90" t="str">
        <f>VLOOKUP(B27,'S | 02'!$C$6:$J$37,5,0)</f>
        <v>Mozn</v>
      </c>
      <c r="E27" s="87">
        <f>'CF (Equity, Debt)'!D19</f>
        <v>44315</v>
      </c>
      <c r="F27" s="94">
        <f>'CF (Equity, Debt)'!E19</f>
        <v>-11.240780424143557</v>
      </c>
      <c r="G27" s="94"/>
      <c r="H27" s="94"/>
      <c r="I27" s="94">
        <f t="shared" si="0"/>
        <v>-11.240780424143557</v>
      </c>
    </row>
    <row r="28" spans="2:9" x14ac:dyDescent="0.2">
      <c r="B28" s="84" t="str">
        <f>'CF (Equity, Debt)'!C20</f>
        <v>Heygears</v>
      </c>
      <c r="C28" s="89" t="str">
        <f>VLOOKUP(B28,'S | 02'!$C$6:$J$37,2,0)</f>
        <v>Direct Investment</v>
      </c>
      <c r="D28" s="89" t="str">
        <f>VLOOKUP(B28,'S | 02'!$C$6:$J$37,5,0)</f>
        <v>Mozn</v>
      </c>
      <c r="E28" s="85">
        <f>'CF (Equity, Debt)'!D20</f>
        <v>44166</v>
      </c>
      <c r="F28" s="93">
        <f>'CF (Equity, Debt)'!E20</f>
        <v>-60</v>
      </c>
      <c r="G28" s="93"/>
      <c r="H28" s="93"/>
      <c r="I28" s="93">
        <f t="shared" si="0"/>
        <v>-60</v>
      </c>
    </row>
    <row r="29" spans="2:9" x14ac:dyDescent="0.2">
      <c r="B29" s="84" t="str">
        <f>'CF (Equity, Debt)'!C21</f>
        <v>Jysan Technologies</v>
      </c>
      <c r="C29" s="89" t="str">
        <f>VLOOKUP(B29,'S | 02'!$C$6:$J$37,2,0)</f>
        <v>Direct Investment</v>
      </c>
      <c r="D29" s="89" t="str">
        <f>VLOOKUP(B29,'S | 02'!$C$6:$J$37,5,0)</f>
        <v>Mozn 1</v>
      </c>
      <c r="E29" s="85">
        <f>'CF (Equity, Debt)'!D21</f>
        <v>44363</v>
      </c>
      <c r="F29" s="93">
        <f>'CF (Equity, Debt)'!E21</f>
        <v>-20</v>
      </c>
      <c r="G29" s="93"/>
      <c r="H29" s="93"/>
      <c r="I29" s="93">
        <f t="shared" ref="I29" si="1">SUM(F29:H29)</f>
        <v>-20</v>
      </c>
    </row>
    <row r="30" spans="2:9" x14ac:dyDescent="0.2">
      <c r="B30" s="84" t="str">
        <f>'CF (Equity, Debt)'!C22</f>
        <v>Cerebras Systems Inc</v>
      </c>
      <c r="C30" s="89" t="str">
        <f>VLOOKUP(B30,'S | 02'!$C$6:$J$37,2,0)</f>
        <v>Direct Investment</v>
      </c>
      <c r="D30" s="89" t="str">
        <f>VLOOKUP(B30,'S | 02'!$C$6:$J$37,5,0)</f>
        <v>Mozn</v>
      </c>
      <c r="E30" s="85">
        <f>'CF (Equity, Debt)'!D22</f>
        <v>44488</v>
      </c>
      <c r="F30" s="93">
        <f>'CF (Equity, Debt)'!E22</f>
        <v>-39.999983359999995</v>
      </c>
      <c r="G30" s="93"/>
      <c r="H30" s="93"/>
      <c r="I30" s="93">
        <f>SUM(F30:H30)</f>
        <v>-39.999983359999995</v>
      </c>
    </row>
    <row r="31" spans="2:9" x14ac:dyDescent="0.2">
      <c r="B31" s="86" t="str">
        <f>'CF (Equity, Debt)'!C23</f>
        <v>Endless Studios LLC</v>
      </c>
      <c r="C31" s="90" t="str">
        <f>VLOOKUP(B31,'S | 02'!$C$6:$J$37,2,0)</f>
        <v>Direct Investment</v>
      </c>
      <c r="D31" s="90" t="str">
        <f>VLOOKUP(B31,'S | 02'!$C$6:$J$37,5,0)</f>
        <v>Mozn</v>
      </c>
      <c r="E31" s="87">
        <f>'CF (Equity, Debt)'!D23</f>
        <v>44494</v>
      </c>
      <c r="F31" s="94">
        <f>'CF (Equity, Debt)'!E23</f>
        <v>-3</v>
      </c>
      <c r="G31" s="94"/>
      <c r="H31" s="94"/>
      <c r="I31" s="94">
        <f>SUM(F31:H31)</f>
        <v>-3</v>
      </c>
    </row>
    <row r="32" spans="2:9" x14ac:dyDescent="0.2">
      <c r="B32" s="84" t="str">
        <f>'CF (Equity, Debt)'!C24</f>
        <v>Instadeep Limited</v>
      </c>
      <c r="C32" s="89" t="str">
        <f>VLOOKUP(B32,'S | 02'!$C$6:$J$37,2,0)</f>
        <v>Direct Investment</v>
      </c>
      <c r="D32" s="89" t="str">
        <f>VLOOKUP(B32,'S | 02'!$C$6:$J$37,5,0)</f>
        <v>Mozn</v>
      </c>
      <c r="E32" s="85">
        <f>'CF (Equity, Debt)'!D24</f>
        <v>44550</v>
      </c>
      <c r="F32" s="93">
        <f>'CF (Equity, Debt)'!E24</f>
        <v>-5.0237201984774336</v>
      </c>
      <c r="G32" s="93"/>
      <c r="H32" s="93"/>
      <c r="I32" s="93">
        <f>SUM(F32:H32)</f>
        <v>-5.0237201984774336</v>
      </c>
    </row>
    <row r="33" spans="2:9" x14ac:dyDescent="0.2">
      <c r="B33" s="84" t="str">
        <f>'CF (Equity, Debt)'!C25</f>
        <v>X-fusion</v>
      </c>
      <c r="C33" s="89" t="str">
        <f>VLOOKUP(B33,'S | 02'!$C$6:$J$37,2,0)</f>
        <v>Direct Investment</v>
      </c>
      <c r="D33" s="89" t="str">
        <f>VLOOKUP(B33,'S | 02'!$C$6:$J$37,5,0)</f>
        <v>Mozn 2</v>
      </c>
      <c r="E33" s="85">
        <f>'CF (Equity, Debt)'!D25</f>
        <v>44574</v>
      </c>
      <c r="F33" s="93">
        <f>'CF (Equity, Debt)'!E25</f>
        <v>-493.50095619999996</v>
      </c>
      <c r="G33" s="93"/>
      <c r="H33" s="93"/>
      <c r="I33" s="93">
        <f t="shared" ref="I33" si="2">SUM(F33:H33)</f>
        <v>-493.50095619999996</v>
      </c>
    </row>
    <row r="34" spans="2:9" x14ac:dyDescent="0.2">
      <c r="B34" s="86" t="str">
        <f>'CF (Equity, Debt)'!C28</f>
        <v xml:space="preserve">Esyasoft Holding </v>
      </c>
      <c r="C34" s="90" t="str">
        <f>VLOOKUP(B34,'S | 02'!$C$6:$J$37,2,0)</f>
        <v>Direct Investment</v>
      </c>
      <c r="D34" s="90" t="str">
        <f>VLOOKUP(B34,'S | 02'!$C$6:$J$37,5,0)</f>
        <v>Mozn</v>
      </c>
      <c r="E34" s="87">
        <f>'CF (Equity, Debt)'!D28</f>
        <v>44691</v>
      </c>
      <c r="F34" s="94">
        <f>'CF (Equity, Debt)'!E28</f>
        <v>0</v>
      </c>
      <c r="G34" s="94">
        <v>5</v>
      </c>
      <c r="H34" s="94"/>
      <c r="I34" s="94">
        <f>SUM(F34:H34)</f>
        <v>5</v>
      </c>
    </row>
    <row r="35" spans="2:9" x14ac:dyDescent="0.2">
      <c r="B35" s="84" t="str">
        <f>'CF (Equity, Debt)'!C32</f>
        <v>Applied AI Corporation Limited</v>
      </c>
      <c r="C35" s="89" t="str">
        <f>VLOOKUP(B35,'S | 02'!$C$6:$J$37,2,0)</f>
        <v>Direct Investment</v>
      </c>
      <c r="D35" s="89" t="str">
        <f>VLOOKUP(B35,'S | 02'!$C$6:$J$37,5,0)</f>
        <v>Mozn</v>
      </c>
      <c r="E35" s="85">
        <f>'CF (Equity, Debt)'!D32</f>
        <v>44861</v>
      </c>
      <c r="F35" s="93">
        <f>'CF (Equity, Debt)'!E32</f>
        <v>-4.75</v>
      </c>
      <c r="G35" s="93"/>
      <c r="H35" s="93"/>
      <c r="I35" s="93">
        <f t="shared" ref="I35" si="3">SUM(F35:H35)</f>
        <v>-4.75</v>
      </c>
    </row>
    <row r="36" spans="2:9" x14ac:dyDescent="0.2">
      <c r="B36" s="84" t="str">
        <f>'CF (Equity, Debt)'!C33</f>
        <v xml:space="preserve">eSpace </v>
      </c>
      <c r="C36" s="89" t="str">
        <f>VLOOKUP(B36,'S | 02'!$C$6:$J$37,2,0)</f>
        <v>Direct Investment</v>
      </c>
      <c r="D36" s="89" t="str">
        <f>VLOOKUP(B36,'S | 02'!$C$6:$J$37,5,0)</f>
        <v>Mozn 4</v>
      </c>
      <c r="E36" s="85">
        <f>'CF (Equity, Debt)'!D33</f>
        <v>44892</v>
      </c>
      <c r="F36" s="93">
        <f>'CF (Equity, Debt)'!E33</f>
        <v>-15</v>
      </c>
      <c r="G36" s="93"/>
      <c r="H36" s="93"/>
      <c r="I36" s="93">
        <f t="shared" ref="I36" si="4">SUM(F36:H36)</f>
        <v>-15</v>
      </c>
    </row>
    <row r="37" spans="2:9" x14ac:dyDescent="0.2">
      <c r="B37" s="410" t="str">
        <f>'CF (Equity, Debt)'!C37</f>
        <v xml:space="preserve">Glass Earth Holdings LLC </v>
      </c>
      <c r="C37" s="304" t="str">
        <f>VLOOKUP(B37,'S | 02'!$C$6:$J$37,2,0)</f>
        <v>Debt Investment</v>
      </c>
      <c r="D37" s="304" t="str">
        <f>VLOOKUP(B37,'S | 02'!$C$6:$J$37,5,0)</f>
        <v>Mozn</v>
      </c>
      <c r="E37" s="85">
        <f>'CF (Equity, Debt)'!D37</f>
        <v>43635</v>
      </c>
      <c r="F37" s="305">
        <f>'CF (Equity, Debt)'!E37</f>
        <v>-8</v>
      </c>
      <c r="G37" s="305"/>
      <c r="H37" s="305"/>
      <c r="I37" s="305">
        <f>SUM(F37:H37)</f>
        <v>-8</v>
      </c>
    </row>
    <row r="38" spans="2:9" x14ac:dyDescent="0.2">
      <c r="B38" s="302" t="str">
        <f>'CF (Equity, Debt)'!C38</f>
        <v>Mena Mobile Inc (Debt)</v>
      </c>
      <c r="C38" s="303" t="str">
        <f>VLOOKUP(B38,'S | 02'!$C$6:$J$37,2,0)</f>
        <v>Debt Investment</v>
      </c>
      <c r="D38" s="303" t="str">
        <f>VLOOKUP(B38,'S | 02'!$C$6:$J$37,5,0)</f>
        <v>Mozn</v>
      </c>
      <c r="E38" s="85">
        <f>'CF (Equity, Debt)'!D38</f>
        <v>44293</v>
      </c>
      <c r="F38" s="305">
        <f>'CF (Equity, Debt)'!E38</f>
        <v>-2.3539819999999998</v>
      </c>
      <c r="G38" s="305"/>
      <c r="H38" s="305"/>
      <c r="I38" s="305">
        <f>SUM(F38:H38)</f>
        <v>-2.3539819999999998</v>
      </c>
    </row>
    <row r="39" spans="2:9" x14ac:dyDescent="0.2">
      <c r="B39" s="302" t="str">
        <f>'CF (Equity, Debt)'!C39</f>
        <v>Esyasoft Holding (Debt)</v>
      </c>
      <c r="C39" s="303" t="str">
        <f>VLOOKUP(B39,'S | 02'!$C$6:$J$37,2,0)</f>
        <v>Debt Investment</v>
      </c>
      <c r="D39" s="303" t="str">
        <f>VLOOKUP(B39,'S | 02'!$C$6:$J$37,5,0)</f>
        <v>Mozn</v>
      </c>
      <c r="E39" s="85">
        <f>'CF (Equity, Debt)'!D39</f>
        <v>44384</v>
      </c>
      <c r="F39" s="305">
        <f>'CF (Equity, Debt)'!E39</f>
        <v>-0.41176499999999999</v>
      </c>
      <c r="G39" s="305"/>
      <c r="H39" s="305"/>
      <c r="I39" s="305">
        <f>SUM(F39:H39)</f>
        <v>-0.41176499999999999</v>
      </c>
    </row>
    <row r="40" spans="2:9" x14ac:dyDescent="0.2">
      <c r="B40" s="302" t="str">
        <f>'CF (Equity, Debt)'!C40</f>
        <v>Esyasoft Holding (Debt)</v>
      </c>
      <c r="C40" s="303" t="str">
        <f>VLOOKUP(B40,'S | 02'!$C$6:$J$37,2,0)</f>
        <v>Debt Investment</v>
      </c>
      <c r="D40" s="303" t="str">
        <f>VLOOKUP(B40,'S | 02'!$C$6:$J$37,5,0)</f>
        <v>Mozn</v>
      </c>
      <c r="E40" s="85">
        <f>'CF (Equity, Debt)'!D40</f>
        <v>44902</v>
      </c>
      <c r="F40" s="305">
        <f>'CF (Equity, Debt)'!E40</f>
        <v>0</v>
      </c>
      <c r="G40" s="305">
        <f>'CF (Equity, Debt)'!F40</f>
        <v>0.47078465000000003</v>
      </c>
      <c r="H40" s="305"/>
      <c r="I40" s="305">
        <f>SUM(F40:H40)</f>
        <v>0.47078465000000003</v>
      </c>
    </row>
    <row r="42" spans="2:9" x14ac:dyDescent="0.2">
      <c r="B42" s="302" t="s">
        <v>57</v>
      </c>
      <c r="C42" s="303" t="str">
        <f>VLOOKUP(B42,'S | 02'!$C$6:$J$37,2,0)</f>
        <v>Direct Investment</v>
      </c>
      <c r="D42" s="303" t="str">
        <f>VLOOKUP(B42,'S | 02'!$C$6:$J$37,5,0)</f>
        <v>Mozn</v>
      </c>
      <c r="E42" s="492">
        <f t="shared" ref="E42:E57" si="5">$E$4</f>
        <v>45016</v>
      </c>
      <c r="F42" s="305"/>
      <c r="G42" s="305"/>
      <c r="H42" s="305">
        <f>VLOOKUP(B42,NAV!$B$9:$E$41,4,0)</f>
        <v>0</v>
      </c>
      <c r="I42" s="305">
        <f t="shared" ref="I42:I57" si="6">SUM(F42:H42)</f>
        <v>0</v>
      </c>
    </row>
    <row r="43" spans="2:9" x14ac:dyDescent="0.2">
      <c r="B43" s="302" t="s">
        <v>0</v>
      </c>
      <c r="C43" s="303" t="str">
        <f>VLOOKUP(B43,'S | 02'!$C$6:$J$37,2,0)</f>
        <v>Direct Investment</v>
      </c>
      <c r="D43" s="303" t="str">
        <f>VLOOKUP(B43,'S | 02'!$C$6:$J$37,5,0)</f>
        <v>Mozn</v>
      </c>
      <c r="E43" s="492">
        <f t="shared" si="5"/>
        <v>45016</v>
      </c>
      <c r="F43" s="305"/>
      <c r="G43" s="305"/>
      <c r="H43" s="305">
        <f>VLOOKUP(B43,NAV!$B$9:$E$41,4,0)</f>
        <v>3.1</v>
      </c>
      <c r="I43" s="305">
        <f t="shared" si="6"/>
        <v>3.1</v>
      </c>
    </row>
    <row r="44" spans="2:9" x14ac:dyDescent="0.2">
      <c r="B44" s="302" t="s">
        <v>48</v>
      </c>
      <c r="C44" s="303" t="str">
        <f>VLOOKUP(B44,'S | 02'!$C$6:$J$37,2,0)</f>
        <v>Direct Investment</v>
      </c>
      <c r="D44" s="303" t="str">
        <f>VLOOKUP(B44,'S | 02'!$C$6:$J$37,5,0)</f>
        <v>Mozn</v>
      </c>
      <c r="E44" s="492">
        <f t="shared" si="5"/>
        <v>45016</v>
      </c>
      <c r="F44" s="305"/>
      <c r="G44" s="305"/>
      <c r="H44" s="305">
        <f>VLOOKUP(B44,NAV!$B$9:$E$41,4,0)</f>
        <v>78.082229999999996</v>
      </c>
      <c r="I44" s="305">
        <f t="shared" si="6"/>
        <v>78.082229999999996</v>
      </c>
    </row>
    <row r="45" spans="2:9" x14ac:dyDescent="0.2">
      <c r="B45" s="302" t="s">
        <v>49</v>
      </c>
      <c r="C45" s="303" t="str">
        <f>VLOOKUP(B45,'S | 02'!$C$6:$J$37,2,0)</f>
        <v>Direct Investment</v>
      </c>
      <c r="D45" s="303" t="str">
        <f>VLOOKUP(B45,'S | 02'!$C$6:$J$37,5,0)</f>
        <v>Mozn</v>
      </c>
      <c r="E45" s="492">
        <f t="shared" si="5"/>
        <v>45016</v>
      </c>
      <c r="F45" s="305"/>
      <c r="G45" s="305"/>
      <c r="H45" s="305">
        <f>VLOOKUP(B45,NAV!$B$9:$E$41,4,0)</f>
        <v>0</v>
      </c>
      <c r="I45" s="305">
        <f t="shared" si="6"/>
        <v>0</v>
      </c>
    </row>
    <row r="46" spans="2:9" x14ac:dyDescent="0.2">
      <c r="B46" s="302" t="s">
        <v>47</v>
      </c>
      <c r="C46" s="303" t="str">
        <f>VLOOKUP(B46,'S | 02'!$C$6:$J$37,2,0)</f>
        <v>Direct Investment</v>
      </c>
      <c r="D46" s="303" t="str">
        <f>VLOOKUP(B46,'S | 02'!$C$6:$J$37,5,0)</f>
        <v>Mozn</v>
      </c>
      <c r="E46" s="492">
        <f t="shared" si="5"/>
        <v>45016</v>
      </c>
      <c r="F46" s="305"/>
      <c r="G46" s="305"/>
      <c r="H46" s="305">
        <f>VLOOKUP(B46,NAV!$B$9:$E$41,4,0)</f>
        <v>91.001540300000002</v>
      </c>
      <c r="I46" s="305">
        <f t="shared" si="6"/>
        <v>91.001540300000002</v>
      </c>
    </row>
    <row r="47" spans="2:9" x14ac:dyDescent="0.2">
      <c r="B47" s="302" t="s">
        <v>133</v>
      </c>
      <c r="C47" s="303" t="str">
        <f>VLOOKUP(B47,'S | 02'!$C$6:$J$37,2,0)</f>
        <v>Direct Investment</v>
      </c>
      <c r="D47" s="303" t="str">
        <f>VLOOKUP(B47,'S | 02'!$C$6:$J$37,5,0)</f>
        <v>Mozn</v>
      </c>
      <c r="E47" s="492">
        <f t="shared" si="5"/>
        <v>45016</v>
      </c>
      <c r="F47" s="305"/>
      <c r="G47" s="305"/>
      <c r="H47" s="305">
        <f>VLOOKUP(B47,NAV!$B$9:$E$41,4,0)</f>
        <v>122.38018713359999</v>
      </c>
      <c r="I47" s="305">
        <f t="shared" si="6"/>
        <v>122.38018713359999</v>
      </c>
    </row>
    <row r="48" spans="2:9" x14ac:dyDescent="0.2">
      <c r="B48" s="302" t="s">
        <v>11</v>
      </c>
      <c r="C48" s="303" t="str">
        <f>VLOOKUP(B48,'S | 02'!$C$6:$J$37,2,0)</f>
        <v>Direct Investment</v>
      </c>
      <c r="D48" s="303" t="str">
        <f>VLOOKUP(B48,'S | 02'!$C$6:$J$37,5,0)</f>
        <v>Mozn</v>
      </c>
      <c r="E48" s="492">
        <f t="shared" si="5"/>
        <v>45016</v>
      </c>
      <c r="F48" s="305"/>
      <c r="G48" s="305"/>
      <c r="H48" s="305">
        <f>VLOOKUP(B48,NAV!$B$9:$E$41,4,0)</f>
        <v>119.24980363636364</v>
      </c>
      <c r="I48" s="305">
        <f t="shared" si="6"/>
        <v>119.24980363636364</v>
      </c>
    </row>
    <row r="49" spans="2:9" x14ac:dyDescent="0.2">
      <c r="B49" s="84" t="s">
        <v>24</v>
      </c>
      <c r="C49" s="89" t="s">
        <v>480</v>
      </c>
      <c r="D49" s="89" t="s">
        <v>465</v>
      </c>
      <c r="E49" s="492">
        <f t="shared" si="5"/>
        <v>45016</v>
      </c>
      <c r="F49" s="305"/>
      <c r="G49" s="305"/>
      <c r="H49" s="305">
        <f>VLOOKUP(B49,NAV!$B$9:$E$41,4,0)</f>
        <v>20</v>
      </c>
      <c r="I49" s="305">
        <f t="shared" si="6"/>
        <v>20</v>
      </c>
    </row>
    <row r="50" spans="2:9" x14ac:dyDescent="0.2">
      <c r="B50" s="302" t="s">
        <v>50</v>
      </c>
      <c r="C50" s="303" t="str">
        <f>VLOOKUP(B50,'S | 02'!$C$6:$J$37,2,0)</f>
        <v>Direct Investment</v>
      </c>
      <c r="D50" s="303" t="str">
        <f>VLOOKUP(B50,'S | 02'!$C$6:$J$37,5,0)</f>
        <v>Mozn</v>
      </c>
      <c r="E50" s="492">
        <f t="shared" si="5"/>
        <v>45016</v>
      </c>
      <c r="F50" s="305"/>
      <c r="G50" s="305"/>
      <c r="H50" s="305">
        <f>VLOOKUP(B50,NAV!$B$9:$E$41,4,0)</f>
        <v>39.999983359999995</v>
      </c>
      <c r="I50" s="305">
        <f t="shared" si="6"/>
        <v>39.999983359999995</v>
      </c>
    </row>
    <row r="51" spans="2:9" x14ac:dyDescent="0.2">
      <c r="B51" s="302" t="s">
        <v>51</v>
      </c>
      <c r="C51" s="303" t="str">
        <f>VLOOKUP(B51,'S | 02'!$C$6:$J$37,2,0)</f>
        <v>Direct Investment</v>
      </c>
      <c r="D51" s="303" t="str">
        <f>VLOOKUP(B51,'S | 02'!$C$6:$J$37,5,0)</f>
        <v>Mozn</v>
      </c>
      <c r="E51" s="492">
        <f t="shared" si="5"/>
        <v>45016</v>
      </c>
      <c r="F51" s="305"/>
      <c r="G51" s="305"/>
      <c r="H51" s="305">
        <f>VLOOKUP(B51,NAV!$B$9:$E$41,4,0)</f>
        <v>3</v>
      </c>
      <c r="I51" s="305">
        <f t="shared" si="6"/>
        <v>3</v>
      </c>
    </row>
    <row r="52" spans="2:9" x14ac:dyDescent="0.2">
      <c r="B52" s="302" t="s">
        <v>52</v>
      </c>
      <c r="C52" s="303" t="str">
        <f>VLOOKUP(B52,'S | 02'!$C$6:$J$37,2,0)</f>
        <v>Direct Investment</v>
      </c>
      <c r="D52" s="303" t="str">
        <f>VLOOKUP(B52,'S | 02'!$C$6:$J$37,5,0)</f>
        <v>Mozn</v>
      </c>
      <c r="E52" s="492">
        <f t="shared" si="5"/>
        <v>45016</v>
      </c>
      <c r="F52" s="305"/>
      <c r="G52" s="305"/>
      <c r="H52" s="305">
        <f>VLOOKUP(B52,NAV!$B$9:$E$41,4,0)</f>
        <v>5.0237201984774336</v>
      </c>
      <c r="I52" s="305">
        <f t="shared" si="6"/>
        <v>5.0237201984774336</v>
      </c>
    </row>
    <row r="53" spans="2:9" x14ac:dyDescent="0.2">
      <c r="B53" s="84" t="s">
        <v>113</v>
      </c>
      <c r="C53" s="303" t="str">
        <f>VLOOKUP(B53,'S | 02'!$C$6:$J$37,2,0)</f>
        <v>Direct Investment</v>
      </c>
      <c r="D53" s="303" t="str">
        <f>VLOOKUP(B53,'S | 02'!$C$6:$J$37,5,0)</f>
        <v>Mozn 2</v>
      </c>
      <c r="E53" s="492">
        <f t="shared" si="5"/>
        <v>45016</v>
      </c>
      <c r="F53" s="305"/>
      <c r="G53" s="305"/>
      <c r="H53" s="305">
        <f>VLOOKUP(B53,NAV!$B$9:$E$41,4,0)</f>
        <v>424.06661818181823</v>
      </c>
      <c r="I53" s="305">
        <f t="shared" ref="I53" si="7">SUM(F53:H53)</f>
        <v>424.06661818181823</v>
      </c>
    </row>
    <row r="54" spans="2:9" x14ac:dyDescent="0.2">
      <c r="B54" s="84" t="s">
        <v>418</v>
      </c>
      <c r="C54" s="89" t="str">
        <f>VLOOKUP(B54,'S | 02'!$C$6:$J$37,2,0)</f>
        <v>Direct Investment</v>
      </c>
      <c r="D54" s="89" t="str">
        <f>VLOOKUP(B54,'S | 02'!$C$6:$J$37,5,0)</f>
        <v>Mozn</v>
      </c>
      <c r="E54" s="492">
        <f t="shared" si="5"/>
        <v>45016</v>
      </c>
      <c r="F54" s="305"/>
      <c r="G54" s="305"/>
      <c r="H54" s="305">
        <f>VLOOKUP(B54,NAV!$B$9:$E$41,4,0)</f>
        <v>4.75</v>
      </c>
      <c r="I54" s="305">
        <f t="shared" si="6"/>
        <v>4.75</v>
      </c>
    </row>
    <row r="55" spans="2:9" x14ac:dyDescent="0.2">
      <c r="B55" s="84" t="s">
        <v>458</v>
      </c>
      <c r="C55" s="89" t="s">
        <v>480</v>
      </c>
      <c r="D55" s="89" t="str">
        <f>VLOOKUP(B55,'S | 02'!$C$6:$J$37,5,0)</f>
        <v>Mozn 4</v>
      </c>
      <c r="E55" s="492">
        <f t="shared" si="5"/>
        <v>45016</v>
      </c>
      <c r="F55" s="305"/>
      <c r="G55" s="305"/>
      <c r="H55" s="305">
        <f>VLOOKUP(B55,NAV!$B$9:$E$41,4,0)</f>
        <v>15</v>
      </c>
      <c r="I55" s="305">
        <f t="shared" si="6"/>
        <v>15</v>
      </c>
    </row>
    <row r="56" spans="2:9" x14ac:dyDescent="0.2">
      <c r="B56" s="302" t="s">
        <v>58</v>
      </c>
      <c r="C56" s="303" t="str">
        <f>VLOOKUP(B56,'S | 02'!$C$6:$J$37,2,0)</f>
        <v>Debt Investment</v>
      </c>
      <c r="D56" s="303" t="str">
        <f>VLOOKUP(B56,'S | 02'!$C$6:$J$37,5,0)</f>
        <v>Mozn</v>
      </c>
      <c r="E56" s="492">
        <f t="shared" si="5"/>
        <v>45016</v>
      </c>
      <c r="F56" s="305"/>
      <c r="G56" s="305"/>
      <c r="H56" s="305">
        <f>VLOOKUP(B56,NAV!$B$9:$E$41,4,0)</f>
        <v>0</v>
      </c>
      <c r="I56" s="305">
        <f t="shared" si="6"/>
        <v>0</v>
      </c>
    </row>
    <row r="57" spans="2:9" x14ac:dyDescent="0.2">
      <c r="B57" s="302" t="s">
        <v>422</v>
      </c>
      <c r="C57" s="303" t="str">
        <f>VLOOKUP(B57,'S | 02'!$C$6:$J$37,2,0)</f>
        <v>Debt Investment</v>
      </c>
      <c r="D57" s="303" t="str">
        <f>VLOOKUP(B57,'S | 02'!$C$6:$J$37,5,0)</f>
        <v>Mozn</v>
      </c>
      <c r="E57" s="492">
        <f t="shared" si="5"/>
        <v>45016</v>
      </c>
      <c r="F57" s="305"/>
      <c r="G57" s="305"/>
      <c r="H57" s="305">
        <f>VLOOKUP(B57,NAV!$B$9:$E$41,4,0)</f>
        <v>2.3539819999999998</v>
      </c>
      <c r="I57" s="305">
        <f t="shared" si="6"/>
        <v>2.3539819999999998</v>
      </c>
    </row>
    <row r="58" spans="2:9" x14ac:dyDescent="0.2">
      <c r="E58" s="493"/>
    </row>
    <row r="59" spans="2:9" x14ac:dyDescent="0.2">
      <c r="E59" s="493"/>
    </row>
    <row r="60" spans="2:9" x14ac:dyDescent="0.2">
      <c r="E60" s="493"/>
    </row>
    <row r="61" spans="2:9" x14ac:dyDescent="0.2">
      <c r="E61" s="493"/>
    </row>
    <row r="62" spans="2:9" x14ac:dyDescent="0.2">
      <c r="E62" s="493"/>
    </row>
    <row r="63" spans="2:9" x14ac:dyDescent="0.2">
      <c r="E63" s="493"/>
    </row>
    <row r="64" spans="2:9" x14ac:dyDescent="0.2">
      <c r="E64" s="493"/>
    </row>
    <row r="65" spans="3:5" x14ac:dyDescent="0.2">
      <c r="E65" s="493"/>
    </row>
    <row r="66" spans="3:5" x14ac:dyDescent="0.2">
      <c r="E66" s="493"/>
    </row>
    <row r="67" spans="3:5" x14ac:dyDescent="0.2">
      <c r="E67" s="493"/>
    </row>
    <row r="68" spans="3:5" x14ac:dyDescent="0.2">
      <c r="C68" s="83"/>
      <c r="D68" s="83"/>
      <c r="E68" s="493"/>
    </row>
    <row r="69" spans="3:5" x14ac:dyDescent="0.2">
      <c r="C69" s="83"/>
      <c r="D69" s="83"/>
      <c r="E69" s="493"/>
    </row>
    <row r="70" spans="3:5" x14ac:dyDescent="0.2">
      <c r="C70" s="83"/>
      <c r="D70" s="83"/>
      <c r="E70" s="493"/>
    </row>
    <row r="71" spans="3:5" x14ac:dyDescent="0.2">
      <c r="C71" s="83"/>
      <c r="D71" s="83"/>
      <c r="E71" s="493"/>
    </row>
    <row r="72" spans="3:5" x14ac:dyDescent="0.2">
      <c r="C72" s="83"/>
      <c r="D72" s="83"/>
      <c r="E72" s="493"/>
    </row>
    <row r="73" spans="3:5" x14ac:dyDescent="0.2">
      <c r="C73" s="83"/>
      <c r="D73" s="83"/>
      <c r="E73" s="493"/>
    </row>
    <row r="74" spans="3:5" x14ac:dyDescent="0.2">
      <c r="C74" s="83"/>
      <c r="D74" s="83"/>
      <c r="E74" s="493"/>
    </row>
    <row r="75" spans="3:5" x14ac:dyDescent="0.2">
      <c r="C75" s="83"/>
      <c r="D75" s="83"/>
      <c r="E75" s="493"/>
    </row>
    <row r="76" spans="3:5" x14ac:dyDescent="0.2">
      <c r="C76" s="83"/>
      <c r="D76" s="83"/>
      <c r="E76" s="493"/>
    </row>
    <row r="77" spans="3:5" x14ac:dyDescent="0.2">
      <c r="C77" s="83"/>
      <c r="D77" s="83"/>
      <c r="E77" s="493"/>
    </row>
    <row r="78" spans="3:5" x14ac:dyDescent="0.2">
      <c r="C78" s="83"/>
      <c r="D78" s="83"/>
      <c r="E78" s="493"/>
    </row>
    <row r="79" spans="3:5" x14ac:dyDescent="0.2">
      <c r="C79" s="83"/>
      <c r="D79" s="83"/>
      <c r="E79" s="493"/>
    </row>
    <row r="80" spans="3:5" x14ac:dyDescent="0.2">
      <c r="C80" s="83"/>
      <c r="D80" s="83"/>
      <c r="E80" s="493"/>
    </row>
    <row r="81" spans="3:5" x14ac:dyDescent="0.2">
      <c r="C81" s="83"/>
      <c r="D81" s="83"/>
      <c r="E81" s="493"/>
    </row>
    <row r="82" spans="3:5" x14ac:dyDescent="0.2">
      <c r="C82" s="83"/>
      <c r="D82" s="83"/>
      <c r="E82" s="493"/>
    </row>
    <row r="83" spans="3:5" x14ac:dyDescent="0.2">
      <c r="C83" s="83"/>
      <c r="D83" s="83"/>
      <c r="E83" s="493"/>
    </row>
    <row r="84" spans="3:5" x14ac:dyDescent="0.2">
      <c r="C84" s="83"/>
      <c r="D84" s="83"/>
      <c r="E84" s="493"/>
    </row>
    <row r="85" spans="3:5" x14ac:dyDescent="0.2">
      <c r="C85" s="83"/>
      <c r="D85" s="83"/>
      <c r="E85" s="493"/>
    </row>
    <row r="86" spans="3:5" x14ac:dyDescent="0.2">
      <c r="C86" s="83"/>
      <c r="D86" s="83"/>
      <c r="E86" s="493"/>
    </row>
    <row r="87" spans="3:5" x14ac:dyDescent="0.2">
      <c r="C87" s="83"/>
      <c r="D87" s="83"/>
      <c r="E87" s="493"/>
    </row>
    <row r="88" spans="3:5" x14ac:dyDescent="0.2">
      <c r="C88" s="83"/>
      <c r="D88" s="83"/>
      <c r="E88" s="493"/>
    </row>
    <row r="89" spans="3:5" x14ac:dyDescent="0.2">
      <c r="C89" s="83"/>
      <c r="D89" s="83"/>
      <c r="E89" s="493"/>
    </row>
    <row r="90" spans="3:5" x14ac:dyDescent="0.2">
      <c r="C90" s="83"/>
      <c r="D90" s="83"/>
      <c r="E90" s="493"/>
    </row>
    <row r="91" spans="3:5" x14ac:dyDescent="0.2">
      <c r="C91" s="83"/>
      <c r="D91" s="83"/>
      <c r="E91" s="493"/>
    </row>
    <row r="92" spans="3:5" x14ac:dyDescent="0.2">
      <c r="C92" s="83"/>
      <c r="D92" s="83"/>
      <c r="E92" s="493"/>
    </row>
    <row r="93" spans="3:5" x14ac:dyDescent="0.2">
      <c r="C93" s="83"/>
      <c r="D93" s="83"/>
      <c r="E93" s="493"/>
    </row>
    <row r="94" spans="3:5" x14ac:dyDescent="0.2">
      <c r="C94" s="83"/>
      <c r="D94" s="83"/>
      <c r="E94" s="493"/>
    </row>
    <row r="95" spans="3:5" x14ac:dyDescent="0.2">
      <c r="C95" s="83"/>
      <c r="D95" s="83"/>
      <c r="E95" s="493"/>
    </row>
    <row r="96" spans="3:5" x14ac:dyDescent="0.2">
      <c r="C96" s="83"/>
      <c r="D96" s="83"/>
      <c r="E96" s="493"/>
    </row>
    <row r="97" spans="3:5" x14ac:dyDescent="0.2">
      <c r="C97" s="83"/>
      <c r="D97" s="83"/>
      <c r="E97" s="493"/>
    </row>
    <row r="98" spans="3:5" x14ac:dyDescent="0.2">
      <c r="C98" s="83"/>
      <c r="D98" s="83"/>
      <c r="E98" s="493"/>
    </row>
    <row r="99" spans="3:5" x14ac:dyDescent="0.2">
      <c r="C99" s="83"/>
      <c r="D99" s="83"/>
      <c r="E99" s="493"/>
    </row>
    <row r="100" spans="3:5" x14ac:dyDescent="0.2">
      <c r="C100" s="83"/>
      <c r="D100" s="83"/>
      <c r="E100" s="493"/>
    </row>
    <row r="101" spans="3:5" x14ac:dyDescent="0.2">
      <c r="C101" s="83"/>
      <c r="D101" s="83"/>
      <c r="E101" s="493"/>
    </row>
    <row r="102" spans="3:5" x14ac:dyDescent="0.2">
      <c r="C102" s="83"/>
      <c r="D102" s="83"/>
      <c r="E102" s="493"/>
    </row>
    <row r="103" spans="3:5" x14ac:dyDescent="0.2">
      <c r="C103" s="83"/>
      <c r="D103" s="83"/>
      <c r="E103" s="493"/>
    </row>
    <row r="104" spans="3:5" x14ac:dyDescent="0.2">
      <c r="C104" s="83"/>
      <c r="D104" s="83"/>
      <c r="E104" s="493"/>
    </row>
    <row r="105" spans="3:5" x14ac:dyDescent="0.2">
      <c r="C105" s="83"/>
      <c r="D105" s="83"/>
      <c r="E105" s="493"/>
    </row>
    <row r="106" spans="3:5" x14ac:dyDescent="0.2">
      <c r="C106" s="83"/>
      <c r="D106" s="83"/>
      <c r="E106" s="493"/>
    </row>
    <row r="107" spans="3:5" x14ac:dyDescent="0.2">
      <c r="C107" s="83"/>
      <c r="D107" s="83"/>
      <c r="E107" s="493"/>
    </row>
    <row r="108" spans="3:5" x14ac:dyDescent="0.2">
      <c r="C108" s="83"/>
      <c r="D108" s="83"/>
      <c r="E108" s="493"/>
    </row>
    <row r="109" spans="3:5" x14ac:dyDescent="0.2">
      <c r="C109" s="83"/>
      <c r="D109" s="83"/>
      <c r="E109" s="493"/>
    </row>
    <row r="110" spans="3:5" x14ac:dyDescent="0.2">
      <c r="C110" s="83"/>
      <c r="D110" s="83"/>
      <c r="E110" s="493"/>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25"/>
  <sheetViews>
    <sheetView zoomScaleNormal="100" workbookViewId="0"/>
  </sheetViews>
  <sheetFormatPr defaultRowHeight="12" x14ac:dyDescent="0.2"/>
  <cols>
    <col min="1" max="1" width="9.140625" style="83"/>
    <col min="2" max="2" width="31.140625" style="83" customWidth="1"/>
    <col min="3" max="4" width="22.7109375" style="88" customWidth="1"/>
    <col min="5" max="6" width="17.42578125" style="83" customWidth="1"/>
    <col min="7" max="7" width="14.85546875" style="83" customWidth="1"/>
    <col min="8" max="9" width="16.5703125" style="83" customWidth="1"/>
    <col min="10" max="10" width="20" style="83" bestFit="1" customWidth="1"/>
    <col min="11" max="14" width="24.85546875" style="83" customWidth="1"/>
    <col min="15" max="18" width="8.7109375" style="83" customWidth="1"/>
    <col min="19" max="16384" width="9.140625" style="83"/>
  </cols>
  <sheetData>
    <row r="2" spans="2:18" s="164" customFormat="1" ht="43.5" customHeight="1" x14ac:dyDescent="0.45">
      <c r="B2" s="345" t="s">
        <v>453</v>
      </c>
      <c r="C2" s="507"/>
      <c r="D2" s="507"/>
      <c r="E2" s="346"/>
      <c r="F2" s="346"/>
      <c r="G2" s="353"/>
      <c r="H2" s="353">
        <f>COUNTA(B13:B67)</f>
        <v>55</v>
      </c>
      <c r="I2" s="353"/>
      <c r="J2" s="353"/>
      <c r="K2" s="347"/>
      <c r="L2" s="348"/>
      <c r="M2" s="347"/>
    </row>
    <row r="3" spans="2:18" ht="12.75" thickBot="1" x14ac:dyDescent="0.25"/>
    <row r="4" spans="2:18" s="137" customFormat="1" ht="13.5" thickBot="1" x14ac:dyDescent="0.25">
      <c r="B4" s="271" t="s">
        <v>235</v>
      </c>
      <c r="C4" s="508"/>
      <c r="D4" s="508"/>
      <c r="E4" s="285">
        <f>D!D2</f>
        <v>45016</v>
      </c>
    </row>
    <row r="7" spans="2:18" ht="12.75" x14ac:dyDescent="0.2">
      <c r="J7" s="335"/>
      <c r="K7" s="127" t="s">
        <v>2</v>
      </c>
      <c r="L7" s="127" t="s">
        <v>60</v>
      </c>
      <c r="M7" s="127" t="s">
        <v>42</v>
      </c>
      <c r="N7" s="127" t="s">
        <v>223</v>
      </c>
      <c r="O7" s="127" t="s">
        <v>32</v>
      </c>
      <c r="P7" s="127" t="s">
        <v>43</v>
      </c>
      <c r="Q7" s="127" t="s">
        <v>236</v>
      </c>
      <c r="R7" s="127" t="s">
        <v>142</v>
      </c>
    </row>
    <row r="8" spans="2:18" ht="12.75" x14ac:dyDescent="0.2">
      <c r="J8" s="262"/>
      <c r="K8" s="137"/>
      <c r="L8" s="137"/>
      <c r="M8" s="137"/>
      <c r="N8" s="137"/>
      <c r="O8" s="266"/>
      <c r="P8" s="137"/>
      <c r="Q8" s="137"/>
      <c r="R8" s="137"/>
    </row>
    <row r="9" spans="2:18" ht="15" x14ac:dyDescent="0.25">
      <c r="K9" s="99">
        <f>-SUM(F12:F67)</f>
        <v>1258.1822245044705</v>
      </c>
      <c r="L9" s="509"/>
      <c r="M9" s="99">
        <f>SUM(G12:G67)</f>
        <v>4.4275637014082001</v>
      </c>
      <c r="N9" s="99">
        <f>SUM(H12:H67)</f>
        <v>1279.449386519773</v>
      </c>
      <c r="O9" s="332">
        <f>XIRR(I13:I67,E13:E67)</f>
        <v>2.2939893603324889E-2</v>
      </c>
      <c r="P9" s="333">
        <f>(M9+N9)/K9</f>
        <v>1.0204221019946698</v>
      </c>
      <c r="Q9" s="333">
        <f>N9/K9</f>
        <v>1.0169030857383783</v>
      </c>
      <c r="R9" s="333">
        <f>M9/K9</f>
        <v>3.5190162562914735E-3</v>
      </c>
    </row>
    <row r="10" spans="2:18" ht="15" x14ac:dyDescent="0.25">
      <c r="B10" s="506" t="s">
        <v>140</v>
      </c>
      <c r="C10" s="97"/>
      <c r="D10" s="97"/>
      <c r="E10" s="97"/>
      <c r="F10" s="97"/>
      <c r="G10" s="97"/>
      <c r="H10" s="97"/>
      <c r="I10" s="97"/>
      <c r="K10" s="99"/>
      <c r="L10" s="88"/>
      <c r="M10" s="99"/>
      <c r="N10" s="99"/>
      <c r="O10" s="332"/>
      <c r="P10" s="333"/>
      <c r="Q10" s="333"/>
      <c r="R10" s="333"/>
    </row>
    <row r="11" spans="2:18" x14ac:dyDescent="0.2">
      <c r="B11" s="503" t="s">
        <v>6</v>
      </c>
      <c r="C11" s="505" t="s">
        <v>221</v>
      </c>
      <c r="D11" s="505" t="s">
        <v>171</v>
      </c>
      <c r="E11" s="504" t="s">
        <v>7</v>
      </c>
      <c r="F11" s="504" t="s">
        <v>141</v>
      </c>
      <c r="G11" s="504" t="s">
        <v>42</v>
      </c>
      <c r="H11" s="505" t="s">
        <v>139</v>
      </c>
      <c r="I11" s="505" t="s">
        <v>225</v>
      </c>
      <c r="M11" s="597" t="s">
        <v>514</v>
      </c>
    </row>
    <row r="12" spans="2:18" ht="12.75" x14ac:dyDescent="0.2">
      <c r="B12" s="86"/>
      <c r="C12" s="90"/>
      <c r="D12" s="90"/>
      <c r="E12" s="87"/>
      <c r="F12" s="94"/>
      <c r="G12" s="94"/>
      <c r="H12" s="94"/>
      <c r="I12" s="94"/>
      <c r="K12" s="83" t="s">
        <v>2</v>
      </c>
      <c r="L12" s="512">
        <f>-SUM(F12:F67)</f>
        <v>1258.1822245044705</v>
      </c>
      <c r="M12" s="137" t="b">
        <f ca="1">K9='S | 02'!L38</f>
        <v>1</v>
      </c>
    </row>
    <row r="13" spans="2:18" ht="12.75" x14ac:dyDescent="0.2">
      <c r="B13" s="84" t="str">
        <f>'CF (Equity, Debt)'!C26</f>
        <v>DriveNets</v>
      </c>
      <c r="C13" s="89" t="str">
        <f>VLOOKUP(B13,'S | 02'!$C$6:$J$37,2,0)</f>
        <v>Direct Investment</v>
      </c>
      <c r="D13" s="89" t="str">
        <f>VLOOKUP(B13,'S | 02'!$C$6:$J$37,5,0)</f>
        <v>G42</v>
      </c>
      <c r="E13" s="85">
        <f>'CF (Equity, Debt)'!D26</f>
        <v>44643</v>
      </c>
      <c r="F13" s="93">
        <f>'CF (Equity, Debt)'!E26</f>
        <v>-200</v>
      </c>
      <c r="G13" s="93"/>
      <c r="H13" s="93"/>
      <c r="I13" s="93">
        <f>SUM(F13:H13)</f>
        <v>-200</v>
      </c>
      <c r="K13" s="83" t="s">
        <v>426</v>
      </c>
      <c r="L13" s="512">
        <f>SUM(H12:H67)</f>
        <v>1279.449386519773</v>
      </c>
      <c r="M13" s="137" t="b">
        <f ca="1">M9='S | 02'!M38</f>
        <v>1</v>
      </c>
    </row>
    <row r="14" spans="2:18" ht="12.75" x14ac:dyDescent="0.2">
      <c r="B14" s="84" t="str">
        <f>'CF (Equity, Debt)'!C27</f>
        <v>DriveNets</v>
      </c>
      <c r="C14" s="89" t="str">
        <f>VLOOKUP(B14,'S | 02'!$C$6:$J$37,2,0)</f>
        <v>Direct Investment</v>
      </c>
      <c r="D14" s="89" t="str">
        <f>VLOOKUP(B14,'S | 02'!$C$6:$J$37,5,0)</f>
        <v>G42</v>
      </c>
      <c r="E14" s="85">
        <f>'CF (Equity, Debt)'!D27</f>
        <v>44680</v>
      </c>
      <c r="F14" s="93">
        <f>'CF (Equity, Debt)'!E27</f>
        <v>-100</v>
      </c>
      <c r="G14" s="93"/>
      <c r="H14" s="93"/>
      <c r="I14" s="93">
        <f>SUM(F14:H14)</f>
        <v>-100</v>
      </c>
      <c r="K14" s="83" t="s">
        <v>42</v>
      </c>
      <c r="L14" s="512">
        <f>SUM(G12:G67)</f>
        <v>4.4275637014082001</v>
      </c>
      <c r="M14" s="137" t="b">
        <f>ROUND(N9,3)=ROUND('S | 02'!N38,3)</f>
        <v>1</v>
      </c>
    </row>
    <row r="15" spans="2:18" x14ac:dyDescent="0.2">
      <c r="B15" s="86" t="str">
        <f>'CF (Equity, Debt)'!C29</f>
        <v>vTv Therapeutics Inc.</v>
      </c>
      <c r="C15" s="90" t="str">
        <f>VLOOKUP(B15,'S | 02'!$C$6:$J$37,2,0)</f>
        <v>Direct Investment</v>
      </c>
      <c r="D15" s="90" t="str">
        <f>VLOOKUP(B15,'S | 02'!$C$6:$J$37,5,0)</f>
        <v>G42</v>
      </c>
      <c r="E15" s="87">
        <f>'CF (Equity, Debt)'!D29</f>
        <v>44712</v>
      </c>
      <c r="F15" s="94">
        <f>'CF (Equity, Debt)'!E29</f>
        <v>-12.5</v>
      </c>
      <c r="G15" s="94"/>
      <c r="H15" s="94"/>
      <c r="I15" s="94">
        <f>SUM(F15:H15)</f>
        <v>-12.5</v>
      </c>
      <c r="K15" s="83" t="s">
        <v>427</v>
      </c>
      <c r="L15" s="512">
        <f>L14+L13-L12</f>
        <v>25.694725716710764</v>
      </c>
    </row>
    <row r="16" spans="2:18" x14ac:dyDescent="0.2">
      <c r="B16" s="86" t="str">
        <f>'CF (Equity, Debt)'!C34</f>
        <v>vTv Therapeutics Inc.</v>
      </c>
      <c r="C16" s="90" t="str">
        <f>VLOOKUP(B16,'S | 02'!$C$6:$J$37,2,0)</f>
        <v>Direct Investment</v>
      </c>
      <c r="D16" s="90" t="str">
        <f>VLOOKUP(B16,'S | 02'!$C$6:$J$37,5,0)</f>
        <v>G42</v>
      </c>
      <c r="E16" s="87">
        <f>'CF (Equity, Debt)'!D34</f>
        <v>44985</v>
      </c>
      <c r="F16" s="94">
        <f>'CF (Equity, Debt)'!E34</f>
        <v>-12.03125</v>
      </c>
      <c r="G16" s="94"/>
      <c r="H16" s="94"/>
      <c r="I16" s="94">
        <f>SUM(F16:H16)</f>
        <v>-12.03125</v>
      </c>
      <c r="K16" s="83" t="s">
        <v>32</v>
      </c>
      <c r="L16" s="511">
        <f>O9</f>
        <v>2.2939893603324889E-2</v>
      </c>
    </row>
    <row r="17" spans="2:12" x14ac:dyDescent="0.2">
      <c r="B17" s="306" t="str">
        <f>'CF (Equity, Debt)'!C30</f>
        <v>Honor Device Co Ltd</v>
      </c>
      <c r="C17" s="307" t="str">
        <f>VLOOKUP(B17,'S | 02'!$C$6:$J$37,2,0)</f>
        <v>Direct Investment</v>
      </c>
      <c r="D17" s="307" t="str">
        <f>VLOOKUP(B17,'S | 02'!$C$6:$J$37,5,0)</f>
        <v>G42 3</v>
      </c>
      <c r="E17" s="491">
        <f>'CF (Equity, Debt)'!D30</f>
        <v>44769</v>
      </c>
      <c r="F17" s="309">
        <f>'CF (Equity, Debt)'!E30</f>
        <v>-600</v>
      </c>
      <c r="G17" s="309"/>
      <c r="H17" s="309"/>
      <c r="I17" s="309">
        <f>SUM(F17:H17)</f>
        <v>-600</v>
      </c>
    </row>
    <row r="18" spans="2:12" x14ac:dyDescent="0.2">
      <c r="B18" s="306" t="str">
        <f>'CF (Equity, Debt)'!C31</f>
        <v>Honor Device Co Ltd</v>
      </c>
      <c r="C18" s="307" t="str">
        <f>VLOOKUP(B18,'S | 02'!$C$6:$J$37,2,0)</f>
        <v>Direct Investment</v>
      </c>
      <c r="D18" s="307" t="str">
        <f>VLOOKUP(B18,'S | 02'!$C$6:$J$37,5,0)</f>
        <v>G42 3</v>
      </c>
      <c r="E18" s="491">
        <f>'CF (Equity, Debt)'!D31</f>
        <v>44849</v>
      </c>
      <c r="F18" s="309">
        <f>'CF (Equity, Debt)'!E31</f>
        <v>-200</v>
      </c>
      <c r="G18" s="309"/>
      <c r="H18" s="309"/>
      <c r="I18" s="309">
        <f t="shared" ref="I18" si="0">SUM(F18:H18)</f>
        <v>-200</v>
      </c>
    </row>
    <row r="19" spans="2:12" x14ac:dyDescent="0.2">
      <c r="B19" s="302" t="str">
        <f>'CF (Funds)'!B3</f>
        <v>Sinovation Disrupt Fund, L.P.</v>
      </c>
      <c r="C19" s="303" t="str">
        <f>VLOOKUP(B19,'S | 02'!$C$6:$J$37,2,0)</f>
        <v>Fund Investment</v>
      </c>
      <c r="D19" s="303" t="str">
        <f>VLOOKUP(B19,'S | 02'!$C$6:$J$37,5,0)</f>
        <v>G42</v>
      </c>
      <c r="E19" s="85">
        <f>'CF (Funds)'!C3</f>
        <v>44153</v>
      </c>
      <c r="F19" s="305">
        <f>'CF (Funds)'!D3</f>
        <v>-10.5</v>
      </c>
      <c r="G19" s="305">
        <f>'CF (Funds)'!E3</f>
        <v>0</v>
      </c>
      <c r="H19" s="305"/>
      <c r="I19" s="305">
        <f t="shared" ref="I19:I57" si="1">SUM(F19:H19)</f>
        <v>-10.5</v>
      </c>
      <c r="L19" s="607">
        <f>L15/L12</f>
        <v>2.0422101994669744E-2</v>
      </c>
    </row>
    <row r="20" spans="2:12" x14ac:dyDescent="0.2">
      <c r="B20" s="302" t="str">
        <f>'CF (Funds)'!B4</f>
        <v>Sinovation Disrupt Fund, L.P.</v>
      </c>
      <c r="C20" s="303" t="str">
        <f>VLOOKUP(B20,'S | 02'!$C$6:$J$37,2,0)</f>
        <v>Fund Investment</v>
      </c>
      <c r="D20" s="303" t="str">
        <f>VLOOKUP(B20,'S | 02'!$C$6:$J$37,5,0)</f>
        <v>G42</v>
      </c>
      <c r="E20" s="85">
        <f>'CF (Funds)'!C4</f>
        <v>44238</v>
      </c>
      <c r="F20" s="305">
        <f>'CF (Funds)'!D4</f>
        <v>4.2140269999999997</v>
      </c>
      <c r="G20" s="305">
        <f>'CF (Funds)'!E4</f>
        <v>0</v>
      </c>
      <c r="H20" s="305"/>
      <c r="I20" s="305">
        <f t="shared" si="1"/>
        <v>4.2140269999999997</v>
      </c>
    </row>
    <row r="21" spans="2:12" x14ac:dyDescent="0.2">
      <c r="B21" s="302" t="str">
        <f>'CF (Funds)'!B5</f>
        <v>Sinovation Disrupt Fund, L.P.</v>
      </c>
      <c r="C21" s="303" t="str">
        <f>VLOOKUP(B21,'S | 02'!$C$6:$J$37,2,0)</f>
        <v>Fund Investment</v>
      </c>
      <c r="D21" s="303" t="str">
        <f>VLOOKUP(B21,'S | 02'!$C$6:$J$37,5,0)</f>
        <v>G42</v>
      </c>
      <c r="E21" s="85">
        <f>'CF (Funds)'!C5</f>
        <v>44238</v>
      </c>
      <c r="F21" s="305">
        <f>'CF (Funds)'!D5</f>
        <v>0</v>
      </c>
      <c r="G21" s="305">
        <f>'CF (Funds)'!E5</f>
        <v>5.0448349999999996E-2</v>
      </c>
      <c r="H21" s="305"/>
      <c r="I21" s="305">
        <f t="shared" si="1"/>
        <v>5.0448349999999996E-2</v>
      </c>
    </row>
    <row r="22" spans="2:12" x14ac:dyDescent="0.2">
      <c r="B22" s="302" t="str">
        <f>'CF (Funds)'!B6</f>
        <v>Sinovation Disrupt Fund, L.P.</v>
      </c>
      <c r="C22" s="303" t="str">
        <f>VLOOKUP(B22,'S | 02'!$C$6:$J$37,2,0)</f>
        <v>Fund Investment</v>
      </c>
      <c r="D22" s="303" t="str">
        <f>VLOOKUP(B22,'S | 02'!$C$6:$J$37,5,0)</f>
        <v>G42</v>
      </c>
      <c r="E22" s="85">
        <f>'CF (Funds)'!C6</f>
        <v>44285</v>
      </c>
      <c r="F22" s="305">
        <f>'CF (Funds)'!D6</f>
        <v>-6.4337459999999993</v>
      </c>
      <c r="G22" s="305">
        <f>'CF (Funds)'!E6</f>
        <v>0</v>
      </c>
      <c r="H22" s="305"/>
      <c r="I22" s="305">
        <f t="shared" si="1"/>
        <v>-6.4337459999999993</v>
      </c>
    </row>
    <row r="23" spans="2:12" x14ac:dyDescent="0.2">
      <c r="B23" s="302" t="str">
        <f>'CF (Funds)'!B7</f>
        <v>Sinovation Disrupt Fund, L.P.</v>
      </c>
      <c r="C23" s="303" t="str">
        <f>VLOOKUP(B23,'S | 02'!$C$6:$J$37,2,0)</f>
        <v>Fund Investment</v>
      </c>
      <c r="D23" s="303" t="str">
        <f>VLOOKUP(B23,'S | 02'!$C$6:$J$37,5,0)</f>
        <v>G42</v>
      </c>
      <c r="E23" s="85">
        <f>'CF (Funds)'!C7</f>
        <v>44269</v>
      </c>
      <c r="F23" s="305">
        <f>'CF (Funds)'!D7</f>
        <v>1.1352073899999999</v>
      </c>
      <c r="G23" s="305">
        <f>'CF (Funds)'!E7</f>
        <v>0</v>
      </c>
      <c r="H23" s="305"/>
      <c r="I23" s="305">
        <f t="shared" si="1"/>
        <v>1.1352073899999999</v>
      </c>
    </row>
    <row r="24" spans="2:12" x14ac:dyDescent="0.2">
      <c r="B24" s="302" t="str">
        <f>'CF (Funds)'!B8</f>
        <v>Sinovation Disrupt Fund, L.P.</v>
      </c>
      <c r="C24" s="303" t="str">
        <f>VLOOKUP(B24,'S | 02'!$C$6:$J$37,2,0)</f>
        <v>Fund Investment</v>
      </c>
      <c r="D24" s="303" t="str">
        <f>VLOOKUP(B24,'S | 02'!$C$6:$J$37,5,0)</f>
        <v>G42</v>
      </c>
      <c r="E24" s="85">
        <f>'CF (Funds)'!C8</f>
        <v>44269</v>
      </c>
      <c r="F24" s="305">
        <f>'CF (Funds)'!D8</f>
        <v>0</v>
      </c>
      <c r="G24" s="305">
        <f>'CF (Funds)'!E8</f>
        <v>2.5899999999999999E-2</v>
      </c>
      <c r="H24" s="305"/>
      <c r="I24" s="305">
        <f t="shared" si="1"/>
        <v>2.5899999999999999E-2</v>
      </c>
    </row>
    <row r="25" spans="2:12" x14ac:dyDescent="0.2">
      <c r="B25" s="302" t="str">
        <f>'CF (Funds)'!B9</f>
        <v>Sinovation Disrupt Fund, L.P.</v>
      </c>
      <c r="C25" s="303" t="str">
        <f>VLOOKUP(B25,'S | 02'!$C$6:$J$37,2,0)</f>
        <v>Fund Investment</v>
      </c>
      <c r="D25" s="303" t="str">
        <f>VLOOKUP(B25,'S | 02'!$C$6:$J$37,5,0)</f>
        <v>G42</v>
      </c>
      <c r="E25" s="85">
        <f>'CF (Funds)'!C9</f>
        <v>44483</v>
      </c>
      <c r="F25" s="305">
        <f>'CF (Funds)'!D9</f>
        <v>-7.5671379999999999</v>
      </c>
      <c r="G25" s="305">
        <f>'CF (Funds)'!E9</f>
        <v>0</v>
      </c>
      <c r="H25" s="305"/>
      <c r="I25" s="305">
        <f t="shared" si="1"/>
        <v>-7.5671379999999999</v>
      </c>
    </row>
    <row r="26" spans="2:12" x14ac:dyDescent="0.2">
      <c r="B26" s="302" t="str">
        <f>'CF (Funds)'!B10</f>
        <v>Sinovation Disrupt Fund, L.P.</v>
      </c>
      <c r="C26" s="303" t="str">
        <f>VLOOKUP(B26,'S | 02'!$C$6:$J$37,2,0)</f>
        <v>Fund Investment</v>
      </c>
      <c r="D26" s="303" t="str">
        <f>VLOOKUP(B26,'S | 02'!$C$6:$J$37,5,0)</f>
        <v>G42</v>
      </c>
      <c r="E26" s="85">
        <f>'CF (Funds)'!C10</f>
        <v>44554</v>
      </c>
      <c r="F26" s="305">
        <f>'CF (Funds)'!D10</f>
        <v>-7.3850159999999994</v>
      </c>
      <c r="G26" s="305">
        <f>'CF (Funds)'!E10</f>
        <v>0</v>
      </c>
      <c r="H26" s="305"/>
      <c r="I26" s="305">
        <f t="shared" si="1"/>
        <v>-7.3850159999999994</v>
      </c>
    </row>
    <row r="27" spans="2:12" x14ac:dyDescent="0.2">
      <c r="B27" s="302" t="str">
        <f>'CF (Funds)'!B11</f>
        <v>Sinovation Disrupt Fund, L.P.</v>
      </c>
      <c r="C27" s="303" t="str">
        <f>VLOOKUP(B27,'S | 02'!$C$6:$J$37,2,0)</f>
        <v>Fund Investment</v>
      </c>
      <c r="D27" s="303" t="str">
        <f>VLOOKUP(B27,'S | 02'!$C$6:$J$37,5,0)</f>
        <v>G42</v>
      </c>
      <c r="E27" s="85">
        <f>'CF (Funds)'!C11</f>
        <v>44554</v>
      </c>
      <c r="F27" s="305">
        <f>'CF (Funds)'!D11</f>
        <v>4.0733456099999996</v>
      </c>
      <c r="G27" s="305">
        <f>'CF (Funds)'!E11</f>
        <v>0</v>
      </c>
      <c r="H27" s="305"/>
      <c r="I27" s="305">
        <f t="shared" si="1"/>
        <v>4.0733456099999996</v>
      </c>
    </row>
    <row r="28" spans="2:12" x14ac:dyDescent="0.2">
      <c r="B28" s="302" t="str">
        <f>'CF (Funds)'!B12</f>
        <v>Sinovation Disrupt Fund, L.P.</v>
      </c>
      <c r="C28" s="303" t="str">
        <f>VLOOKUP(B28,'S | 02'!$C$6:$J$37,2,0)</f>
        <v>Fund Investment</v>
      </c>
      <c r="D28" s="303" t="str">
        <f>VLOOKUP(B28,'S | 02'!$C$6:$J$37,5,0)</f>
        <v>G42</v>
      </c>
      <c r="E28" s="85">
        <f>'CF (Funds)'!C12</f>
        <v>44554</v>
      </c>
      <c r="F28" s="305">
        <f>'CF (Funds)'!D12</f>
        <v>0</v>
      </c>
      <c r="G28" s="305">
        <f>'CF (Funds)'!E12</f>
        <v>0.13969399999999998</v>
      </c>
      <c r="H28" s="305"/>
      <c r="I28" s="305">
        <f t="shared" si="1"/>
        <v>0.13969399999999998</v>
      </c>
    </row>
    <row r="29" spans="2:12" x14ac:dyDescent="0.2">
      <c r="B29" s="302" t="str">
        <f>'CF (Funds)'!B13</f>
        <v>Sinovation Disrupt Fund, L.P.</v>
      </c>
      <c r="C29" s="303" t="str">
        <f>VLOOKUP(B29,'S | 02'!$C$6:$J$37,2,0)</f>
        <v>Fund Investment</v>
      </c>
      <c r="D29" s="303" t="str">
        <f>VLOOKUP(B29,'S | 02'!$C$6:$J$37,5,0)</f>
        <v>G42</v>
      </c>
      <c r="E29" s="85">
        <f>'CF (Funds)'!C13</f>
        <v>44703</v>
      </c>
      <c r="F29" s="305">
        <f>'CF (Funds)'!D13</f>
        <v>5.6730739999999997</v>
      </c>
      <c r="G29" s="305">
        <f>'CF (Funds)'!E13</f>
        <v>0</v>
      </c>
      <c r="H29" s="305"/>
      <c r="I29" s="305">
        <f t="shared" si="1"/>
        <v>5.6730739999999997</v>
      </c>
    </row>
    <row r="30" spans="2:12" x14ac:dyDescent="0.2">
      <c r="B30" s="302" t="str">
        <f>'CF (Funds)'!B14</f>
        <v>Sinovation Disrupt Fund, L.P.</v>
      </c>
      <c r="C30" s="303" t="str">
        <f>VLOOKUP(B30,'S | 02'!$C$6:$J$37,2,0)</f>
        <v>Fund Investment</v>
      </c>
      <c r="D30" s="303" t="str">
        <f>VLOOKUP(B30,'S | 02'!$C$6:$J$37,5,0)</f>
        <v>G42</v>
      </c>
      <c r="E30" s="85">
        <f>'CF (Funds)'!C14</f>
        <v>44703</v>
      </c>
      <c r="F30" s="305">
        <f>'CF (Funds)'!D14</f>
        <v>0</v>
      </c>
      <c r="G30" s="305">
        <f>'CF (Funds)'!E14</f>
        <v>0.22778599999999999</v>
      </c>
      <c r="H30" s="305"/>
      <c r="I30" s="305">
        <f t="shared" si="1"/>
        <v>0.22778599999999999</v>
      </c>
    </row>
    <row r="31" spans="2:12" x14ac:dyDescent="0.2">
      <c r="B31" s="302" t="str">
        <f>'CF (Funds)'!B15</f>
        <v>Sinovation Disrupt Fund, L.P.</v>
      </c>
      <c r="C31" s="303" t="str">
        <f>VLOOKUP(B31,'S | 02'!$C$6:$J$37,2,0)</f>
        <v>Fund Investment</v>
      </c>
      <c r="D31" s="303" t="str">
        <f>VLOOKUP(B31,'S | 02'!$C$6:$J$37,5,0)</f>
        <v>G42</v>
      </c>
      <c r="E31" s="85">
        <f>'CF (Funds)'!C15</f>
        <v>44776</v>
      </c>
      <c r="F31" s="305">
        <f>'CF (Funds)'!D15</f>
        <v>-3.235493</v>
      </c>
      <c r="G31" s="305">
        <f>'CF (Funds)'!E15</f>
        <v>0</v>
      </c>
      <c r="H31" s="305"/>
      <c r="I31" s="305">
        <f t="shared" ref="I31" si="2">SUM(F31:H31)</f>
        <v>-3.235493</v>
      </c>
    </row>
    <row r="32" spans="2:12" x14ac:dyDescent="0.2">
      <c r="B32" s="302" t="str">
        <f>'CF (Funds)'!B16</f>
        <v>Sinovation Disrupt Fund, L.P.</v>
      </c>
      <c r="C32" s="303" t="str">
        <f>VLOOKUP(B32,'S | 02'!$C$6:$J$37,2,0)</f>
        <v>Fund Investment</v>
      </c>
      <c r="D32" s="303" t="str">
        <f>VLOOKUP(B32,'S | 02'!$C$6:$J$37,5,0)</f>
        <v>G42</v>
      </c>
      <c r="E32" s="85">
        <f>'CF (Funds)'!C16</f>
        <v>44960</v>
      </c>
      <c r="F32" s="305">
        <f>'CF (Funds)'!D16</f>
        <v>-2.6315279999999999</v>
      </c>
      <c r="G32" s="305">
        <f>'CF (Funds)'!E16</f>
        <v>0</v>
      </c>
      <c r="H32" s="305"/>
      <c r="I32" s="305">
        <f t="shared" ref="I32" si="3">SUM(F32:H32)</f>
        <v>-2.6315279999999999</v>
      </c>
    </row>
    <row r="33" spans="2:9" x14ac:dyDescent="0.2">
      <c r="B33" s="306" t="str">
        <f>'CF (Funds)'!B17</f>
        <v>North Summit Capital Fund</v>
      </c>
      <c r="C33" s="307" t="str">
        <f>VLOOKUP(B33,'S | 02'!$C$6:$J$37,2,0)</f>
        <v>Fund Investment</v>
      </c>
      <c r="D33" s="307" t="str">
        <f>VLOOKUP(B33,'S | 02'!$C$6:$J$37,5,0)</f>
        <v>G42</v>
      </c>
      <c r="E33" s="491">
        <f>'CF (Funds)'!C17</f>
        <v>43665</v>
      </c>
      <c r="F33" s="309">
        <f>'CF (Funds)'!D17</f>
        <v>-3</v>
      </c>
      <c r="G33" s="309">
        <f>'CF (Funds)'!E17</f>
        <v>0</v>
      </c>
      <c r="H33" s="309"/>
      <c r="I33" s="309">
        <f t="shared" si="1"/>
        <v>-3</v>
      </c>
    </row>
    <row r="34" spans="2:9" x14ac:dyDescent="0.2">
      <c r="B34" s="306" t="str">
        <f>'CF (Funds)'!B18</f>
        <v>North Summit Capital Fund</v>
      </c>
      <c r="C34" s="307" t="str">
        <f>VLOOKUP(B34,'S | 02'!$C$6:$J$37,2,0)</f>
        <v>Fund Investment</v>
      </c>
      <c r="D34" s="307" t="str">
        <f>VLOOKUP(B34,'S | 02'!$C$6:$J$37,5,0)</f>
        <v>G42</v>
      </c>
      <c r="E34" s="491">
        <f>'CF (Funds)'!C18</f>
        <v>43983</v>
      </c>
      <c r="F34" s="309">
        <f>'CF (Funds)'!D18</f>
        <v>-4.4849999999999994</v>
      </c>
      <c r="G34" s="309">
        <f>'CF (Funds)'!E18</f>
        <v>0</v>
      </c>
      <c r="H34" s="309"/>
      <c r="I34" s="309">
        <f t="shared" si="1"/>
        <v>-4.4849999999999994</v>
      </c>
    </row>
    <row r="35" spans="2:9" x14ac:dyDescent="0.2">
      <c r="B35" s="306" t="str">
        <f>'CF (Funds)'!B19</f>
        <v>North Summit Capital Fund</v>
      </c>
      <c r="C35" s="307" t="str">
        <f>VLOOKUP(B35,'S | 02'!$C$6:$J$37,2,0)</f>
        <v>Fund Investment</v>
      </c>
      <c r="D35" s="307" t="str">
        <f>VLOOKUP(B35,'S | 02'!$C$6:$J$37,5,0)</f>
        <v>G42</v>
      </c>
      <c r="E35" s="491">
        <f>'CF (Funds)'!C19</f>
        <v>43879</v>
      </c>
      <c r="F35" s="309">
        <f>'CF (Funds)'!D19</f>
        <v>-9.5097500000000004</v>
      </c>
      <c r="G35" s="309">
        <f>'CF (Funds)'!E19</f>
        <v>0</v>
      </c>
      <c r="H35" s="309"/>
      <c r="I35" s="309">
        <f t="shared" si="1"/>
        <v>-9.5097500000000004</v>
      </c>
    </row>
    <row r="36" spans="2:9" x14ac:dyDescent="0.2">
      <c r="B36" s="306" t="str">
        <f>'CF (Funds)'!B20</f>
        <v>North Summit Capital Fund</v>
      </c>
      <c r="C36" s="307" t="str">
        <f>VLOOKUP(B36,'S | 02'!$C$6:$J$37,2,0)</f>
        <v>Fund Investment</v>
      </c>
      <c r="D36" s="307" t="str">
        <f>VLOOKUP(B36,'S | 02'!$C$6:$J$37,5,0)</f>
        <v>G42</v>
      </c>
      <c r="E36" s="491">
        <f>'CF (Funds)'!C20</f>
        <v>43934</v>
      </c>
      <c r="F36" s="309">
        <f>'CF (Funds)'!D20</f>
        <v>-41.3</v>
      </c>
      <c r="G36" s="309">
        <f>'CF (Funds)'!E20</f>
        <v>0</v>
      </c>
      <c r="H36" s="309"/>
      <c r="I36" s="309">
        <f t="shared" si="1"/>
        <v>-41.3</v>
      </c>
    </row>
    <row r="37" spans="2:9" x14ac:dyDescent="0.2">
      <c r="B37" s="306" t="str">
        <f>'CF (Funds)'!B21</f>
        <v>North Summit Capital Fund</v>
      </c>
      <c r="C37" s="307" t="str">
        <f>VLOOKUP(B37,'S | 02'!$C$6:$J$37,2,0)</f>
        <v>Fund Investment</v>
      </c>
      <c r="D37" s="307" t="str">
        <f>VLOOKUP(B37,'S | 02'!$C$6:$J$37,5,0)</f>
        <v>G42</v>
      </c>
      <c r="E37" s="491">
        <f>'CF (Funds)'!C21</f>
        <v>44151</v>
      </c>
      <c r="F37" s="309">
        <f>'CF (Funds)'!D21</f>
        <v>9.9499999999999993</v>
      </c>
      <c r="G37" s="309">
        <f>'CF (Funds)'!E21</f>
        <v>0</v>
      </c>
      <c r="H37" s="309"/>
      <c r="I37" s="309">
        <f t="shared" si="1"/>
        <v>9.9499999999999993</v>
      </c>
    </row>
    <row r="38" spans="2:9" x14ac:dyDescent="0.2">
      <c r="B38" s="306" t="str">
        <f>'CF (Funds)'!B22</f>
        <v>North Summit Capital Fund</v>
      </c>
      <c r="C38" s="307" t="str">
        <f>VLOOKUP(B38,'S | 02'!$C$6:$J$37,2,0)</f>
        <v>Fund Investment</v>
      </c>
      <c r="D38" s="307" t="str">
        <f>VLOOKUP(B38,'S | 02'!$C$6:$J$37,5,0)</f>
        <v>G42</v>
      </c>
      <c r="E38" s="491">
        <f>'CF (Funds)'!C22</f>
        <v>44151</v>
      </c>
      <c r="F38" s="309">
        <f>'CF (Funds)'!D22</f>
        <v>-10.455</v>
      </c>
      <c r="G38" s="309">
        <f>'CF (Funds)'!E22</f>
        <v>0</v>
      </c>
      <c r="H38" s="309"/>
      <c r="I38" s="309">
        <f t="shared" si="1"/>
        <v>-10.455</v>
      </c>
    </row>
    <row r="39" spans="2:9" x14ac:dyDescent="0.2">
      <c r="B39" s="306" t="str">
        <f>'CF (Funds)'!B23</f>
        <v>North Summit Capital Fund</v>
      </c>
      <c r="C39" s="307" t="str">
        <f>VLOOKUP(B39,'S | 02'!$C$6:$J$37,2,0)</f>
        <v>Fund Investment</v>
      </c>
      <c r="D39" s="307" t="str">
        <f>VLOOKUP(B39,'S | 02'!$C$6:$J$37,5,0)</f>
        <v>G42</v>
      </c>
      <c r="E39" s="491">
        <f>'CF (Funds)'!C23</f>
        <v>44196</v>
      </c>
      <c r="F39" s="309">
        <f>'CF (Funds)'!D23</f>
        <v>4.9749999999999996</v>
      </c>
      <c r="G39" s="309">
        <f>'CF (Funds)'!E23</f>
        <v>0</v>
      </c>
      <c r="H39" s="309"/>
      <c r="I39" s="309">
        <f t="shared" si="1"/>
        <v>4.9749999999999996</v>
      </c>
    </row>
    <row r="40" spans="2:9" x14ac:dyDescent="0.2">
      <c r="B40" s="306" t="str">
        <f>'CF (Funds)'!B24</f>
        <v>North Summit Capital Fund</v>
      </c>
      <c r="C40" s="307" t="str">
        <f>VLOOKUP(B40,'S | 02'!$C$6:$J$37,2,0)</f>
        <v>Fund Investment</v>
      </c>
      <c r="D40" s="307" t="str">
        <f>VLOOKUP(B40,'S | 02'!$C$6:$J$37,5,0)</f>
        <v>G42</v>
      </c>
      <c r="E40" s="491">
        <f>'CF (Funds)'!C24</f>
        <v>44196</v>
      </c>
      <c r="F40" s="309">
        <f>'CF (Funds)'!D24</f>
        <v>-3.4522930000000001</v>
      </c>
      <c r="G40" s="309">
        <f>'CF (Funds)'!E24</f>
        <v>0</v>
      </c>
      <c r="H40" s="309"/>
      <c r="I40" s="309">
        <f t="shared" si="1"/>
        <v>-3.4522930000000001</v>
      </c>
    </row>
    <row r="41" spans="2:9" x14ac:dyDescent="0.2">
      <c r="B41" s="306" t="str">
        <f>'CF (Funds)'!B25</f>
        <v>North Summit Capital Fund</v>
      </c>
      <c r="C41" s="307" t="str">
        <f>VLOOKUP(B41,'S | 02'!$C$6:$J$37,2,0)</f>
        <v>Fund Investment</v>
      </c>
      <c r="D41" s="307" t="str">
        <f>VLOOKUP(B41,'S | 02'!$C$6:$J$37,5,0)</f>
        <v>G42</v>
      </c>
      <c r="E41" s="491">
        <f>'CF (Funds)'!C25</f>
        <v>44196</v>
      </c>
      <c r="F41" s="309">
        <f>'CF (Funds)'!D25</f>
        <v>0</v>
      </c>
      <c r="G41" s="309">
        <f>'CF (Funds)'!E25</f>
        <v>0.58290199999999992</v>
      </c>
      <c r="H41" s="309"/>
      <c r="I41" s="309">
        <f t="shared" si="1"/>
        <v>0.58290199999999992</v>
      </c>
    </row>
    <row r="42" spans="2:9" x14ac:dyDescent="0.2">
      <c r="B42" s="306" t="str">
        <f>'CF (Funds)'!B26</f>
        <v>North Summit Capital Fund</v>
      </c>
      <c r="C42" s="307" t="str">
        <f>VLOOKUP(B42,'S | 02'!$C$6:$J$37,2,0)</f>
        <v>Fund Investment</v>
      </c>
      <c r="D42" s="307" t="str">
        <f>VLOOKUP(B42,'S | 02'!$C$6:$J$37,5,0)</f>
        <v>G42</v>
      </c>
      <c r="E42" s="491">
        <f>'CF (Funds)'!C26</f>
        <v>44370</v>
      </c>
      <c r="F42" s="309">
        <f>'CF (Funds)'!D26</f>
        <v>-5.97</v>
      </c>
      <c r="G42" s="309">
        <f>'CF (Funds)'!E26</f>
        <v>0</v>
      </c>
      <c r="H42" s="309"/>
      <c r="I42" s="309">
        <f t="shared" si="1"/>
        <v>-5.97</v>
      </c>
    </row>
    <row r="43" spans="2:9" x14ac:dyDescent="0.2">
      <c r="B43" s="306" t="str">
        <f>'CF (Funds)'!B27</f>
        <v>North Summit Capital Fund</v>
      </c>
      <c r="C43" s="307" t="str">
        <f>VLOOKUP(B43,'S | 02'!$C$6:$J$37,2,0)</f>
        <v>Fund Investment</v>
      </c>
      <c r="D43" s="307" t="str">
        <f>VLOOKUP(B43,'S | 02'!$C$6:$J$37,5,0)</f>
        <v>G42</v>
      </c>
      <c r="E43" s="491">
        <f>'CF (Funds)'!C27</f>
        <v>44400</v>
      </c>
      <c r="F43" s="309">
        <f>'CF (Funds)'!D27</f>
        <v>-0.75</v>
      </c>
      <c r="G43" s="309">
        <f>'CF (Funds)'!E27</f>
        <v>0</v>
      </c>
      <c r="H43" s="309"/>
      <c r="I43" s="309">
        <f t="shared" si="1"/>
        <v>-0.75</v>
      </c>
    </row>
    <row r="44" spans="2:9" x14ac:dyDescent="0.2">
      <c r="B44" s="306" t="str">
        <f>'CF (Funds)'!B28</f>
        <v>North Summit Capital Fund</v>
      </c>
      <c r="C44" s="307" t="str">
        <f>VLOOKUP(B44,'S | 02'!$C$6:$J$37,2,0)</f>
        <v>Fund Investment</v>
      </c>
      <c r="D44" s="307" t="str">
        <f>VLOOKUP(B44,'S | 02'!$C$6:$J$37,5,0)</f>
        <v>G42</v>
      </c>
      <c r="E44" s="491">
        <f>'CF (Funds)'!C28</f>
        <v>44400</v>
      </c>
      <c r="F44" s="309">
        <f>'CF (Funds)'!D28</f>
        <v>0</v>
      </c>
      <c r="G44" s="309">
        <f>'CF (Funds)'!E28</f>
        <v>0.44505899999999998</v>
      </c>
      <c r="H44" s="309"/>
      <c r="I44" s="309">
        <f t="shared" si="1"/>
        <v>0.44505899999999998</v>
      </c>
    </row>
    <row r="45" spans="2:9" x14ac:dyDescent="0.2">
      <c r="B45" s="306" t="str">
        <f>'CF (Funds)'!B29</f>
        <v>North Summit Capital Fund</v>
      </c>
      <c r="C45" s="307" t="str">
        <f>VLOOKUP(B45,'S | 02'!$C$6:$J$37,2,0)</f>
        <v>Fund Investment</v>
      </c>
      <c r="D45" s="307" t="str">
        <f>VLOOKUP(B45,'S | 02'!$C$6:$J$37,5,0)</f>
        <v>G42</v>
      </c>
      <c r="E45" s="491">
        <f>'CF (Funds)'!C29</f>
        <v>44554</v>
      </c>
      <c r="F45" s="309">
        <f>'CF (Funds)'!D29</f>
        <v>1.7823899999999999</v>
      </c>
      <c r="G45" s="309">
        <f>'CF (Funds)'!E29</f>
        <v>0</v>
      </c>
      <c r="H45" s="309"/>
      <c r="I45" s="309">
        <f t="shared" si="1"/>
        <v>1.7823899999999999</v>
      </c>
    </row>
    <row r="46" spans="2:9" x14ac:dyDescent="0.2">
      <c r="B46" s="306" t="str">
        <f>'CF (Funds)'!B30</f>
        <v>North Summit Capital Fund</v>
      </c>
      <c r="C46" s="307" t="str">
        <f>VLOOKUP(B46,'S | 02'!$C$6:$J$37,2,0)</f>
        <v>Fund Investment</v>
      </c>
      <c r="D46" s="307" t="str">
        <f>VLOOKUP(B46,'S | 02'!$C$6:$J$37,5,0)</f>
        <v>G42</v>
      </c>
      <c r="E46" s="491">
        <f>'CF (Funds)'!C30</f>
        <v>44676</v>
      </c>
      <c r="F46" s="309">
        <f>'CF (Funds)'!D30</f>
        <v>-21</v>
      </c>
      <c r="G46" s="309">
        <f>'CF (Funds)'!E30</f>
        <v>0</v>
      </c>
      <c r="H46" s="309"/>
      <c r="I46" s="309">
        <f t="shared" si="1"/>
        <v>-21</v>
      </c>
    </row>
    <row r="47" spans="2:9" x14ac:dyDescent="0.2">
      <c r="B47" s="302" t="str">
        <f>'CF (Funds)'!B31</f>
        <v>New Space Capital Fund I</v>
      </c>
      <c r="C47" s="303" t="str">
        <f>VLOOKUP(B47,'S | 02'!$C$6:$J$37,2,0)</f>
        <v>Fund Investment</v>
      </c>
      <c r="D47" s="303" t="str">
        <f>VLOOKUP(B47,'S | 02'!$C$6:$J$37,5,0)</f>
        <v>G42</v>
      </c>
      <c r="E47" s="492">
        <f>'CF (Funds)'!C31</f>
        <v>44087</v>
      </c>
      <c r="F47" s="305">
        <f>'CF (Funds)'!D31</f>
        <v>-20.917552997000001</v>
      </c>
      <c r="G47" s="305">
        <f>'CF (Funds)'!E31</f>
        <v>0</v>
      </c>
      <c r="H47" s="305"/>
      <c r="I47" s="305">
        <f t="shared" si="1"/>
        <v>-20.917552997000001</v>
      </c>
    </row>
    <row r="48" spans="2:9" x14ac:dyDescent="0.2">
      <c r="B48" s="302" t="str">
        <f>'CF (Funds)'!B32</f>
        <v>New Space Capital Fund I</v>
      </c>
      <c r="C48" s="303" t="str">
        <f>VLOOKUP(B48,'S | 02'!$C$6:$J$37,2,0)</f>
        <v>Fund Investment</v>
      </c>
      <c r="D48" s="303" t="str">
        <f>VLOOKUP(B48,'S | 02'!$C$6:$J$37,5,0)</f>
        <v>G42</v>
      </c>
      <c r="E48" s="492">
        <f>'CF (Funds)'!C32</f>
        <v>44287</v>
      </c>
      <c r="F48" s="305">
        <f>'CF (Funds)'!D32</f>
        <v>-0.21103182000000001</v>
      </c>
      <c r="G48" s="305">
        <f>'CF (Funds)'!E32</f>
        <v>0</v>
      </c>
      <c r="H48" s="305"/>
      <c r="I48" s="305">
        <f t="shared" si="1"/>
        <v>-0.21103182000000001</v>
      </c>
    </row>
    <row r="49" spans="2:9" x14ac:dyDescent="0.2">
      <c r="B49" s="302" t="str">
        <f>'CF (Funds)'!B33</f>
        <v>New Space Capital Fund I</v>
      </c>
      <c r="C49" s="303" t="str">
        <f>VLOOKUP(B49,'S | 02'!$C$6:$J$37,2,0)</f>
        <v>Fund Investment</v>
      </c>
      <c r="D49" s="303" t="str">
        <f>VLOOKUP(B49,'S | 02'!$C$6:$J$37,5,0)</f>
        <v>G42</v>
      </c>
      <c r="E49" s="492">
        <f>'CF (Funds)'!C33</f>
        <v>44442</v>
      </c>
      <c r="F49" s="305">
        <f>'CF (Funds)'!D33</f>
        <v>-0.23965473139999999</v>
      </c>
      <c r="G49" s="305">
        <f>'CF (Funds)'!E33</f>
        <v>0</v>
      </c>
      <c r="H49" s="305"/>
      <c r="I49" s="305">
        <f t="shared" si="1"/>
        <v>-0.23965473139999999</v>
      </c>
    </row>
    <row r="50" spans="2:9" x14ac:dyDescent="0.2">
      <c r="B50" s="302" t="str">
        <f>'CF (Funds)'!B34</f>
        <v>New Space Capital Fund I</v>
      </c>
      <c r="C50" s="303" t="str">
        <f>VLOOKUP(B50,'S | 02'!$C$6:$J$37,2,0)</f>
        <v>Fund Investment</v>
      </c>
      <c r="D50" s="303" t="str">
        <f>VLOOKUP(B50,'S | 02'!$C$6:$J$37,5,0)</f>
        <v>G42</v>
      </c>
      <c r="E50" s="492">
        <f>'CF (Funds)'!C34</f>
        <v>44623</v>
      </c>
      <c r="F50" s="305">
        <f>'CF (Funds)'!D34</f>
        <v>-0.25893584940000003</v>
      </c>
      <c r="G50" s="305">
        <f>'CF (Funds)'!E34</f>
        <v>0</v>
      </c>
      <c r="H50" s="305"/>
      <c r="I50" s="305">
        <f t="shared" si="1"/>
        <v>-0.25893584940000003</v>
      </c>
    </row>
    <row r="51" spans="2:9" x14ac:dyDescent="0.2">
      <c r="B51" s="302" t="str">
        <f>'CF (Funds)'!B35</f>
        <v>New Space Capital Fund I</v>
      </c>
      <c r="C51" s="303" t="str">
        <f>VLOOKUP(B51,'S | 02'!$C$6:$J$37,2,0)</f>
        <v>Fund Investment</v>
      </c>
      <c r="D51" s="303" t="str">
        <f>VLOOKUP(B51,'S | 02'!$C$6:$J$37,5,0)</f>
        <v>G42</v>
      </c>
      <c r="E51" s="492">
        <f>'CF (Funds)'!C35</f>
        <v>44784</v>
      </c>
      <c r="F51" s="305">
        <f>'CF (Funds)'!D35</f>
        <v>1.5224656599999999E-2</v>
      </c>
      <c r="G51" s="305">
        <f>'CF (Funds)'!E35</f>
        <v>0</v>
      </c>
      <c r="H51" s="305"/>
      <c r="I51" s="305">
        <f t="shared" si="1"/>
        <v>1.5224656599999999E-2</v>
      </c>
    </row>
    <row r="52" spans="2:9" x14ac:dyDescent="0.2">
      <c r="B52" s="302" t="str">
        <f>'CF (Funds)'!B36</f>
        <v>New Space Capital Fund I</v>
      </c>
      <c r="C52" s="303" t="str">
        <f>VLOOKUP(B52,'S | 02'!$C$6:$J$37,2,0)</f>
        <v>Fund Investment</v>
      </c>
      <c r="D52" s="303" t="str">
        <f>VLOOKUP(B52,'S | 02'!$C$6:$J$37,5,0)</f>
        <v>G42</v>
      </c>
      <c r="E52" s="492">
        <f>'CF (Funds)'!C36</f>
        <v>44956</v>
      </c>
      <c r="F52" s="305">
        <f>'CF (Funds)'!D36</f>
        <v>10.553916089669999</v>
      </c>
      <c r="G52" s="305">
        <f>'CF (Funds)'!E36</f>
        <v>0</v>
      </c>
      <c r="H52" s="305"/>
      <c r="I52" s="305">
        <f t="shared" ref="I52:I53" si="4">SUM(F52:H52)</f>
        <v>10.553916089669999</v>
      </c>
    </row>
    <row r="53" spans="2:9" x14ac:dyDescent="0.2">
      <c r="B53" s="302" t="str">
        <f>'CF (Funds)'!B37</f>
        <v>New Space Capital Fund I</v>
      </c>
      <c r="C53" s="303" t="str">
        <f>VLOOKUP(B53,'S | 02'!$C$6:$J$37,2,0)</f>
        <v>Fund Investment</v>
      </c>
      <c r="D53" s="303" t="str">
        <f>VLOOKUP(B53,'S | 02'!$C$6:$J$37,5,0)</f>
        <v>G42</v>
      </c>
      <c r="E53" s="492">
        <f>'CF (Funds)'!C37</f>
        <v>44956</v>
      </c>
      <c r="F53" s="305">
        <f>'CF (Funds)'!D37</f>
        <v>0</v>
      </c>
      <c r="G53" s="305">
        <f>'CF (Funds)'!E37</f>
        <v>2.9557743514081998</v>
      </c>
      <c r="H53" s="305"/>
      <c r="I53" s="305">
        <f t="shared" si="4"/>
        <v>2.9557743514081998</v>
      </c>
    </row>
    <row r="54" spans="2:9" x14ac:dyDescent="0.2">
      <c r="B54" s="302" t="str">
        <f>'CF (Funds)'!B38</f>
        <v>New Space Capital SCSp</v>
      </c>
      <c r="C54" s="303" t="str">
        <f>VLOOKUP(B54,'S | 02'!$C$6:$J$37,2,0)</f>
        <v>Fund Investment</v>
      </c>
      <c r="D54" s="303" t="str">
        <f>VLOOKUP(B54,'S | 02'!$C$6:$J$37,5,0)</f>
        <v>G42</v>
      </c>
      <c r="E54" s="492">
        <f>'CF (Funds)'!C38</f>
        <v>44087</v>
      </c>
      <c r="F54" s="305">
        <f>'CF (Funds)'!D38</f>
        <v>-2.7058823529411762</v>
      </c>
      <c r="G54" s="305">
        <f>'CF (Funds)'!E38</f>
        <v>0</v>
      </c>
      <c r="H54" s="305"/>
      <c r="I54" s="305">
        <f t="shared" si="1"/>
        <v>-2.7058823529411762</v>
      </c>
    </row>
    <row r="55" spans="2:9" x14ac:dyDescent="0.2">
      <c r="B55" s="306" t="str">
        <f>'CF (Funds)'!B39</f>
        <v>Acies Investments Fund I, L.P.</v>
      </c>
      <c r="C55" s="307" t="str">
        <f>VLOOKUP(B55,'S | 02'!$C$6:$J$37,2,0)</f>
        <v>Fund Investment</v>
      </c>
      <c r="D55" s="307" t="str">
        <f>VLOOKUP(B55,'S | 02'!$C$6:$J$37,5,0)</f>
        <v>G42</v>
      </c>
      <c r="E55" s="491">
        <f>'CF (Funds)'!C39</f>
        <v>44540</v>
      </c>
      <c r="F55" s="309">
        <f>'CF (Funds)'!D39</f>
        <v>-2.8053124999999999</v>
      </c>
      <c r="G55" s="309">
        <f>'CF (Funds)'!E39</f>
        <v>0</v>
      </c>
      <c r="H55" s="309"/>
      <c r="I55" s="309">
        <f t="shared" si="1"/>
        <v>-2.8053124999999999</v>
      </c>
    </row>
    <row r="56" spans="2:9" x14ac:dyDescent="0.2">
      <c r="B56" s="306" t="str">
        <f>'CF (Funds)'!B40</f>
        <v>Acies Investments Fund I, L.P.</v>
      </c>
      <c r="C56" s="307" t="str">
        <f>VLOOKUP(B56,'S | 02'!$C$6:$J$37,2,0)</f>
        <v>Fund Investment</v>
      </c>
      <c r="D56" s="307" t="str">
        <f>VLOOKUP(B56,'S | 02'!$C$6:$J$37,5,0)</f>
        <v>G42</v>
      </c>
      <c r="E56" s="491">
        <f>'CF (Funds)'!C40</f>
        <v>44602</v>
      </c>
      <c r="F56" s="309">
        <f>'CF (Funds)'!D40</f>
        <v>-3.4074999999999998</v>
      </c>
      <c r="G56" s="309">
        <f>'CF (Funds)'!E40</f>
        <v>0</v>
      </c>
      <c r="H56" s="309"/>
      <c r="I56" s="309">
        <f t="shared" si="1"/>
        <v>-3.4074999999999998</v>
      </c>
    </row>
    <row r="57" spans="2:9" x14ac:dyDescent="0.2">
      <c r="B57" s="306" t="str">
        <f>'CF (Funds)'!B41</f>
        <v>Acies Investments Fund I, L.P.</v>
      </c>
      <c r="C57" s="307" t="str">
        <f>VLOOKUP(B57,'S | 02'!$C$6:$J$37,2,0)</f>
        <v>Fund Investment</v>
      </c>
      <c r="D57" s="307" t="str">
        <f>VLOOKUP(B57,'S | 02'!$C$6:$J$37,5,0)</f>
        <v>G42</v>
      </c>
      <c r="E57" s="491">
        <f>'CF (Funds)'!C41</f>
        <v>44683</v>
      </c>
      <c r="F57" s="309">
        <f>'CF (Funds)'!D41</f>
        <v>-1.0257749999999999</v>
      </c>
      <c r="G57" s="309">
        <f>'CF (Funds)'!E41</f>
        <v>0</v>
      </c>
      <c r="H57" s="309"/>
      <c r="I57" s="309">
        <f t="shared" si="1"/>
        <v>-1.0257749999999999</v>
      </c>
    </row>
    <row r="58" spans="2:9" x14ac:dyDescent="0.2">
      <c r="B58" s="306" t="str">
        <f>'CF (Funds)'!B42</f>
        <v>Acies Investments Fund I, L.P.</v>
      </c>
      <c r="C58" s="307" t="str">
        <f>VLOOKUP(B58,'S | 02'!$C$6:$J$37,2,0)</f>
        <v>Fund Investment</v>
      </c>
      <c r="D58" s="307" t="str">
        <f>VLOOKUP(B58,'S | 02'!$C$6:$J$37,5,0)</f>
        <v>G42</v>
      </c>
      <c r="E58" s="491">
        <f>'CF (Funds)'!C42</f>
        <v>44707</v>
      </c>
      <c r="F58" s="309">
        <f>'CF (Funds)'!D42</f>
        <v>-3.3882749999999997</v>
      </c>
      <c r="G58" s="309">
        <f>'CF (Funds)'!E42</f>
        <v>0</v>
      </c>
      <c r="H58" s="309"/>
      <c r="I58" s="309">
        <f t="shared" ref="I58:I67" si="5">SUM(F58:H58)</f>
        <v>-3.3882749999999997</v>
      </c>
    </row>
    <row r="59" spans="2:9" x14ac:dyDescent="0.2">
      <c r="B59" s="306" t="str">
        <f>'CF (Funds)'!B43</f>
        <v>Acies Investments Fund I, L.P.</v>
      </c>
      <c r="C59" s="307" t="str">
        <f>VLOOKUP(B59,'S | 02'!$C$6:$J$37,2,0)</f>
        <v>Fund Investment</v>
      </c>
      <c r="D59" s="307" t="str">
        <f>VLOOKUP(B59,'S | 02'!$C$6:$J$37,5,0)</f>
        <v>G42</v>
      </c>
      <c r="E59" s="491">
        <f>'CF (Funds)'!C43</f>
        <v>44875</v>
      </c>
      <c r="F59" s="309">
        <f>'CF (Funds)'!D43</f>
        <v>-3.3882749999999997</v>
      </c>
      <c r="G59" s="309">
        <f>'CF (Funds)'!E43</f>
        <v>0</v>
      </c>
      <c r="H59" s="309"/>
      <c r="I59" s="309">
        <f t="shared" si="5"/>
        <v>-3.3882749999999997</v>
      </c>
    </row>
    <row r="60" spans="2:9" x14ac:dyDescent="0.2">
      <c r="B60" s="302" t="s">
        <v>25</v>
      </c>
      <c r="C60" s="303" t="str">
        <f>VLOOKUP(B60,'S | 02'!$C$6:$J$37,2,0)</f>
        <v>Direct Investment</v>
      </c>
      <c r="D60" s="303" t="str">
        <f>VLOOKUP(B60,'S | 02'!$C$6:$J$37,5,0)</f>
        <v>G42</v>
      </c>
      <c r="E60" s="492">
        <f t="shared" ref="E60:E67" si="6">$E$4</f>
        <v>45016</v>
      </c>
      <c r="F60" s="305"/>
      <c r="G60" s="305"/>
      <c r="H60" s="305">
        <f>VLOOKUP(B60,NAV!$B$9:$E$41,4,0)</f>
        <v>300</v>
      </c>
      <c r="I60" s="305">
        <f t="shared" si="5"/>
        <v>300</v>
      </c>
    </row>
    <row r="61" spans="2:9" x14ac:dyDescent="0.2">
      <c r="B61" s="302" t="s">
        <v>134</v>
      </c>
      <c r="C61" s="303" t="str">
        <f>VLOOKUP(B61,'S | 02'!$C$6:$J$37,2,0)</f>
        <v>Direct Investment</v>
      </c>
      <c r="D61" s="303" t="str">
        <f>VLOOKUP(B61,'S | 02'!$C$6:$J$37,5,0)</f>
        <v>G42</v>
      </c>
      <c r="E61" s="492">
        <f t="shared" si="6"/>
        <v>45016</v>
      </c>
      <c r="F61" s="305"/>
      <c r="G61" s="305"/>
      <c r="H61" s="305">
        <f>VLOOKUP(B61,NAV!$B$9:$E$41,4,0)</f>
        <v>8.3900321371999986</v>
      </c>
      <c r="I61" s="305">
        <f t="shared" si="5"/>
        <v>8.3900321371999986</v>
      </c>
    </row>
    <row r="62" spans="2:9" x14ac:dyDescent="0.2">
      <c r="B62" s="302" t="s">
        <v>44</v>
      </c>
      <c r="C62" s="303" t="str">
        <f>VLOOKUP(B62,'S | 02'!$C$6:$J$37,2,0)</f>
        <v>Direct Investment</v>
      </c>
      <c r="D62" s="303" t="str">
        <f>VLOOKUP(B62,'S | 02'!$C$6:$J$37,5,0)</f>
        <v>G42 3</v>
      </c>
      <c r="E62" s="492">
        <f t="shared" si="6"/>
        <v>45016</v>
      </c>
      <c r="F62" s="305"/>
      <c r="G62" s="305"/>
      <c r="H62" s="305">
        <f>VLOOKUP(B62,NAV!$B$9:$E$41,4,0)</f>
        <v>848.76998981818178</v>
      </c>
      <c r="I62" s="305">
        <f t="shared" si="5"/>
        <v>848.76998981818178</v>
      </c>
    </row>
    <row r="63" spans="2:9" x14ac:dyDescent="0.2">
      <c r="B63" s="302" t="s">
        <v>174</v>
      </c>
      <c r="C63" s="303" t="str">
        <f>VLOOKUP(B63,'S | 02'!$C$6:$J$37,2,0)</f>
        <v>Fund Investment</v>
      </c>
      <c r="D63" s="303" t="str">
        <f>VLOOKUP(B63,'S | 02'!$C$6:$J$37,5,0)</f>
        <v>G42</v>
      </c>
      <c r="E63" s="492">
        <f t="shared" si="6"/>
        <v>45016</v>
      </c>
      <c r="F63" s="305"/>
      <c r="G63" s="305"/>
      <c r="H63" s="305">
        <f>VLOOKUP(B63,NAV!$B$9:$E$41,4,0)</f>
        <v>14.29489121145</v>
      </c>
      <c r="I63" s="305">
        <f t="shared" si="5"/>
        <v>14.29489121145</v>
      </c>
    </row>
    <row r="64" spans="2:9" x14ac:dyDescent="0.2">
      <c r="B64" s="302" t="s">
        <v>156</v>
      </c>
      <c r="C64" s="303" t="str">
        <f>VLOOKUP(B64,'S | 02'!$C$6:$J$37,2,0)</f>
        <v>Fund Investment</v>
      </c>
      <c r="D64" s="303" t="str">
        <f>VLOOKUP(B64,'S | 02'!$C$6:$J$37,5,0)</f>
        <v>G42</v>
      </c>
      <c r="E64" s="492">
        <f t="shared" si="6"/>
        <v>45016</v>
      </c>
      <c r="F64" s="305"/>
      <c r="G64" s="305"/>
      <c r="H64" s="305">
        <f>VLOOKUP(B64,NAV!$B$9:$E$41,4,0)</f>
        <v>2.7058823529411762</v>
      </c>
      <c r="I64" s="305">
        <f t="shared" si="5"/>
        <v>2.7058823529411762</v>
      </c>
    </row>
    <row r="65" spans="2:9" x14ac:dyDescent="0.2">
      <c r="B65" s="302" t="s">
        <v>1</v>
      </c>
      <c r="C65" s="303" t="str">
        <f>VLOOKUP(B65,'S | 02'!$C$6:$J$37,2,0)</f>
        <v>Fund Investment</v>
      </c>
      <c r="D65" s="303" t="str">
        <f>VLOOKUP(B65,'S | 02'!$C$6:$J$37,5,0)</f>
        <v>G42</v>
      </c>
      <c r="E65" s="492">
        <f t="shared" si="6"/>
        <v>45016</v>
      </c>
      <c r="F65" s="305"/>
      <c r="G65" s="305"/>
      <c r="H65" s="305">
        <f>VLOOKUP(B65,NAV!$B$9:$E$41,4,0)</f>
        <v>70.03</v>
      </c>
      <c r="I65" s="305">
        <f t="shared" si="5"/>
        <v>70.03</v>
      </c>
    </row>
    <row r="66" spans="2:9" x14ac:dyDescent="0.2">
      <c r="B66" s="302" t="s">
        <v>15</v>
      </c>
      <c r="C66" s="303" t="str">
        <f>VLOOKUP(B66,'S | 02'!$C$6:$J$37,2,0)</f>
        <v>Fund Investment</v>
      </c>
      <c r="D66" s="303" t="str">
        <f>VLOOKUP(B66,'S | 02'!$C$6:$J$37,5,0)</f>
        <v>G42</v>
      </c>
      <c r="E66" s="492">
        <f t="shared" si="6"/>
        <v>45016</v>
      </c>
      <c r="F66" s="305"/>
      <c r="G66" s="305"/>
      <c r="H66" s="305">
        <f>VLOOKUP(B66,NAV!$B$9:$E$41,4,0)</f>
        <v>21.515750000000001</v>
      </c>
      <c r="I66" s="305">
        <f t="shared" si="5"/>
        <v>21.515750000000001</v>
      </c>
    </row>
    <row r="67" spans="2:9" x14ac:dyDescent="0.2">
      <c r="B67" s="302" t="s">
        <v>237</v>
      </c>
      <c r="C67" s="303" t="str">
        <f>VLOOKUP(B67,'S | 02'!$C$6:$J$37,2,0)</f>
        <v>Fund Investment</v>
      </c>
      <c r="D67" s="303" t="str">
        <f>VLOOKUP(B67,'S | 02'!$C$6:$J$37,5,0)</f>
        <v>G42</v>
      </c>
      <c r="E67" s="492">
        <f t="shared" si="6"/>
        <v>45016</v>
      </c>
      <c r="F67" s="305"/>
      <c r="G67" s="305"/>
      <c r="H67" s="305">
        <f>VLOOKUP(B67,NAV!$B$9:$E$41,4,0)</f>
        <v>13.742841</v>
      </c>
      <c r="I67" s="305">
        <f t="shared" si="5"/>
        <v>13.742841</v>
      </c>
    </row>
    <row r="69" spans="2:9" x14ac:dyDescent="0.2">
      <c r="E69" s="493"/>
    </row>
    <row r="70" spans="2:9" x14ac:dyDescent="0.2">
      <c r="E70" s="493"/>
    </row>
    <row r="71" spans="2:9" x14ac:dyDescent="0.2">
      <c r="E71" s="493"/>
    </row>
    <row r="72" spans="2:9" x14ac:dyDescent="0.2">
      <c r="E72" s="493"/>
    </row>
    <row r="73" spans="2:9" x14ac:dyDescent="0.2">
      <c r="E73" s="493"/>
    </row>
    <row r="74" spans="2:9" x14ac:dyDescent="0.2">
      <c r="E74" s="493"/>
    </row>
    <row r="75" spans="2:9" x14ac:dyDescent="0.2">
      <c r="E75" s="493"/>
    </row>
    <row r="76" spans="2:9" x14ac:dyDescent="0.2">
      <c r="E76" s="493"/>
    </row>
    <row r="77" spans="2:9" x14ac:dyDescent="0.2">
      <c r="E77" s="493"/>
    </row>
    <row r="78" spans="2:9" x14ac:dyDescent="0.2">
      <c r="E78" s="493"/>
    </row>
    <row r="79" spans="2:9" x14ac:dyDescent="0.2">
      <c r="E79" s="493"/>
    </row>
    <row r="80" spans="2:9" x14ac:dyDescent="0.2">
      <c r="E80" s="493"/>
    </row>
    <row r="81" spans="3:5" x14ac:dyDescent="0.2">
      <c r="E81" s="493"/>
    </row>
    <row r="82" spans="3:5" x14ac:dyDescent="0.2">
      <c r="E82" s="493"/>
    </row>
    <row r="83" spans="3:5" x14ac:dyDescent="0.2">
      <c r="C83" s="83"/>
      <c r="D83" s="83"/>
      <c r="E83" s="493"/>
    </row>
    <row r="84" spans="3:5" x14ac:dyDescent="0.2">
      <c r="C84" s="83"/>
      <c r="D84" s="83"/>
      <c r="E84" s="493"/>
    </row>
    <row r="85" spans="3:5" x14ac:dyDescent="0.2">
      <c r="C85" s="83"/>
      <c r="D85" s="83"/>
      <c r="E85" s="493"/>
    </row>
    <row r="86" spans="3:5" x14ac:dyDescent="0.2">
      <c r="C86" s="83"/>
      <c r="D86" s="83"/>
      <c r="E86" s="493"/>
    </row>
    <row r="87" spans="3:5" x14ac:dyDescent="0.2">
      <c r="C87" s="83"/>
      <c r="D87" s="83"/>
      <c r="E87" s="493"/>
    </row>
    <row r="88" spans="3:5" x14ac:dyDescent="0.2">
      <c r="C88" s="83"/>
      <c r="D88" s="83"/>
      <c r="E88" s="493"/>
    </row>
    <row r="89" spans="3:5" x14ac:dyDescent="0.2">
      <c r="C89" s="83"/>
      <c r="D89" s="83"/>
      <c r="E89" s="493"/>
    </row>
    <row r="90" spans="3:5" x14ac:dyDescent="0.2">
      <c r="C90" s="83"/>
      <c r="D90" s="83"/>
      <c r="E90" s="493"/>
    </row>
    <row r="91" spans="3:5" x14ac:dyDescent="0.2">
      <c r="C91" s="83"/>
      <c r="D91" s="83"/>
      <c r="E91" s="493"/>
    </row>
    <row r="92" spans="3:5" x14ac:dyDescent="0.2">
      <c r="C92" s="83"/>
      <c r="D92" s="83"/>
      <c r="E92" s="493"/>
    </row>
    <row r="93" spans="3:5" x14ac:dyDescent="0.2">
      <c r="C93" s="83"/>
      <c r="D93" s="83"/>
      <c r="E93" s="493"/>
    </row>
    <row r="94" spans="3:5" x14ac:dyDescent="0.2">
      <c r="C94" s="83"/>
      <c r="D94" s="83"/>
      <c r="E94" s="493"/>
    </row>
    <row r="95" spans="3:5" x14ac:dyDescent="0.2">
      <c r="C95" s="83"/>
      <c r="D95" s="83"/>
      <c r="E95" s="493"/>
    </row>
    <row r="96" spans="3:5" x14ac:dyDescent="0.2">
      <c r="C96" s="83"/>
      <c r="D96" s="83"/>
      <c r="E96" s="493"/>
    </row>
    <row r="97" spans="3:5" x14ac:dyDescent="0.2">
      <c r="C97" s="83"/>
      <c r="D97" s="83"/>
      <c r="E97" s="493"/>
    </row>
    <row r="98" spans="3:5" x14ac:dyDescent="0.2">
      <c r="C98" s="83"/>
      <c r="D98" s="83"/>
      <c r="E98" s="493"/>
    </row>
    <row r="99" spans="3:5" x14ac:dyDescent="0.2">
      <c r="C99" s="83"/>
      <c r="D99" s="83"/>
      <c r="E99" s="493"/>
    </row>
    <row r="100" spans="3:5" x14ac:dyDescent="0.2">
      <c r="C100" s="83"/>
      <c r="D100" s="83"/>
      <c r="E100" s="493"/>
    </row>
    <row r="101" spans="3:5" x14ac:dyDescent="0.2">
      <c r="C101" s="83"/>
      <c r="D101" s="83"/>
      <c r="E101" s="493"/>
    </row>
    <row r="102" spans="3:5" x14ac:dyDescent="0.2">
      <c r="C102" s="83"/>
      <c r="D102" s="83"/>
      <c r="E102" s="493"/>
    </row>
    <row r="103" spans="3:5" x14ac:dyDescent="0.2">
      <c r="C103" s="83"/>
      <c r="D103" s="83"/>
      <c r="E103" s="493"/>
    </row>
    <row r="104" spans="3:5" x14ac:dyDescent="0.2">
      <c r="C104" s="83"/>
      <c r="D104" s="83"/>
      <c r="E104" s="493"/>
    </row>
    <row r="105" spans="3:5" x14ac:dyDescent="0.2">
      <c r="C105" s="83"/>
      <c r="D105" s="83"/>
      <c r="E105" s="493"/>
    </row>
    <row r="106" spans="3:5" x14ac:dyDescent="0.2">
      <c r="C106" s="83"/>
      <c r="D106" s="83"/>
      <c r="E106" s="493"/>
    </row>
    <row r="107" spans="3:5" x14ac:dyDescent="0.2">
      <c r="C107" s="83"/>
      <c r="D107" s="83"/>
      <c r="E107" s="493"/>
    </row>
    <row r="108" spans="3:5" x14ac:dyDescent="0.2">
      <c r="C108" s="83"/>
      <c r="D108" s="83"/>
      <c r="E108" s="493"/>
    </row>
    <row r="109" spans="3:5" x14ac:dyDescent="0.2">
      <c r="C109" s="83"/>
      <c r="D109" s="83"/>
      <c r="E109" s="493"/>
    </row>
    <row r="110" spans="3:5" x14ac:dyDescent="0.2">
      <c r="C110" s="83"/>
      <c r="D110" s="83"/>
      <c r="E110" s="493"/>
    </row>
    <row r="111" spans="3:5" x14ac:dyDescent="0.2">
      <c r="C111" s="83"/>
      <c r="D111" s="83"/>
      <c r="E111" s="493"/>
    </row>
    <row r="112" spans="3:5" x14ac:dyDescent="0.2">
      <c r="C112" s="83"/>
      <c r="D112" s="83"/>
      <c r="E112" s="493"/>
    </row>
    <row r="113" spans="3:5" x14ac:dyDescent="0.2">
      <c r="C113" s="83"/>
      <c r="D113" s="83"/>
      <c r="E113" s="493"/>
    </row>
    <row r="114" spans="3:5" x14ac:dyDescent="0.2">
      <c r="C114" s="83"/>
      <c r="D114" s="83"/>
      <c r="E114" s="493"/>
    </row>
    <row r="115" spans="3:5" x14ac:dyDescent="0.2">
      <c r="C115" s="83"/>
      <c r="D115" s="83"/>
      <c r="E115" s="493"/>
    </row>
    <row r="116" spans="3:5" x14ac:dyDescent="0.2">
      <c r="C116" s="83"/>
      <c r="D116" s="83"/>
      <c r="E116" s="493"/>
    </row>
    <row r="117" spans="3:5" x14ac:dyDescent="0.2">
      <c r="C117" s="83"/>
      <c r="D117" s="83"/>
      <c r="E117" s="493"/>
    </row>
    <row r="118" spans="3:5" x14ac:dyDescent="0.2">
      <c r="C118" s="83"/>
      <c r="D118" s="83"/>
      <c r="E118" s="493"/>
    </row>
    <row r="119" spans="3:5" x14ac:dyDescent="0.2">
      <c r="C119" s="83"/>
      <c r="D119" s="83"/>
      <c r="E119" s="493"/>
    </row>
    <row r="120" spans="3:5" x14ac:dyDescent="0.2">
      <c r="C120" s="83"/>
      <c r="D120" s="83"/>
      <c r="E120" s="493"/>
    </row>
    <row r="121" spans="3:5" x14ac:dyDescent="0.2">
      <c r="C121" s="83"/>
      <c r="D121" s="83"/>
      <c r="E121" s="493"/>
    </row>
    <row r="122" spans="3:5" x14ac:dyDescent="0.2">
      <c r="C122" s="83"/>
      <c r="D122" s="83"/>
      <c r="E122" s="493"/>
    </row>
    <row r="123" spans="3:5" x14ac:dyDescent="0.2">
      <c r="C123" s="83"/>
      <c r="D123" s="83"/>
      <c r="E123" s="493"/>
    </row>
    <row r="124" spans="3:5" x14ac:dyDescent="0.2">
      <c r="C124" s="83"/>
      <c r="D124" s="83"/>
      <c r="E124" s="493"/>
    </row>
    <row r="125" spans="3:5" x14ac:dyDescent="0.2">
      <c r="C125" s="83"/>
      <c r="D125" s="83"/>
      <c r="E125" s="493"/>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35"/>
  <sheetViews>
    <sheetView zoomScale="90" zoomScaleNormal="90" workbookViewId="0"/>
  </sheetViews>
  <sheetFormatPr defaultRowHeight="12" x14ac:dyDescent="0.2"/>
  <cols>
    <col min="1" max="1" width="3.85546875" style="83" customWidth="1"/>
    <col min="2" max="2" width="9.140625" style="83"/>
    <col min="3" max="3" width="29.42578125" style="83" customWidth="1"/>
    <col min="4" max="4" width="12.5703125" style="88" customWidth="1"/>
    <col min="5" max="8" width="12.5703125" style="83" customWidth="1"/>
    <col min="9" max="9" width="9.140625" style="83"/>
    <col min="10" max="10" width="12" style="83" customWidth="1"/>
    <col min="11" max="11" width="12.7109375" style="83" customWidth="1"/>
    <col min="12" max="12" width="11.28515625" style="83" customWidth="1"/>
    <col min="13" max="13" width="12.28515625" style="83" bestFit="1" customWidth="1"/>
    <col min="14" max="15" width="11.7109375" style="83" customWidth="1"/>
    <col min="16" max="19" width="12.140625" style="83" customWidth="1"/>
    <col min="20" max="16384" width="9.140625" style="83"/>
  </cols>
  <sheetData>
    <row r="2" spans="2:20" s="164" customFormat="1" ht="43.5" customHeight="1" x14ac:dyDescent="0.45">
      <c r="C2" s="345" t="s">
        <v>285</v>
      </c>
      <c r="D2" s="346"/>
      <c r="E2" s="346"/>
      <c r="F2" s="346"/>
      <c r="G2" s="353"/>
      <c r="H2" s="353"/>
      <c r="I2" s="353"/>
      <c r="J2" s="353"/>
      <c r="K2" s="347"/>
      <c r="L2" s="348"/>
      <c r="M2" s="347"/>
    </row>
    <row r="5" spans="2:20" x14ac:dyDescent="0.2">
      <c r="C5" s="95" t="s">
        <v>6</v>
      </c>
      <c r="D5" s="97" t="s">
        <v>221</v>
      </c>
      <c r="E5" s="96" t="s">
        <v>7</v>
      </c>
      <c r="F5" s="96" t="s">
        <v>251</v>
      </c>
      <c r="G5" s="96" t="s">
        <v>141</v>
      </c>
      <c r="H5" s="96" t="s">
        <v>234</v>
      </c>
      <c r="J5" s="311" t="s">
        <v>141</v>
      </c>
      <c r="K5" s="312" t="s">
        <v>220</v>
      </c>
      <c r="L5" s="312" t="s">
        <v>53</v>
      </c>
      <c r="M5" s="312" t="s">
        <v>63</v>
      </c>
      <c r="N5" s="312" t="s">
        <v>76</v>
      </c>
      <c r="P5" s="311" t="s">
        <v>234</v>
      </c>
      <c r="Q5" s="312" t="s">
        <v>220</v>
      </c>
      <c r="R5" s="312" t="s">
        <v>53</v>
      </c>
      <c r="S5" s="312" t="s">
        <v>63</v>
      </c>
      <c r="T5" s="312" t="s">
        <v>76</v>
      </c>
    </row>
    <row r="6" spans="2:20" x14ac:dyDescent="0.2">
      <c r="B6" s="603" t="s">
        <v>220</v>
      </c>
      <c r="C6" s="524" t="str">
        <f>'CF (Equity, Debt)'!C4</f>
        <v>Jollychic Holding Limited</v>
      </c>
      <c r="D6" s="89" t="s">
        <v>220</v>
      </c>
      <c r="E6" s="85">
        <f>'CF (Equity, Debt)'!D4</f>
        <v>43470</v>
      </c>
      <c r="F6" s="85" t="str">
        <f>"Q"&amp;ROUNDUP(MONTH(E6)/3,0)&amp;" "&amp;YEAR(E6)</f>
        <v>Q1 2019</v>
      </c>
      <c r="G6" s="93">
        <f>'CF (Equity, Debt)'!E4</f>
        <v>-30</v>
      </c>
      <c r="H6" s="93">
        <f>'CF (Equity, Debt)'!F4</f>
        <v>0</v>
      </c>
      <c r="K6" s="88"/>
      <c r="L6" s="88"/>
      <c r="M6" s="88"/>
      <c r="N6" s="88"/>
      <c r="Q6" s="88"/>
      <c r="R6" s="88"/>
      <c r="S6" s="88"/>
    </row>
    <row r="7" spans="2:20" x14ac:dyDescent="0.2">
      <c r="C7" s="524" t="str">
        <f>'CF (Equity, Debt)'!C5</f>
        <v>Jollychic Holding Limited</v>
      </c>
      <c r="D7" s="89" t="s">
        <v>220</v>
      </c>
      <c r="E7" s="85">
        <f>'CF (Equity, Debt)'!D5</f>
        <v>43724</v>
      </c>
      <c r="F7" s="85" t="str">
        <f t="shared" ref="F7:F34" si="0">"Q"&amp;ROUNDUP(MONTH(E7)/3,0)&amp;" "&amp;YEAR(E7)</f>
        <v>Q3 2019</v>
      </c>
      <c r="G7" s="93">
        <f>'CF (Equity, Debt)'!E5</f>
        <v>-20</v>
      </c>
      <c r="H7" s="93">
        <f>'CF (Equity, Debt)'!F5</f>
        <v>0</v>
      </c>
      <c r="J7" s="83" t="s">
        <v>250</v>
      </c>
      <c r="K7" s="305">
        <f t="shared" ref="K7:K21" si="1">-SUMIFS($G$5:$G$111,$D$5:$D$111,$K$5,$F$5:$F$111,J7)</f>
        <v>30</v>
      </c>
      <c r="L7" s="305">
        <f t="shared" ref="L7:L21" si="2">-SUMIFS($G$5:$G$111,$D$5:$D$111,$L$5,$F$5:$F$111,J7)</f>
        <v>0</v>
      </c>
      <c r="M7" s="305">
        <f t="shared" ref="M7:M21" si="3">-SUMIFS($G$5:$G$111,$D$5:$D$111,"Fund",$F$5:$F$111,J7)</f>
        <v>0</v>
      </c>
      <c r="N7" s="305">
        <f t="shared" ref="N7:N23" ca="1" si="4">-SUMIF($F$5:$H$111,$J7,$G$5:$G$111)</f>
        <v>30</v>
      </c>
      <c r="P7" s="83" t="s">
        <v>250</v>
      </c>
      <c r="Q7" s="305">
        <f t="shared" ref="Q7:Q21" si="5">SUMIFS($H$5:$H$111,$D$5:$D$111,$Q$5,$F$5:$F$111,J7)</f>
        <v>0</v>
      </c>
      <c r="R7" s="305">
        <f t="shared" ref="R7:R21" si="6">SUMIFS($H$5:$H$111,$D$5:$D$111,$R$5,$F$5:$F$111,J7)</f>
        <v>0</v>
      </c>
      <c r="S7" s="305">
        <f t="shared" ref="S7:S21" si="7">SUMIFS($H$5:$H$111,$D$5:$D$111,$S$5,$F$5:$F$111,J7)</f>
        <v>0</v>
      </c>
      <c r="T7" s="305">
        <f t="shared" ref="T7:T23" ca="1" si="8">SUMIF($F$5:$H$111,$J7,$H$5:$H$111)</f>
        <v>0</v>
      </c>
    </row>
    <row r="8" spans="2:20" x14ac:dyDescent="0.2">
      <c r="C8" s="524" t="str">
        <f>'CF (Equity, Debt)'!C6</f>
        <v>Jollychic Holding Limited</v>
      </c>
      <c r="D8" s="89" t="s">
        <v>220</v>
      </c>
      <c r="E8" s="85">
        <f>'CF (Equity, Debt)'!D6</f>
        <v>43724</v>
      </c>
      <c r="F8" s="85" t="str">
        <f t="shared" si="0"/>
        <v>Q3 2019</v>
      </c>
      <c r="G8" s="93">
        <f>'CF (Equity, Debt)'!E6</f>
        <v>-15</v>
      </c>
      <c r="H8" s="93">
        <f>'CF (Equity, Debt)'!F6</f>
        <v>0</v>
      </c>
      <c r="J8" s="83" t="s">
        <v>252</v>
      </c>
      <c r="K8" s="305">
        <f t="shared" si="1"/>
        <v>12.99999809</v>
      </c>
      <c r="L8" s="305">
        <f t="shared" si="2"/>
        <v>8</v>
      </c>
      <c r="M8" s="305">
        <f t="shared" si="3"/>
        <v>0</v>
      </c>
      <c r="N8" s="305">
        <f t="shared" ca="1" si="4"/>
        <v>20.999998089999998</v>
      </c>
      <c r="P8" s="83" t="s">
        <v>252</v>
      </c>
      <c r="Q8" s="305">
        <f t="shared" si="5"/>
        <v>0</v>
      </c>
      <c r="R8" s="305">
        <f t="shared" si="6"/>
        <v>0</v>
      </c>
      <c r="S8" s="305">
        <f t="shared" si="7"/>
        <v>0</v>
      </c>
      <c r="T8" s="305">
        <f t="shared" ca="1" si="8"/>
        <v>0</v>
      </c>
    </row>
    <row r="9" spans="2:20" x14ac:dyDescent="0.2">
      <c r="C9" s="525" t="str">
        <f>'CF (Equity, Debt)'!C7</f>
        <v>Mena Mobile Inc</v>
      </c>
      <c r="D9" s="90" t="s">
        <v>220</v>
      </c>
      <c r="E9" s="87">
        <f>'CF (Equity, Debt)'!D7</f>
        <v>43563</v>
      </c>
      <c r="F9" s="87" t="str">
        <f t="shared" si="0"/>
        <v>Q2 2019</v>
      </c>
      <c r="G9" s="94">
        <f>'CF (Equity, Debt)'!E7</f>
        <v>-8</v>
      </c>
      <c r="H9" s="94">
        <f>'CF (Equity, Debt)'!F7</f>
        <v>0</v>
      </c>
      <c r="J9" s="83" t="s">
        <v>253</v>
      </c>
      <c r="K9" s="305">
        <f t="shared" si="1"/>
        <v>35</v>
      </c>
      <c r="L9" s="305">
        <f t="shared" si="2"/>
        <v>0</v>
      </c>
      <c r="M9" s="305">
        <f t="shared" si="3"/>
        <v>3</v>
      </c>
      <c r="N9" s="305">
        <f t="shared" ca="1" si="4"/>
        <v>38</v>
      </c>
      <c r="P9" s="83" t="s">
        <v>253</v>
      </c>
      <c r="Q9" s="305">
        <f t="shared" si="5"/>
        <v>0</v>
      </c>
      <c r="R9" s="305">
        <f t="shared" si="6"/>
        <v>0</v>
      </c>
      <c r="S9" s="305">
        <f t="shared" si="7"/>
        <v>0</v>
      </c>
      <c r="T9" s="305">
        <f t="shared" ca="1" si="8"/>
        <v>0</v>
      </c>
    </row>
    <row r="10" spans="2:20" x14ac:dyDescent="0.2">
      <c r="C10" s="524" t="str">
        <f>'CF (Equity, Debt)'!C8</f>
        <v>Flyr Inc</v>
      </c>
      <c r="D10" s="89" t="s">
        <v>220</v>
      </c>
      <c r="E10" s="85">
        <f>'CF (Equity, Debt)'!D8</f>
        <v>43570</v>
      </c>
      <c r="F10" s="85" t="str">
        <f t="shared" si="0"/>
        <v>Q2 2019</v>
      </c>
      <c r="G10" s="93">
        <f>'CF (Equity, Debt)'!E8</f>
        <v>-4.9999980900000001</v>
      </c>
      <c r="H10" s="93">
        <f>'CF (Equity, Debt)'!F8</f>
        <v>0</v>
      </c>
      <c r="J10" s="83" t="s">
        <v>254</v>
      </c>
      <c r="K10" s="305">
        <f t="shared" si="1"/>
        <v>0</v>
      </c>
      <c r="L10" s="305">
        <f t="shared" si="2"/>
        <v>0</v>
      </c>
      <c r="M10" s="305">
        <f t="shared" si="3"/>
        <v>0</v>
      </c>
      <c r="N10" s="305">
        <f t="shared" ca="1" si="4"/>
        <v>0</v>
      </c>
      <c r="P10" s="83" t="s">
        <v>254</v>
      </c>
      <c r="Q10" s="305">
        <f t="shared" si="5"/>
        <v>0</v>
      </c>
      <c r="R10" s="305">
        <f t="shared" si="6"/>
        <v>0</v>
      </c>
      <c r="S10" s="305">
        <f t="shared" si="7"/>
        <v>0</v>
      </c>
      <c r="T10" s="305">
        <f t="shared" ca="1" si="8"/>
        <v>0</v>
      </c>
    </row>
    <row r="11" spans="2:20" x14ac:dyDescent="0.2">
      <c r="C11" s="524" t="str">
        <f>'CF (Equity, Debt)'!C9</f>
        <v>Flyr Inc</v>
      </c>
      <c r="D11" s="89" t="s">
        <v>220</v>
      </c>
      <c r="E11" s="85">
        <f>'CF (Equity, Debt)'!D9</f>
        <v>43915</v>
      </c>
      <c r="F11" s="85" t="str">
        <f t="shared" si="0"/>
        <v>Q1 2020</v>
      </c>
      <c r="G11" s="93">
        <f>'CF (Equity, Debt)'!E9</f>
        <v>-5.0000019099999999</v>
      </c>
      <c r="H11" s="93">
        <f>'CF (Equity, Debt)'!F9</f>
        <v>0</v>
      </c>
      <c r="J11" s="83" t="s">
        <v>255</v>
      </c>
      <c r="K11" s="305">
        <f t="shared" si="1"/>
        <v>75.609443209619357</v>
      </c>
      <c r="L11" s="305">
        <f t="shared" si="2"/>
        <v>0</v>
      </c>
      <c r="M11" s="305">
        <f t="shared" si="3"/>
        <v>9.5097500000000004</v>
      </c>
      <c r="N11" s="305">
        <f t="shared" ca="1" si="4"/>
        <v>85.119193209619354</v>
      </c>
      <c r="P11" s="83" t="s">
        <v>255</v>
      </c>
      <c r="Q11" s="305">
        <f t="shared" si="5"/>
        <v>0</v>
      </c>
      <c r="R11" s="305">
        <f t="shared" si="6"/>
        <v>0</v>
      </c>
      <c r="S11" s="305">
        <f t="shared" si="7"/>
        <v>0</v>
      </c>
      <c r="T11" s="305">
        <f t="shared" ca="1" si="8"/>
        <v>0</v>
      </c>
    </row>
    <row r="12" spans="2:20" x14ac:dyDescent="0.2">
      <c r="C12" s="525" t="str">
        <f>'CF (Equity, Debt)'!C10</f>
        <v xml:space="preserve">Esyasoft Holding </v>
      </c>
      <c r="D12" s="90" t="s">
        <v>220</v>
      </c>
      <c r="E12" s="87">
        <f>'CF (Equity, Debt)'!D10</f>
        <v>43870</v>
      </c>
      <c r="F12" s="87" t="str">
        <f t="shared" si="0"/>
        <v>Q1 2020</v>
      </c>
      <c r="G12" s="94">
        <f>'CF (Equity, Debt)'!E10</f>
        <v>-2.5</v>
      </c>
      <c r="H12" s="94">
        <f>'CF (Equity, Debt)'!F10</f>
        <v>0</v>
      </c>
      <c r="J12" s="83" t="s">
        <v>256</v>
      </c>
      <c r="K12" s="305">
        <f t="shared" si="1"/>
        <v>142.12003795060357</v>
      </c>
      <c r="L12" s="305">
        <f t="shared" si="2"/>
        <v>0</v>
      </c>
      <c r="M12" s="305">
        <f t="shared" si="3"/>
        <v>45.784999999999997</v>
      </c>
      <c r="N12" s="305">
        <f t="shared" ca="1" si="4"/>
        <v>187.90503795060357</v>
      </c>
      <c r="P12" s="83" t="s">
        <v>256</v>
      </c>
      <c r="Q12" s="305">
        <f t="shared" si="5"/>
        <v>0</v>
      </c>
      <c r="R12" s="305">
        <f t="shared" si="6"/>
        <v>0</v>
      </c>
      <c r="S12" s="305">
        <f t="shared" si="7"/>
        <v>0</v>
      </c>
      <c r="T12" s="305">
        <f t="shared" ca="1" si="8"/>
        <v>0</v>
      </c>
    </row>
    <row r="13" spans="2:20" x14ac:dyDescent="0.2">
      <c r="C13" s="524" t="str">
        <f>'CF (Equity, Debt)'!C11</f>
        <v>Beyond Limits</v>
      </c>
      <c r="D13" s="89" t="s">
        <v>220</v>
      </c>
      <c r="E13" s="85">
        <f>'CF (Equity, Debt)'!D11</f>
        <v>43879</v>
      </c>
      <c r="F13" s="85" t="str">
        <f t="shared" si="0"/>
        <v>Q1 2020</v>
      </c>
      <c r="G13" s="93">
        <f>'CF (Equity, Debt)'!E11</f>
        <v>-20</v>
      </c>
      <c r="H13" s="93">
        <f>'CF (Equity, Debt)'!F11</f>
        <v>0</v>
      </c>
      <c r="J13" s="83" t="s">
        <v>257</v>
      </c>
      <c r="K13" s="305">
        <f t="shared" si="1"/>
        <v>10</v>
      </c>
      <c r="L13" s="305">
        <f t="shared" si="2"/>
        <v>0</v>
      </c>
      <c r="M13" s="305">
        <f t="shared" si="3"/>
        <v>23.623435349941179</v>
      </c>
      <c r="N13" s="305">
        <f t="shared" ca="1" si="4"/>
        <v>33.623435349941175</v>
      </c>
      <c r="P13" s="83" t="s">
        <v>257</v>
      </c>
      <c r="Q13" s="305">
        <f t="shared" si="5"/>
        <v>0</v>
      </c>
      <c r="R13" s="305">
        <f t="shared" si="6"/>
        <v>0</v>
      </c>
      <c r="S13" s="305">
        <f t="shared" si="7"/>
        <v>0</v>
      </c>
      <c r="T13" s="305">
        <f t="shared" ca="1" si="8"/>
        <v>0</v>
      </c>
    </row>
    <row r="14" spans="2:20" x14ac:dyDescent="0.2">
      <c r="C14" s="524" t="str">
        <f>'CF (Equity, Debt)'!C12</f>
        <v>Beyond Limits</v>
      </c>
      <c r="D14" s="89" t="s">
        <v>220</v>
      </c>
      <c r="E14" s="85">
        <f>'CF (Equity, Debt)'!D12</f>
        <v>43921</v>
      </c>
      <c r="F14" s="85" t="str">
        <f t="shared" si="0"/>
        <v>Q1 2020</v>
      </c>
      <c r="G14" s="93">
        <f>'CF (Equity, Debt)'!E12</f>
        <v>-30</v>
      </c>
      <c r="H14" s="93">
        <f>'CF (Equity, Debt)'!F12</f>
        <v>0</v>
      </c>
      <c r="J14" s="83" t="s">
        <v>258</v>
      </c>
      <c r="K14" s="305">
        <f t="shared" si="1"/>
        <v>60</v>
      </c>
      <c r="L14" s="305">
        <f t="shared" si="2"/>
        <v>0</v>
      </c>
      <c r="M14" s="305">
        <f t="shared" si="3"/>
        <v>9.4822930000000021</v>
      </c>
      <c r="N14" s="305">
        <f t="shared" ca="1" si="4"/>
        <v>69.482292999999999</v>
      </c>
      <c r="P14" s="83" t="s">
        <v>258</v>
      </c>
      <c r="Q14" s="305">
        <f t="shared" si="5"/>
        <v>0</v>
      </c>
      <c r="R14" s="305">
        <f t="shared" si="6"/>
        <v>0</v>
      </c>
      <c r="S14" s="305">
        <f t="shared" si="7"/>
        <v>0.58290199999999992</v>
      </c>
      <c r="T14" s="305">
        <f t="shared" ca="1" si="8"/>
        <v>0.58290199999999992</v>
      </c>
    </row>
    <row r="15" spans="2:20" x14ac:dyDescent="0.2">
      <c r="C15" s="524" t="str">
        <f>'CF (Equity, Debt)'!C13</f>
        <v>Beyond Limits</v>
      </c>
      <c r="D15" s="89" t="s">
        <v>220</v>
      </c>
      <c r="E15" s="85">
        <f>'CF (Equity, Debt)'!D13</f>
        <v>43989</v>
      </c>
      <c r="F15" s="85" t="str">
        <f t="shared" si="0"/>
        <v>Q2 2020</v>
      </c>
      <c r="G15" s="93">
        <f>'CF (Equity, Debt)'!E13</f>
        <v>-30</v>
      </c>
      <c r="H15" s="93">
        <f>'CF (Equity, Debt)'!F13</f>
        <v>0</v>
      </c>
      <c r="J15" s="83" t="s">
        <v>259</v>
      </c>
      <c r="K15" s="305">
        <f t="shared" si="1"/>
        <v>0</v>
      </c>
      <c r="L15" s="305">
        <f t="shared" si="2"/>
        <v>0</v>
      </c>
      <c r="M15" s="305">
        <f t="shared" si="3"/>
        <v>1.0845116099999996</v>
      </c>
      <c r="N15" s="305">
        <f t="shared" ca="1" si="4"/>
        <v>1.0845116099999996</v>
      </c>
      <c r="P15" s="83" t="s">
        <v>259</v>
      </c>
      <c r="Q15" s="305">
        <f t="shared" si="5"/>
        <v>0</v>
      </c>
      <c r="R15" s="305">
        <f t="shared" si="6"/>
        <v>0</v>
      </c>
      <c r="S15" s="305">
        <f t="shared" si="7"/>
        <v>7.6348349999999995E-2</v>
      </c>
      <c r="T15" s="305">
        <f t="shared" ca="1" si="8"/>
        <v>7.6348349999999995E-2</v>
      </c>
    </row>
    <row r="16" spans="2:20" x14ac:dyDescent="0.2">
      <c r="C16" s="524" t="str">
        <f>'CF (Equity, Debt)'!C14</f>
        <v>Beyond Limits</v>
      </c>
      <c r="D16" s="89" t="s">
        <v>220</v>
      </c>
      <c r="E16" s="85">
        <f>'CF (Equity, Debt)'!D14</f>
        <v>44103</v>
      </c>
      <c r="F16" s="85" t="str">
        <f t="shared" si="0"/>
        <v>Q3 2020</v>
      </c>
      <c r="G16" s="93">
        <f>'CF (Equity, Debt)'!E14</f>
        <v>-10</v>
      </c>
      <c r="H16" s="93">
        <f>'CF (Equity, Debt)'!F14</f>
        <v>0</v>
      </c>
      <c r="J16" s="83" t="s">
        <v>260</v>
      </c>
      <c r="K16" s="305">
        <f t="shared" si="1"/>
        <v>31.240780424143558</v>
      </c>
      <c r="L16" s="305">
        <f t="shared" si="2"/>
        <v>2.3539819999999998</v>
      </c>
      <c r="M16" s="305">
        <f t="shared" si="3"/>
        <v>6.1810318199999994</v>
      </c>
      <c r="N16" s="305">
        <f t="shared" ca="1" si="4"/>
        <v>39.775794244143562</v>
      </c>
      <c r="P16" s="83" t="s">
        <v>260</v>
      </c>
      <c r="Q16" s="305">
        <f t="shared" si="5"/>
        <v>0</v>
      </c>
      <c r="R16" s="305">
        <f t="shared" si="6"/>
        <v>0</v>
      </c>
      <c r="S16" s="305">
        <f t="shared" si="7"/>
        <v>0</v>
      </c>
      <c r="T16" s="305">
        <f t="shared" ca="1" si="8"/>
        <v>0</v>
      </c>
    </row>
    <row r="17" spans="3:20" x14ac:dyDescent="0.2">
      <c r="C17" s="525" t="str">
        <f>'CF (Equity, Debt)'!C15</f>
        <v>ONT plc</v>
      </c>
      <c r="D17" s="90" t="s">
        <v>220</v>
      </c>
      <c r="E17" s="87">
        <f>'CF (Equity, Debt)'!D15</f>
        <v>43968</v>
      </c>
      <c r="F17" s="87" t="str">
        <f t="shared" si="0"/>
        <v>Q2 2020</v>
      </c>
      <c r="G17" s="94">
        <f>'CF (Equity, Debt)'!E15</f>
        <v>-50</v>
      </c>
      <c r="H17" s="94">
        <f>'CF (Equity, Debt)'!F15</f>
        <v>0</v>
      </c>
      <c r="J17" s="83" t="s">
        <v>261</v>
      </c>
      <c r="K17" s="305">
        <f t="shared" si="1"/>
        <v>0</v>
      </c>
      <c r="L17" s="305">
        <f t="shared" si="2"/>
        <v>0.41176499999999999</v>
      </c>
      <c r="M17" s="305">
        <f t="shared" si="3"/>
        <v>0.98965473139999993</v>
      </c>
      <c r="N17" s="305">
        <f t="shared" ca="1" si="4"/>
        <v>1.4014197313999999</v>
      </c>
      <c r="P17" s="83" t="s">
        <v>261</v>
      </c>
      <c r="Q17" s="305">
        <f t="shared" si="5"/>
        <v>0</v>
      </c>
      <c r="R17" s="305">
        <f t="shared" si="6"/>
        <v>0</v>
      </c>
      <c r="S17" s="305">
        <f t="shared" si="7"/>
        <v>0.44505899999999998</v>
      </c>
      <c r="T17" s="305">
        <f t="shared" ca="1" si="8"/>
        <v>0.44505899999999998</v>
      </c>
    </row>
    <row r="18" spans="3:20" x14ac:dyDescent="0.2">
      <c r="C18" s="525" t="str">
        <f>'CF (Equity, Debt)'!C16</f>
        <v>ONT plc</v>
      </c>
      <c r="D18" s="90" t="s">
        <v>220</v>
      </c>
      <c r="E18" s="87">
        <f>'CF (Equity, Debt)'!D16</f>
        <v>44006</v>
      </c>
      <c r="F18" s="87" t="str">
        <f t="shared" si="0"/>
        <v>Q2 2020</v>
      </c>
      <c r="G18" s="94">
        <f>'CF (Equity, Debt)'!E16</f>
        <v>-27.268350856443721</v>
      </c>
      <c r="H18" s="94">
        <f>'CF (Equity, Debt)'!F16</f>
        <v>0</v>
      </c>
      <c r="J18" s="83" t="s">
        <v>262</v>
      </c>
      <c r="K18" s="305">
        <f t="shared" si="1"/>
        <v>48.023703558477429</v>
      </c>
      <c r="L18" s="305">
        <f t="shared" si="2"/>
        <v>0</v>
      </c>
      <c r="M18" s="305">
        <f t="shared" si="3"/>
        <v>11.90173089</v>
      </c>
      <c r="N18" s="305">
        <f t="shared" ca="1" si="4"/>
        <v>59.925434448477432</v>
      </c>
      <c r="P18" s="83" t="s">
        <v>262</v>
      </c>
      <c r="Q18" s="305">
        <f t="shared" si="5"/>
        <v>0</v>
      </c>
      <c r="R18" s="305">
        <f t="shared" si="6"/>
        <v>0</v>
      </c>
      <c r="S18" s="305">
        <f t="shared" si="7"/>
        <v>0.13969399999999998</v>
      </c>
      <c r="T18" s="305">
        <f t="shared" ca="1" si="8"/>
        <v>0.13969399999999998</v>
      </c>
    </row>
    <row r="19" spans="3:20" x14ac:dyDescent="0.2">
      <c r="C19" s="525" t="str">
        <f>'CF (Equity, Debt)'!C17</f>
        <v>ONT plc</v>
      </c>
      <c r="D19" s="90" t="s">
        <v>220</v>
      </c>
      <c r="E19" s="87">
        <f>'CF (Equity, Debt)'!D17</f>
        <v>43837</v>
      </c>
      <c r="F19" s="87" t="str">
        <f t="shared" si="0"/>
        <v>Q1 2020</v>
      </c>
      <c r="G19" s="94">
        <f>'CF (Equity, Debt)'!E17</f>
        <v>-18.109441299619355</v>
      </c>
      <c r="H19" s="94">
        <f>'CF (Equity, Debt)'!F17</f>
        <v>0</v>
      </c>
      <c r="J19" s="83" t="s">
        <v>263</v>
      </c>
      <c r="K19" s="305">
        <f t="shared" si="1"/>
        <v>693.50095620000002</v>
      </c>
      <c r="L19" s="305">
        <f t="shared" si="2"/>
        <v>0</v>
      </c>
      <c r="M19" s="305">
        <f t="shared" si="3"/>
        <v>3.6664358494</v>
      </c>
      <c r="N19" s="305">
        <f t="shared" ca="1" si="4"/>
        <v>697.16739204940006</v>
      </c>
      <c r="P19" s="83" t="s">
        <v>263</v>
      </c>
      <c r="Q19" s="305">
        <f t="shared" si="5"/>
        <v>0</v>
      </c>
      <c r="R19" s="305">
        <f t="shared" si="6"/>
        <v>0</v>
      </c>
      <c r="S19" s="305">
        <f t="shared" si="7"/>
        <v>0</v>
      </c>
      <c r="T19" s="305">
        <f t="shared" ca="1" si="8"/>
        <v>0</v>
      </c>
    </row>
    <row r="20" spans="3:20" x14ac:dyDescent="0.2">
      <c r="C20" s="525" t="str">
        <f>'CF (Equity, Debt)'!C18</f>
        <v>ONT plc</v>
      </c>
      <c r="D20" s="90" t="s">
        <v>220</v>
      </c>
      <c r="E20" s="87">
        <f>'CF (Equity, Debt)'!D18</f>
        <v>43990</v>
      </c>
      <c r="F20" s="87" t="str">
        <f t="shared" si="0"/>
        <v>Q2 2020</v>
      </c>
      <c r="G20" s="94">
        <f>'CF (Equity, Debt)'!E18</f>
        <v>-34.851687094159864</v>
      </c>
      <c r="H20" s="94">
        <f>'CF (Equity, Debt)'!F18</f>
        <v>0</v>
      </c>
      <c r="J20" s="83" t="s">
        <v>264</v>
      </c>
      <c r="K20" s="305">
        <f t="shared" si="1"/>
        <v>112.5</v>
      </c>
      <c r="L20" s="305">
        <f t="shared" si="2"/>
        <v>0</v>
      </c>
      <c r="M20" s="305">
        <f t="shared" si="3"/>
        <v>19.740976</v>
      </c>
      <c r="N20" s="305">
        <f t="shared" ca="1" si="4"/>
        <v>132.24097599999999</v>
      </c>
      <c r="P20" s="83" t="s">
        <v>264</v>
      </c>
      <c r="Q20" s="305">
        <f t="shared" si="5"/>
        <v>5</v>
      </c>
      <c r="R20" s="305">
        <f t="shared" si="6"/>
        <v>0</v>
      </c>
      <c r="S20" s="305">
        <f t="shared" si="7"/>
        <v>0.22778599999999999</v>
      </c>
      <c r="T20" s="305">
        <f t="shared" ca="1" si="8"/>
        <v>5.227786</v>
      </c>
    </row>
    <row r="21" spans="3:20" x14ac:dyDescent="0.2">
      <c r="C21" s="525" t="str">
        <f>'CF (Equity, Debt)'!C19</f>
        <v>ONT plc</v>
      </c>
      <c r="D21" s="90" t="s">
        <v>220</v>
      </c>
      <c r="E21" s="87">
        <f>'CF (Equity, Debt)'!D19</f>
        <v>44315</v>
      </c>
      <c r="F21" s="87" t="str">
        <f t="shared" si="0"/>
        <v>Q2 2021</v>
      </c>
      <c r="G21" s="94">
        <f>'CF (Equity, Debt)'!E19</f>
        <v>-11.240780424143557</v>
      </c>
      <c r="H21" s="94">
        <f>'CF (Equity, Debt)'!F19</f>
        <v>0</v>
      </c>
      <c r="J21" s="83" t="s">
        <v>265</v>
      </c>
      <c r="K21" s="305">
        <f t="shared" si="1"/>
        <v>600</v>
      </c>
      <c r="L21" s="305">
        <f t="shared" si="2"/>
        <v>0</v>
      </c>
      <c r="M21" s="305">
        <f t="shared" si="3"/>
        <v>3.2202683433999999</v>
      </c>
      <c r="N21" s="305">
        <f t="shared" ca="1" si="4"/>
        <v>603.22026834339999</v>
      </c>
      <c r="P21" s="83" t="s">
        <v>265</v>
      </c>
      <c r="Q21" s="305">
        <f t="shared" si="5"/>
        <v>0</v>
      </c>
      <c r="R21" s="305">
        <f t="shared" si="6"/>
        <v>0</v>
      </c>
      <c r="S21" s="305">
        <f t="shared" si="7"/>
        <v>0</v>
      </c>
      <c r="T21" s="305">
        <f t="shared" ca="1" si="8"/>
        <v>0</v>
      </c>
    </row>
    <row r="22" spans="3:20" x14ac:dyDescent="0.2">
      <c r="C22" s="524" t="str">
        <f>'CF (Equity, Debt)'!C20</f>
        <v>Heygears</v>
      </c>
      <c r="D22" s="89" t="s">
        <v>220</v>
      </c>
      <c r="E22" s="85">
        <f>'CF (Equity, Debt)'!D20</f>
        <v>44166</v>
      </c>
      <c r="F22" s="85" t="str">
        <f t="shared" si="0"/>
        <v>Q4 2020</v>
      </c>
      <c r="G22" s="93">
        <f>'CF (Equity, Debt)'!E20</f>
        <v>-60</v>
      </c>
      <c r="H22" s="93">
        <f>'CF (Equity, Debt)'!F20</f>
        <v>0</v>
      </c>
      <c r="J22" s="83" t="s">
        <v>423</v>
      </c>
      <c r="K22" s="305">
        <f t="shared" ref="K22" si="9">-SUMIFS($G$5:$G$111,$D$5:$D$111,$K$5,$F$5:$F$111,J22)</f>
        <v>219.75</v>
      </c>
      <c r="L22" s="305">
        <f t="shared" ref="L22" si="10">-SUMIFS($G$5:$G$111,$D$5:$D$111,$L$5,$F$5:$F$111,J22)</f>
        <v>0</v>
      </c>
      <c r="M22" s="305">
        <f t="shared" ref="M22" si="11">-SUMIFS($G$5:$G$111,$D$5:$D$111,"Fund",$F$5:$F$111,J22)</f>
        <v>3.3882749999999997</v>
      </c>
      <c r="N22" s="305">
        <f t="shared" ca="1" si="4"/>
        <v>223.13827499999999</v>
      </c>
      <c r="P22" s="83" t="s">
        <v>423</v>
      </c>
      <c r="Q22" s="305">
        <f t="shared" ref="Q22" si="12">SUMIFS($H$5:$H$111,$D$5:$D$111,$Q$5,$F$5:$F$111,J22)</f>
        <v>0</v>
      </c>
      <c r="R22" s="305">
        <f t="shared" ref="R22" si="13">SUMIFS($H$5:$H$111,$D$5:$D$111,$R$5,$F$5:$F$111,J22)</f>
        <v>0.47078465000000003</v>
      </c>
      <c r="S22" s="305">
        <f t="shared" ref="S22" si="14">SUMIFS($H$5:$H$111,$D$5:$D$111,$S$5,$F$5:$F$111,J22)</f>
        <v>0</v>
      </c>
      <c r="T22" s="305">
        <f t="shared" ca="1" si="8"/>
        <v>0.47078465000000003</v>
      </c>
    </row>
    <row r="23" spans="3:20" x14ac:dyDescent="0.2">
      <c r="C23" s="525" t="str">
        <f>'CF (Equity, Debt)'!C21</f>
        <v>Jysan Technologies</v>
      </c>
      <c r="D23" s="90" t="s">
        <v>220</v>
      </c>
      <c r="E23" s="87">
        <f>'CF (Equity, Debt)'!D21</f>
        <v>44363</v>
      </c>
      <c r="F23" s="87" t="str">
        <f t="shared" si="0"/>
        <v>Q2 2021</v>
      </c>
      <c r="G23" s="94">
        <f>'CF (Equity, Debt)'!E21</f>
        <v>-20</v>
      </c>
      <c r="H23" s="94">
        <f>'CF (Equity, Debt)'!F21</f>
        <v>0</v>
      </c>
      <c r="J23" s="83" t="s">
        <v>535</v>
      </c>
      <c r="K23" s="305">
        <f t="shared" ref="K23" si="15">-SUMIFS($G$5:$G$111,$D$5:$D$111,$K$5,$F$5:$F$111,J23)</f>
        <v>12.03125</v>
      </c>
      <c r="L23" s="305">
        <f t="shared" ref="L23" si="16">-SUMIFS($G$5:$G$111,$D$5:$D$111,$L$5,$F$5:$F$111,J23)</f>
        <v>0</v>
      </c>
      <c r="M23" s="305">
        <f t="shared" ref="M23" si="17">-SUMIFS($G$5:$G$111,$D$5:$D$111,"Fund",$F$5:$F$111,J23)</f>
        <v>2.6315279999999999</v>
      </c>
      <c r="N23" s="305">
        <f t="shared" ca="1" si="4"/>
        <v>14.662777999999999</v>
      </c>
      <c r="P23" s="83" t="s">
        <v>535</v>
      </c>
      <c r="Q23" s="305">
        <f t="shared" ref="Q23" si="18">SUMIFS($H$5:$H$111,$D$5:$D$111,$Q$5,$F$5:$F$111,J23)</f>
        <v>0</v>
      </c>
      <c r="R23" s="305">
        <f t="shared" ref="R23" si="19">SUMIFS($H$5:$H$111,$D$5:$D$111,$R$5,$F$5:$F$111,J23)</f>
        <v>0</v>
      </c>
      <c r="S23" s="305">
        <f t="shared" ref="S23" si="20">SUMIFS($H$5:$H$111,$D$5:$D$111,$S$5,$F$5:$F$111,J23)</f>
        <v>2.9557743514081998</v>
      </c>
      <c r="T23" s="305">
        <f t="shared" ca="1" si="8"/>
        <v>2.9557743514081998</v>
      </c>
    </row>
    <row r="24" spans="3:20" x14ac:dyDescent="0.2">
      <c r="C24" s="524" t="str">
        <f>'CF (Equity, Debt)'!C22</f>
        <v>Cerebras Systems Inc</v>
      </c>
      <c r="D24" s="89" t="s">
        <v>220</v>
      </c>
      <c r="E24" s="85">
        <f>'CF (Equity, Debt)'!D22</f>
        <v>44488</v>
      </c>
      <c r="F24" s="85" t="str">
        <f t="shared" si="0"/>
        <v>Q4 2021</v>
      </c>
      <c r="G24" s="93">
        <f>'CF (Equity, Debt)'!E22</f>
        <v>-39.999983359999995</v>
      </c>
      <c r="H24" s="93">
        <f>'CF (Equity, Debt)'!F22</f>
        <v>0</v>
      </c>
    </row>
    <row r="25" spans="3:20" x14ac:dyDescent="0.2">
      <c r="C25" s="525" t="str">
        <f>'CF (Equity, Debt)'!C23</f>
        <v>Endless Studios LLC</v>
      </c>
      <c r="D25" s="90" t="s">
        <v>220</v>
      </c>
      <c r="E25" s="87">
        <f>'CF (Equity, Debt)'!D23</f>
        <v>44494</v>
      </c>
      <c r="F25" s="87" t="str">
        <f t="shared" si="0"/>
        <v>Q4 2021</v>
      </c>
      <c r="G25" s="94">
        <f>'CF (Equity, Debt)'!E23</f>
        <v>-3</v>
      </c>
      <c r="H25" s="94">
        <f>'CF (Equity, Debt)'!F23</f>
        <v>0</v>
      </c>
    </row>
    <row r="26" spans="3:20" x14ac:dyDescent="0.2">
      <c r="C26" s="524" t="str">
        <f>'CF (Equity, Debt)'!C24</f>
        <v>Instadeep Limited</v>
      </c>
      <c r="D26" s="89" t="s">
        <v>220</v>
      </c>
      <c r="E26" s="85">
        <f>'CF (Equity, Debt)'!D24</f>
        <v>44550</v>
      </c>
      <c r="F26" s="85" t="str">
        <f t="shared" si="0"/>
        <v>Q4 2021</v>
      </c>
      <c r="G26" s="93">
        <f>'CF (Equity, Debt)'!E24</f>
        <v>-5.0237201984774336</v>
      </c>
      <c r="H26" s="93">
        <f>'CF (Equity, Debt)'!F24</f>
        <v>0</v>
      </c>
      <c r="J26" s="313" t="s">
        <v>76</v>
      </c>
      <c r="K26" s="314">
        <f>SUM(K7:K25)</f>
        <v>2082.7761694328437</v>
      </c>
      <c r="L26" s="314">
        <f t="shared" ref="L26:N26" si="21">SUM(L7:L25)</f>
        <v>10.765747000000001</v>
      </c>
      <c r="M26" s="314">
        <f t="shared" si="21"/>
        <v>144.20489059414115</v>
      </c>
      <c r="N26" s="314">
        <f t="shared" ca="1" si="21"/>
        <v>2237.7468070269852</v>
      </c>
      <c r="P26" s="313" t="s">
        <v>76</v>
      </c>
      <c r="Q26" s="314">
        <f t="shared" ref="Q26:T26" si="22">SUM(Q7:Q25)</f>
        <v>5</v>
      </c>
      <c r="R26" s="314">
        <f t="shared" si="22"/>
        <v>0.47078465000000003</v>
      </c>
      <c r="S26" s="314">
        <f t="shared" si="22"/>
        <v>4.4275637014082001</v>
      </c>
      <c r="T26" s="314">
        <f t="shared" ca="1" si="22"/>
        <v>9.8983483514081989</v>
      </c>
    </row>
    <row r="27" spans="3:20" x14ac:dyDescent="0.2">
      <c r="C27" s="525" t="str">
        <f>'CF (Equity, Debt)'!C25</f>
        <v>X-fusion</v>
      </c>
      <c r="D27" s="90" t="s">
        <v>220</v>
      </c>
      <c r="E27" s="87">
        <f>'CF (Equity, Debt)'!D25</f>
        <v>44574</v>
      </c>
      <c r="F27" s="87" t="str">
        <f t="shared" si="0"/>
        <v>Q1 2022</v>
      </c>
      <c r="G27" s="94">
        <f>'CF (Equity, Debt)'!E25</f>
        <v>-493.50095619999996</v>
      </c>
      <c r="H27" s="94">
        <f>'CF (Equity, Debt)'!F25</f>
        <v>0</v>
      </c>
      <c r="J27" s="88"/>
      <c r="K27" s="88"/>
      <c r="L27" s="88"/>
      <c r="Q27" s="88"/>
      <c r="R27" s="88"/>
      <c r="S27" s="88"/>
    </row>
    <row r="28" spans="3:20" x14ac:dyDescent="0.2">
      <c r="C28" s="524" t="str">
        <f>'CF (Equity, Debt)'!C26</f>
        <v>DriveNets</v>
      </c>
      <c r="D28" s="89" t="s">
        <v>220</v>
      </c>
      <c r="E28" s="85">
        <f>'CF (Equity, Debt)'!D26</f>
        <v>44643</v>
      </c>
      <c r="F28" s="85" t="str">
        <f t="shared" si="0"/>
        <v>Q1 2022</v>
      </c>
      <c r="G28" s="93">
        <f>'CF (Equity, Debt)'!E26</f>
        <v>-200</v>
      </c>
      <c r="H28" s="93">
        <f>'CF (Equity, Debt)'!F26</f>
        <v>0</v>
      </c>
      <c r="Q28" s="83" t="b">
        <f>Q21=0</f>
        <v>1</v>
      </c>
      <c r="R28" s="83" t="b">
        <f>R21=0</f>
        <v>1</v>
      </c>
      <c r="S28" s="83" t="b">
        <f>S21=0</f>
        <v>1</v>
      </c>
      <c r="T28" s="83" t="b">
        <f ca="1">T21=0</f>
        <v>1</v>
      </c>
    </row>
    <row r="29" spans="3:20" x14ac:dyDescent="0.2">
      <c r="C29" s="524" t="str">
        <f>'CF (Equity, Debt)'!C27</f>
        <v>DriveNets</v>
      </c>
      <c r="D29" s="89" t="s">
        <v>220</v>
      </c>
      <c r="E29" s="85">
        <f>'CF (Equity, Debt)'!D27</f>
        <v>44680</v>
      </c>
      <c r="F29" s="85" t="str">
        <f t="shared" si="0"/>
        <v>Q2 2022</v>
      </c>
      <c r="G29" s="93">
        <f>'CF (Equity, Debt)'!E27</f>
        <v>-100</v>
      </c>
      <c r="H29" s="93">
        <f>'CF (Equity, Debt)'!F27</f>
        <v>0</v>
      </c>
    </row>
    <row r="30" spans="3:20" x14ac:dyDescent="0.2">
      <c r="C30" s="525" t="str">
        <f>'CF (Equity, Debt)'!C28</f>
        <v xml:space="preserve">Esyasoft Holding </v>
      </c>
      <c r="D30" s="90" t="s">
        <v>220</v>
      </c>
      <c r="E30" s="87">
        <f>'CF (Equity, Debt)'!D28</f>
        <v>44691</v>
      </c>
      <c r="F30" s="87" t="str">
        <f t="shared" si="0"/>
        <v>Q2 2022</v>
      </c>
      <c r="G30" s="94">
        <f>'CF (Equity, Debt)'!E28</f>
        <v>0</v>
      </c>
      <c r="H30" s="94">
        <f>'CF (Equity, Debt)'!F28</f>
        <v>5</v>
      </c>
    </row>
    <row r="31" spans="3:20" x14ac:dyDescent="0.2">
      <c r="C31" s="525" t="str">
        <f>'CF (Equity, Debt)'!C29</f>
        <v>vTv Therapeutics Inc.</v>
      </c>
      <c r="D31" s="90" t="s">
        <v>220</v>
      </c>
      <c r="E31" s="87">
        <f>'CF (Equity, Debt)'!D29</f>
        <v>44712</v>
      </c>
      <c r="F31" s="87" t="str">
        <f t="shared" si="0"/>
        <v>Q2 2022</v>
      </c>
      <c r="G31" s="94">
        <f>'CF (Equity, Debt)'!E29</f>
        <v>-12.5</v>
      </c>
      <c r="H31" s="94">
        <f>'CF (Equity, Debt)'!F29</f>
        <v>0</v>
      </c>
    </row>
    <row r="32" spans="3:20" x14ac:dyDescent="0.2">
      <c r="C32" s="524" t="str">
        <f>'CF (Equity, Debt)'!C30</f>
        <v>Honor Device Co Ltd</v>
      </c>
      <c r="D32" s="89" t="s">
        <v>220</v>
      </c>
      <c r="E32" s="85">
        <f>'CF (Equity, Debt)'!D30</f>
        <v>44769</v>
      </c>
      <c r="F32" s="85" t="str">
        <f t="shared" si="0"/>
        <v>Q3 2022</v>
      </c>
      <c r="G32" s="93">
        <f>'CF (Equity, Debt)'!E30</f>
        <v>-600</v>
      </c>
      <c r="H32" s="93">
        <f>'CF (Equity, Debt)'!F30</f>
        <v>0</v>
      </c>
    </row>
    <row r="33" spans="2:8" x14ac:dyDescent="0.2">
      <c r="C33" s="524" t="str">
        <f>'CF (Equity, Debt)'!C31</f>
        <v>Honor Device Co Ltd</v>
      </c>
      <c r="D33" s="89" t="s">
        <v>220</v>
      </c>
      <c r="E33" s="85">
        <f>'CF (Equity, Debt)'!D31</f>
        <v>44849</v>
      </c>
      <c r="F33" s="85" t="str">
        <f t="shared" ref="F33" si="23">"Q"&amp;ROUNDUP(MONTH(E33)/3,0)&amp;" "&amp;YEAR(E33)</f>
        <v>Q4 2022</v>
      </c>
      <c r="G33" s="93">
        <f>'CF (Equity, Debt)'!E31</f>
        <v>-200</v>
      </c>
      <c r="H33" s="93">
        <f>'CF (Equity, Debt)'!F31</f>
        <v>0</v>
      </c>
    </row>
    <row r="34" spans="2:8" x14ac:dyDescent="0.2">
      <c r="C34" s="525" t="str">
        <f>'CF (Equity, Debt)'!C32</f>
        <v>Applied AI Corporation Limited</v>
      </c>
      <c r="D34" s="90" t="s">
        <v>220</v>
      </c>
      <c r="E34" s="87">
        <f>'CF (Equity, Debt)'!D32</f>
        <v>44861</v>
      </c>
      <c r="F34" s="87" t="str">
        <f t="shared" si="0"/>
        <v>Q4 2022</v>
      </c>
      <c r="G34" s="94">
        <f>'CF (Equity, Debt)'!E32</f>
        <v>-4.75</v>
      </c>
      <c r="H34" s="94">
        <f>'CF (Equity, Debt)'!F32</f>
        <v>0</v>
      </c>
    </row>
    <row r="35" spans="2:8" x14ac:dyDescent="0.2">
      <c r="C35" s="524" t="str">
        <f>'CF (Equity, Debt)'!C33</f>
        <v xml:space="preserve">eSpace </v>
      </c>
      <c r="D35" s="89" t="s">
        <v>220</v>
      </c>
      <c r="E35" s="85">
        <f>'CF (Equity, Debt)'!D33</f>
        <v>44892</v>
      </c>
      <c r="F35" s="85" t="str">
        <f t="shared" ref="F35" si="24">"Q"&amp;ROUNDUP(MONTH(E35)/3,0)&amp;" "&amp;YEAR(E35)</f>
        <v>Q4 2022</v>
      </c>
      <c r="G35" s="93">
        <f>'CF (Equity, Debt)'!E33</f>
        <v>-15</v>
      </c>
      <c r="H35" s="93">
        <f>'CF (Equity, Debt)'!F33</f>
        <v>0</v>
      </c>
    </row>
    <row r="36" spans="2:8" x14ac:dyDescent="0.2">
      <c r="C36" s="524" t="str">
        <f>'CF (Equity, Debt)'!C34</f>
        <v>vTv Therapeutics Inc.</v>
      </c>
      <c r="D36" s="89" t="s">
        <v>220</v>
      </c>
      <c r="E36" s="85">
        <f>'CF (Equity, Debt)'!D34</f>
        <v>44985</v>
      </c>
      <c r="F36" s="85" t="str">
        <f t="shared" ref="F36" si="25">"Q"&amp;ROUNDUP(MONTH(E36)/3,0)&amp;" "&amp;YEAR(E36)</f>
        <v>Q1 2023</v>
      </c>
      <c r="G36" s="93">
        <f>'CF (Equity, Debt)'!E34</f>
        <v>-12.03125</v>
      </c>
      <c r="H36" s="93">
        <f>'CF (Equity, Debt)'!F34</f>
        <v>0</v>
      </c>
    </row>
    <row r="37" spans="2:8" x14ac:dyDescent="0.2">
      <c r="C37" s="524"/>
      <c r="D37" s="89"/>
      <c r="E37" s="85"/>
      <c r="F37" s="85"/>
      <c r="G37" s="93"/>
      <c r="H37" s="93"/>
    </row>
    <row r="38" spans="2:8" x14ac:dyDescent="0.2">
      <c r="B38" s="602" t="s">
        <v>53</v>
      </c>
      <c r="C38" s="598"/>
      <c r="D38" s="599"/>
      <c r="E38" s="600"/>
      <c r="F38" s="600"/>
      <c r="G38" s="601"/>
      <c r="H38" s="601"/>
    </row>
    <row r="39" spans="2:8" x14ac:dyDescent="0.2">
      <c r="C39" s="526" t="str">
        <f>'CF (Equity, Debt)'!C37</f>
        <v xml:space="preserve">Glass Earth Holdings LLC </v>
      </c>
      <c r="D39" s="303" t="s">
        <v>53</v>
      </c>
      <c r="E39" s="492">
        <f>'CF (Equity, Debt)'!D37</f>
        <v>43635</v>
      </c>
      <c r="F39" s="304" t="str">
        <f t="shared" ref="F39:F55" si="26">"Q"&amp;ROUNDUP(MONTH(E39)/3,0)&amp;" "&amp;YEAR(E39)</f>
        <v>Q2 2019</v>
      </c>
      <c r="G39" s="305">
        <f>'CF (Equity, Debt)'!E37</f>
        <v>-8</v>
      </c>
      <c r="H39" s="305">
        <f>'CF (Equity, Debt)'!F37</f>
        <v>0</v>
      </c>
    </row>
    <row r="40" spans="2:8" x14ac:dyDescent="0.2">
      <c r="C40" s="526" t="str">
        <f>'CF (Equity, Debt)'!C38</f>
        <v>Mena Mobile Inc (Debt)</v>
      </c>
      <c r="D40" s="303" t="s">
        <v>53</v>
      </c>
      <c r="E40" s="492">
        <f>'CF (Equity, Debt)'!D38</f>
        <v>44293</v>
      </c>
      <c r="F40" s="304" t="str">
        <f t="shared" si="26"/>
        <v>Q2 2021</v>
      </c>
      <c r="G40" s="305">
        <f>'CF (Equity, Debt)'!E38</f>
        <v>-2.3539819999999998</v>
      </c>
      <c r="H40" s="305">
        <f>'CF (Equity, Debt)'!F38</f>
        <v>0</v>
      </c>
    </row>
    <row r="41" spans="2:8" x14ac:dyDescent="0.2">
      <c r="C41" s="526" t="str">
        <f>'CF (Equity, Debt)'!C39</f>
        <v>Esyasoft Holding (Debt)</v>
      </c>
      <c r="D41" s="303" t="s">
        <v>53</v>
      </c>
      <c r="E41" s="492">
        <f>'CF (Equity, Debt)'!D39</f>
        <v>44384</v>
      </c>
      <c r="F41" s="304" t="str">
        <f t="shared" si="26"/>
        <v>Q3 2021</v>
      </c>
      <c r="G41" s="305">
        <f>'CF (Equity, Debt)'!E39</f>
        <v>-0.41176499999999999</v>
      </c>
      <c r="H41" s="305">
        <f>'CF (Equity, Debt)'!F39</f>
        <v>0</v>
      </c>
    </row>
    <row r="42" spans="2:8" x14ac:dyDescent="0.2">
      <c r="C42" s="526" t="str">
        <f>'CF (Equity, Debt)'!C40</f>
        <v>Esyasoft Holding (Debt)</v>
      </c>
      <c r="D42" s="303" t="s">
        <v>53</v>
      </c>
      <c r="E42" s="492">
        <f>'CF (Equity, Debt)'!D40</f>
        <v>44902</v>
      </c>
      <c r="F42" s="304" t="str">
        <f t="shared" ref="F42" si="27">"Q"&amp;ROUNDUP(MONTH(E42)/3,0)&amp;" "&amp;YEAR(E42)</f>
        <v>Q4 2022</v>
      </c>
      <c r="G42" s="305">
        <f>'CF (Equity, Debt)'!E40</f>
        <v>0</v>
      </c>
      <c r="H42" s="305">
        <f>'CF (Equity, Debt)'!F40</f>
        <v>0.47078465000000003</v>
      </c>
    </row>
    <row r="43" spans="2:8" x14ac:dyDescent="0.2">
      <c r="B43" s="602" t="s">
        <v>452</v>
      </c>
      <c r="C43" s="598"/>
      <c r="D43" s="599"/>
      <c r="E43" s="600"/>
      <c r="F43" s="600"/>
      <c r="G43" s="601"/>
      <c r="H43" s="601"/>
    </row>
    <row r="44" spans="2:8" x14ac:dyDescent="0.2">
      <c r="C44" s="526" t="str">
        <f>'CF (Funds)'!B3</f>
        <v>Sinovation Disrupt Fund, L.P.</v>
      </c>
      <c r="D44" s="303" t="s">
        <v>63</v>
      </c>
      <c r="E44" s="492">
        <f>'CF (Funds)'!C3</f>
        <v>44153</v>
      </c>
      <c r="F44" s="303" t="str">
        <f t="shared" si="26"/>
        <v>Q4 2020</v>
      </c>
      <c r="G44" s="305">
        <f>'CF (Funds)'!D3</f>
        <v>-10.5</v>
      </c>
      <c r="H44" s="305">
        <f>'CF (Funds)'!E3</f>
        <v>0</v>
      </c>
    </row>
    <row r="45" spans="2:8" x14ac:dyDescent="0.2">
      <c r="C45" s="526" t="str">
        <f>'CF (Funds)'!B4</f>
        <v>Sinovation Disrupt Fund, L.P.</v>
      </c>
      <c r="D45" s="303" t="s">
        <v>63</v>
      </c>
      <c r="E45" s="492">
        <f>'CF (Funds)'!C4</f>
        <v>44238</v>
      </c>
      <c r="F45" s="304" t="str">
        <f t="shared" si="26"/>
        <v>Q1 2021</v>
      </c>
      <c r="G45" s="305">
        <f>'CF (Funds)'!D4</f>
        <v>4.2140269999999997</v>
      </c>
      <c r="H45" s="305">
        <f>'CF (Funds)'!E4</f>
        <v>0</v>
      </c>
    </row>
    <row r="46" spans="2:8" x14ac:dyDescent="0.2">
      <c r="C46" s="526" t="str">
        <f>'CF (Funds)'!B5</f>
        <v>Sinovation Disrupt Fund, L.P.</v>
      </c>
      <c r="D46" s="303" t="s">
        <v>63</v>
      </c>
      <c r="E46" s="492">
        <f>'CF (Funds)'!C5</f>
        <v>44238</v>
      </c>
      <c r="F46" s="304" t="str">
        <f t="shared" si="26"/>
        <v>Q1 2021</v>
      </c>
      <c r="G46" s="305">
        <f>'CF (Funds)'!D5</f>
        <v>0</v>
      </c>
      <c r="H46" s="305">
        <f>'CF (Funds)'!E5</f>
        <v>5.0448349999999996E-2</v>
      </c>
    </row>
    <row r="47" spans="2:8" x14ac:dyDescent="0.2">
      <c r="C47" s="526" t="str">
        <f>'CF (Funds)'!B6</f>
        <v>Sinovation Disrupt Fund, L.P.</v>
      </c>
      <c r="D47" s="303" t="s">
        <v>63</v>
      </c>
      <c r="E47" s="492">
        <f>'CF (Funds)'!C6</f>
        <v>44285</v>
      </c>
      <c r="F47" s="304" t="str">
        <f t="shared" si="26"/>
        <v>Q1 2021</v>
      </c>
      <c r="G47" s="305">
        <f>'CF (Funds)'!D6</f>
        <v>-6.4337459999999993</v>
      </c>
      <c r="H47" s="305">
        <f>'CF (Funds)'!E6</f>
        <v>0</v>
      </c>
    </row>
    <row r="48" spans="2:8" x14ac:dyDescent="0.2">
      <c r="C48" s="526" t="str">
        <f>'CF (Funds)'!B7</f>
        <v>Sinovation Disrupt Fund, L.P.</v>
      </c>
      <c r="D48" s="303" t="s">
        <v>63</v>
      </c>
      <c r="E48" s="492">
        <f>'CF (Funds)'!C7</f>
        <v>44269</v>
      </c>
      <c r="F48" s="304" t="str">
        <f t="shared" si="26"/>
        <v>Q1 2021</v>
      </c>
      <c r="G48" s="305">
        <f>'CF (Funds)'!D7</f>
        <v>1.1352073899999999</v>
      </c>
      <c r="H48" s="305">
        <f>'CF (Funds)'!E7</f>
        <v>0</v>
      </c>
    </row>
    <row r="49" spans="3:8" x14ac:dyDescent="0.2">
      <c r="C49" s="526" t="str">
        <f>'CF (Funds)'!B8</f>
        <v>Sinovation Disrupt Fund, L.P.</v>
      </c>
      <c r="D49" s="303" t="s">
        <v>63</v>
      </c>
      <c r="E49" s="492">
        <f>'CF (Funds)'!C8</f>
        <v>44269</v>
      </c>
      <c r="F49" s="304" t="str">
        <f t="shared" si="26"/>
        <v>Q1 2021</v>
      </c>
      <c r="G49" s="305">
        <f>'CF (Funds)'!D8</f>
        <v>0</v>
      </c>
      <c r="H49" s="305">
        <f>'CF (Funds)'!E8</f>
        <v>2.5899999999999999E-2</v>
      </c>
    </row>
    <row r="50" spans="3:8" x14ac:dyDescent="0.2">
      <c r="C50" s="526" t="str">
        <f>'CF (Funds)'!B9</f>
        <v>Sinovation Disrupt Fund, L.P.</v>
      </c>
      <c r="D50" s="303" t="s">
        <v>63</v>
      </c>
      <c r="E50" s="492">
        <f>'CF (Funds)'!C9</f>
        <v>44483</v>
      </c>
      <c r="F50" s="304" t="str">
        <f t="shared" si="26"/>
        <v>Q4 2021</v>
      </c>
      <c r="G50" s="305">
        <f>'CF (Funds)'!D9</f>
        <v>-7.5671379999999999</v>
      </c>
      <c r="H50" s="305">
        <f>'CF (Funds)'!E9</f>
        <v>0</v>
      </c>
    </row>
    <row r="51" spans="3:8" x14ac:dyDescent="0.2">
      <c r="C51" s="526" t="str">
        <f>'CF (Funds)'!B10</f>
        <v>Sinovation Disrupt Fund, L.P.</v>
      </c>
      <c r="D51" s="303" t="s">
        <v>63</v>
      </c>
      <c r="E51" s="492">
        <f>'CF (Funds)'!C10</f>
        <v>44554</v>
      </c>
      <c r="F51" s="304" t="str">
        <f t="shared" si="26"/>
        <v>Q4 2021</v>
      </c>
      <c r="G51" s="305">
        <f>'CF (Funds)'!D10</f>
        <v>-7.3850159999999994</v>
      </c>
      <c r="H51" s="305">
        <f>'CF (Funds)'!E10</f>
        <v>0</v>
      </c>
    </row>
    <row r="52" spans="3:8" x14ac:dyDescent="0.2">
      <c r="C52" s="526" t="str">
        <f>'CF (Funds)'!B11</f>
        <v>Sinovation Disrupt Fund, L.P.</v>
      </c>
      <c r="D52" s="303" t="s">
        <v>63</v>
      </c>
      <c r="E52" s="492">
        <f>'CF (Funds)'!C11</f>
        <v>44554</v>
      </c>
      <c r="F52" s="304" t="str">
        <f t="shared" si="26"/>
        <v>Q4 2021</v>
      </c>
      <c r="G52" s="305">
        <f>'CF (Funds)'!D11</f>
        <v>4.0733456099999996</v>
      </c>
      <c r="H52" s="305">
        <f>'CF (Funds)'!E11</f>
        <v>0</v>
      </c>
    </row>
    <row r="53" spans="3:8" x14ac:dyDescent="0.2">
      <c r="C53" s="526" t="str">
        <f>'CF (Funds)'!B12</f>
        <v>Sinovation Disrupt Fund, L.P.</v>
      </c>
      <c r="D53" s="303" t="s">
        <v>63</v>
      </c>
      <c r="E53" s="492">
        <f>'CF (Funds)'!C12</f>
        <v>44554</v>
      </c>
      <c r="F53" s="304" t="str">
        <f t="shared" si="26"/>
        <v>Q4 2021</v>
      </c>
      <c r="G53" s="305">
        <f>'CF (Funds)'!D12</f>
        <v>0</v>
      </c>
      <c r="H53" s="305">
        <f>'CF (Funds)'!E12</f>
        <v>0.13969399999999998</v>
      </c>
    </row>
    <row r="54" spans="3:8" x14ac:dyDescent="0.2">
      <c r="C54" s="526" t="str">
        <f>'CF (Funds)'!B13</f>
        <v>Sinovation Disrupt Fund, L.P.</v>
      </c>
      <c r="D54" s="303" t="s">
        <v>63</v>
      </c>
      <c r="E54" s="492">
        <f>'CF (Funds)'!C13</f>
        <v>44703</v>
      </c>
      <c r="F54" s="304" t="str">
        <f t="shared" si="26"/>
        <v>Q2 2022</v>
      </c>
      <c r="G54" s="305">
        <f>'CF (Funds)'!D13</f>
        <v>5.6730739999999997</v>
      </c>
      <c r="H54" s="305">
        <f>'CF (Funds)'!E13</f>
        <v>0</v>
      </c>
    </row>
    <row r="55" spans="3:8" x14ac:dyDescent="0.2">
      <c r="C55" s="526" t="str">
        <f>'CF (Funds)'!B14</f>
        <v>Sinovation Disrupt Fund, L.P.</v>
      </c>
      <c r="D55" s="303" t="s">
        <v>63</v>
      </c>
      <c r="E55" s="492">
        <f>'CF (Funds)'!C14</f>
        <v>44703</v>
      </c>
      <c r="F55" s="304" t="str">
        <f t="shared" si="26"/>
        <v>Q2 2022</v>
      </c>
      <c r="G55" s="305">
        <f>'CF (Funds)'!D14</f>
        <v>0</v>
      </c>
      <c r="H55" s="305">
        <f>'CF (Funds)'!E14</f>
        <v>0.22778599999999999</v>
      </c>
    </row>
    <row r="56" spans="3:8" x14ac:dyDescent="0.2">
      <c r="C56" s="526" t="str">
        <f>'CF (Funds)'!B15</f>
        <v>Sinovation Disrupt Fund, L.P.</v>
      </c>
      <c r="D56" s="303" t="s">
        <v>63</v>
      </c>
      <c r="E56" s="492">
        <f>'CF (Funds)'!C15</f>
        <v>44776</v>
      </c>
      <c r="F56" s="304" t="str">
        <f t="shared" ref="F56" si="28">"Q"&amp;ROUNDUP(MONTH(E56)/3,0)&amp;" "&amp;YEAR(E56)</f>
        <v>Q3 2022</v>
      </c>
      <c r="G56" s="305">
        <f>'CF (Funds)'!D15</f>
        <v>-3.235493</v>
      </c>
      <c r="H56" s="305">
        <f>'CF (Funds)'!E15</f>
        <v>0</v>
      </c>
    </row>
    <row r="57" spans="3:8" x14ac:dyDescent="0.2">
      <c r="C57" s="526" t="str">
        <f>'CF (Funds)'!B16</f>
        <v>Sinovation Disrupt Fund, L.P.</v>
      </c>
      <c r="D57" s="303" t="s">
        <v>63</v>
      </c>
      <c r="E57" s="492">
        <f>'CF (Funds)'!C16</f>
        <v>44960</v>
      </c>
      <c r="F57" s="304" t="str">
        <f t="shared" ref="F57" si="29">"Q"&amp;ROUNDUP(MONTH(E57)/3,0)&amp;" "&amp;YEAR(E57)</f>
        <v>Q1 2023</v>
      </c>
      <c r="G57" s="305">
        <f>'CF (Funds)'!D16</f>
        <v>-2.6315279999999999</v>
      </c>
      <c r="H57" s="305">
        <f>'CF (Funds)'!E16</f>
        <v>0</v>
      </c>
    </row>
    <row r="58" spans="3:8" x14ac:dyDescent="0.2">
      <c r="C58" s="306" t="str">
        <f>'CF (Funds)'!B17</f>
        <v>North Summit Capital Fund</v>
      </c>
      <c r="D58" s="307" t="s">
        <v>63</v>
      </c>
      <c r="E58" s="491">
        <f>'CF (Funds)'!C17</f>
        <v>43665</v>
      </c>
      <c r="F58" s="308" t="str">
        <f t="shared" ref="F58:F76" si="30">"Q"&amp;ROUNDUP(MONTH(E58)/3,0)&amp;" "&amp;YEAR(E58)</f>
        <v>Q3 2019</v>
      </c>
      <c r="G58" s="309">
        <f>'CF (Funds)'!D17</f>
        <v>-3</v>
      </c>
      <c r="H58" s="309">
        <f>'CF (Funds)'!E17</f>
        <v>0</v>
      </c>
    </row>
    <row r="59" spans="3:8" x14ac:dyDescent="0.2">
      <c r="C59" s="306" t="str">
        <f>'CF (Funds)'!B18</f>
        <v>North Summit Capital Fund</v>
      </c>
      <c r="D59" s="307" t="s">
        <v>63</v>
      </c>
      <c r="E59" s="491">
        <f>'CF (Funds)'!C18</f>
        <v>43983</v>
      </c>
      <c r="F59" s="308" t="str">
        <f t="shared" si="30"/>
        <v>Q2 2020</v>
      </c>
      <c r="G59" s="309">
        <f>'CF (Funds)'!D18</f>
        <v>-4.4849999999999994</v>
      </c>
      <c r="H59" s="309">
        <f>'CF (Funds)'!E18</f>
        <v>0</v>
      </c>
    </row>
    <row r="60" spans="3:8" x14ac:dyDescent="0.2">
      <c r="C60" s="306" t="str">
        <f>'CF (Funds)'!B19</f>
        <v>North Summit Capital Fund</v>
      </c>
      <c r="D60" s="307" t="s">
        <v>63</v>
      </c>
      <c r="E60" s="491">
        <f>'CF (Funds)'!C19</f>
        <v>43879</v>
      </c>
      <c r="F60" s="308" t="str">
        <f t="shared" si="30"/>
        <v>Q1 2020</v>
      </c>
      <c r="G60" s="309">
        <f>'CF (Funds)'!D19</f>
        <v>-9.5097500000000004</v>
      </c>
      <c r="H60" s="309">
        <f>'CF (Funds)'!E19</f>
        <v>0</v>
      </c>
    </row>
    <row r="61" spans="3:8" x14ac:dyDescent="0.2">
      <c r="C61" s="306" t="str">
        <f>'CF (Funds)'!B20</f>
        <v>North Summit Capital Fund</v>
      </c>
      <c r="D61" s="307" t="s">
        <v>63</v>
      </c>
      <c r="E61" s="491">
        <f>'CF (Funds)'!C20</f>
        <v>43934</v>
      </c>
      <c r="F61" s="308" t="str">
        <f t="shared" si="30"/>
        <v>Q2 2020</v>
      </c>
      <c r="G61" s="309">
        <f>'CF (Funds)'!D20</f>
        <v>-41.3</v>
      </c>
      <c r="H61" s="309">
        <f>'CF (Funds)'!E20</f>
        <v>0</v>
      </c>
    </row>
    <row r="62" spans="3:8" x14ac:dyDescent="0.2">
      <c r="C62" s="306" t="str">
        <f>'CF (Funds)'!B21</f>
        <v>North Summit Capital Fund</v>
      </c>
      <c r="D62" s="307" t="s">
        <v>63</v>
      </c>
      <c r="E62" s="491">
        <f>'CF (Funds)'!C21</f>
        <v>44151</v>
      </c>
      <c r="F62" s="308" t="str">
        <f t="shared" si="30"/>
        <v>Q4 2020</v>
      </c>
      <c r="G62" s="309">
        <f>'CF (Funds)'!D21</f>
        <v>9.9499999999999993</v>
      </c>
      <c r="H62" s="309">
        <f>'CF (Funds)'!E21</f>
        <v>0</v>
      </c>
    </row>
    <row r="63" spans="3:8" x14ac:dyDescent="0.2">
      <c r="C63" s="306" t="str">
        <f>'CF (Funds)'!B22</f>
        <v>North Summit Capital Fund</v>
      </c>
      <c r="D63" s="307" t="s">
        <v>63</v>
      </c>
      <c r="E63" s="491">
        <f>'CF (Funds)'!C22</f>
        <v>44151</v>
      </c>
      <c r="F63" s="308" t="str">
        <f t="shared" si="30"/>
        <v>Q4 2020</v>
      </c>
      <c r="G63" s="309">
        <f>'CF (Funds)'!D22</f>
        <v>-10.455</v>
      </c>
      <c r="H63" s="309">
        <f>'CF (Funds)'!E22</f>
        <v>0</v>
      </c>
    </row>
    <row r="64" spans="3:8" x14ac:dyDescent="0.2">
      <c r="C64" s="306" t="str">
        <f>'CF (Funds)'!B23</f>
        <v>North Summit Capital Fund</v>
      </c>
      <c r="D64" s="307" t="s">
        <v>63</v>
      </c>
      <c r="E64" s="491">
        <f>'CF (Funds)'!C23</f>
        <v>44196</v>
      </c>
      <c r="F64" s="308" t="str">
        <f t="shared" si="30"/>
        <v>Q4 2020</v>
      </c>
      <c r="G64" s="309">
        <f>'CF (Funds)'!D23</f>
        <v>4.9749999999999996</v>
      </c>
      <c r="H64" s="309">
        <f>'CF (Funds)'!E23</f>
        <v>0</v>
      </c>
    </row>
    <row r="65" spans="3:8" x14ac:dyDescent="0.2">
      <c r="C65" s="306" t="str">
        <f>'CF (Funds)'!B24</f>
        <v>North Summit Capital Fund</v>
      </c>
      <c r="D65" s="307" t="s">
        <v>63</v>
      </c>
      <c r="E65" s="491">
        <f>'CF (Funds)'!C24</f>
        <v>44196</v>
      </c>
      <c r="F65" s="308" t="str">
        <f t="shared" si="30"/>
        <v>Q4 2020</v>
      </c>
      <c r="G65" s="309">
        <f>'CF (Funds)'!D24</f>
        <v>-3.4522930000000001</v>
      </c>
      <c r="H65" s="309">
        <f>'CF (Funds)'!E24</f>
        <v>0</v>
      </c>
    </row>
    <row r="66" spans="3:8" x14ac:dyDescent="0.2">
      <c r="C66" s="306" t="str">
        <f>'CF (Funds)'!B25</f>
        <v>North Summit Capital Fund</v>
      </c>
      <c r="D66" s="307" t="s">
        <v>63</v>
      </c>
      <c r="E66" s="491">
        <f>'CF (Funds)'!C25</f>
        <v>44196</v>
      </c>
      <c r="F66" s="308" t="str">
        <f t="shared" si="30"/>
        <v>Q4 2020</v>
      </c>
      <c r="G66" s="309">
        <f>'CF (Funds)'!D25</f>
        <v>0</v>
      </c>
      <c r="H66" s="309">
        <f>'CF (Funds)'!E25</f>
        <v>0.58290199999999992</v>
      </c>
    </row>
    <row r="67" spans="3:8" x14ac:dyDescent="0.2">
      <c r="C67" s="306" t="str">
        <f>'CF (Funds)'!B26</f>
        <v>North Summit Capital Fund</v>
      </c>
      <c r="D67" s="307" t="s">
        <v>63</v>
      </c>
      <c r="E67" s="491">
        <f>'CF (Funds)'!C26</f>
        <v>44370</v>
      </c>
      <c r="F67" s="308" t="str">
        <f t="shared" si="30"/>
        <v>Q2 2021</v>
      </c>
      <c r="G67" s="309">
        <f>'CF (Funds)'!D26</f>
        <v>-5.97</v>
      </c>
      <c r="H67" s="309">
        <f>'CF (Funds)'!E26</f>
        <v>0</v>
      </c>
    </row>
    <row r="68" spans="3:8" x14ac:dyDescent="0.2">
      <c r="C68" s="306" t="str">
        <f>'CF (Funds)'!B27</f>
        <v>North Summit Capital Fund</v>
      </c>
      <c r="D68" s="307" t="s">
        <v>63</v>
      </c>
      <c r="E68" s="491">
        <f>'CF (Funds)'!C27</f>
        <v>44400</v>
      </c>
      <c r="F68" s="308" t="str">
        <f t="shared" si="30"/>
        <v>Q3 2021</v>
      </c>
      <c r="G68" s="309">
        <f>'CF (Funds)'!D27</f>
        <v>-0.75</v>
      </c>
      <c r="H68" s="309">
        <f>'CF (Funds)'!E27</f>
        <v>0</v>
      </c>
    </row>
    <row r="69" spans="3:8" x14ac:dyDescent="0.2">
      <c r="C69" s="306" t="str">
        <f>'CF (Funds)'!B28</f>
        <v>North Summit Capital Fund</v>
      </c>
      <c r="D69" s="307" t="s">
        <v>63</v>
      </c>
      <c r="E69" s="491">
        <f>'CF (Funds)'!C28</f>
        <v>44400</v>
      </c>
      <c r="F69" s="308" t="str">
        <f t="shared" si="30"/>
        <v>Q3 2021</v>
      </c>
      <c r="G69" s="309">
        <f>'CF (Funds)'!D28</f>
        <v>0</v>
      </c>
      <c r="H69" s="309">
        <f>'CF (Funds)'!E28</f>
        <v>0.44505899999999998</v>
      </c>
    </row>
    <row r="70" spans="3:8" x14ac:dyDescent="0.2">
      <c r="C70" s="306" t="str">
        <f>'CF (Funds)'!B29</f>
        <v>North Summit Capital Fund</v>
      </c>
      <c r="D70" s="307" t="s">
        <v>63</v>
      </c>
      <c r="E70" s="491">
        <f>'CF (Funds)'!C29</f>
        <v>44554</v>
      </c>
      <c r="F70" s="308" t="str">
        <f t="shared" si="30"/>
        <v>Q4 2021</v>
      </c>
      <c r="G70" s="309">
        <f>'CF (Funds)'!D29</f>
        <v>1.7823899999999999</v>
      </c>
      <c r="H70" s="309">
        <f>'CF (Funds)'!E29</f>
        <v>0</v>
      </c>
    </row>
    <row r="71" spans="3:8" x14ac:dyDescent="0.2">
      <c r="C71" s="306" t="str">
        <f>'CF (Funds)'!B30</f>
        <v>North Summit Capital Fund</v>
      </c>
      <c r="D71" s="307" t="s">
        <v>63</v>
      </c>
      <c r="E71" s="491">
        <f>'CF (Funds)'!C30</f>
        <v>44676</v>
      </c>
      <c r="F71" s="308" t="str">
        <f t="shared" si="30"/>
        <v>Q2 2022</v>
      </c>
      <c r="G71" s="309">
        <f>'CF (Funds)'!D30</f>
        <v>-21</v>
      </c>
      <c r="H71" s="309">
        <f>'CF (Funds)'!E30</f>
        <v>0</v>
      </c>
    </row>
    <row r="72" spans="3:8" x14ac:dyDescent="0.2">
      <c r="C72" s="302" t="str">
        <f>'CF (Funds)'!B31</f>
        <v>New Space Capital Fund I</v>
      </c>
      <c r="D72" s="303" t="s">
        <v>63</v>
      </c>
      <c r="E72" s="492">
        <f>'CF (Funds)'!C31</f>
        <v>44087</v>
      </c>
      <c r="F72" s="304" t="str">
        <f t="shared" si="30"/>
        <v>Q3 2020</v>
      </c>
      <c r="G72" s="305">
        <f>'CF (Funds)'!D31</f>
        <v>-20.917552997000001</v>
      </c>
      <c r="H72" s="305">
        <f>'CF (Funds)'!E31</f>
        <v>0</v>
      </c>
    </row>
    <row r="73" spans="3:8" x14ac:dyDescent="0.2">
      <c r="C73" s="302" t="str">
        <f>'CF (Funds)'!B32</f>
        <v>New Space Capital Fund I</v>
      </c>
      <c r="D73" s="303" t="s">
        <v>63</v>
      </c>
      <c r="E73" s="492">
        <f>'CF (Funds)'!C32</f>
        <v>44287</v>
      </c>
      <c r="F73" s="304" t="str">
        <f t="shared" si="30"/>
        <v>Q2 2021</v>
      </c>
      <c r="G73" s="305">
        <f>'CF (Funds)'!D32</f>
        <v>-0.21103182000000001</v>
      </c>
      <c r="H73" s="305">
        <f>'CF (Funds)'!E32</f>
        <v>0</v>
      </c>
    </row>
    <row r="74" spans="3:8" x14ac:dyDescent="0.2">
      <c r="C74" s="302" t="str">
        <f>'CF (Funds)'!B33</f>
        <v>New Space Capital Fund I</v>
      </c>
      <c r="D74" s="303" t="s">
        <v>63</v>
      </c>
      <c r="E74" s="492">
        <f>'CF (Funds)'!C33</f>
        <v>44442</v>
      </c>
      <c r="F74" s="304" t="str">
        <f t="shared" si="30"/>
        <v>Q3 2021</v>
      </c>
      <c r="G74" s="305">
        <f>'CF (Funds)'!D33</f>
        <v>-0.23965473139999999</v>
      </c>
      <c r="H74" s="305">
        <f>'CF (Funds)'!E33</f>
        <v>0</v>
      </c>
    </row>
    <row r="75" spans="3:8" x14ac:dyDescent="0.2">
      <c r="C75" s="302" t="str">
        <f>'CF (Funds)'!B34</f>
        <v>New Space Capital Fund I</v>
      </c>
      <c r="D75" s="303" t="s">
        <v>63</v>
      </c>
      <c r="E75" s="492">
        <f>'CF (Funds)'!C34</f>
        <v>44623</v>
      </c>
      <c r="F75" s="304" t="str">
        <f t="shared" si="30"/>
        <v>Q1 2022</v>
      </c>
      <c r="G75" s="305">
        <f>'CF (Funds)'!D34</f>
        <v>-0.25893584940000003</v>
      </c>
      <c r="H75" s="305">
        <f>'CF (Funds)'!E34</f>
        <v>0</v>
      </c>
    </row>
    <row r="76" spans="3:8" x14ac:dyDescent="0.2">
      <c r="C76" s="302" t="str">
        <f>'CF (Funds)'!B35</f>
        <v>New Space Capital Fund I</v>
      </c>
      <c r="D76" s="303" t="s">
        <v>63</v>
      </c>
      <c r="E76" s="492">
        <f>'CF (Funds)'!C35</f>
        <v>44784</v>
      </c>
      <c r="F76" s="304" t="str">
        <f t="shared" si="30"/>
        <v>Q3 2022</v>
      </c>
      <c r="G76" s="305">
        <f>'CF (Funds)'!D35</f>
        <v>1.5224656599999999E-2</v>
      </c>
      <c r="H76" s="305">
        <f>'CF (Funds)'!E35</f>
        <v>0</v>
      </c>
    </row>
    <row r="77" spans="3:8" x14ac:dyDescent="0.2">
      <c r="C77" s="302" t="str">
        <f>'CF (Funds)'!B37</f>
        <v>New Space Capital Fund I</v>
      </c>
      <c r="D77" s="303" t="s">
        <v>63</v>
      </c>
      <c r="E77" s="492">
        <f>'CF (Funds)'!C37</f>
        <v>44956</v>
      </c>
      <c r="F77" s="304" t="str">
        <f t="shared" ref="F77" si="31">"Q"&amp;ROUNDUP(MONTH(E77)/3,0)&amp;" "&amp;YEAR(E77)</f>
        <v>Q1 2023</v>
      </c>
      <c r="G77" s="305">
        <f>'CF (Funds)'!D37</f>
        <v>0</v>
      </c>
      <c r="H77" s="305">
        <f>'CF (Funds)'!E37</f>
        <v>2.9557743514081998</v>
      </c>
    </row>
    <row r="78" spans="3:8" x14ac:dyDescent="0.2">
      <c r="C78" s="302" t="str">
        <f>'CF (Funds)'!B38</f>
        <v>New Space Capital SCSp</v>
      </c>
      <c r="D78" s="303" t="s">
        <v>63</v>
      </c>
      <c r="E78" s="492">
        <f>'CF (Funds)'!C38</f>
        <v>44087</v>
      </c>
      <c r="F78" s="304" t="str">
        <f>"Q"&amp;ROUNDUP(MONTH(E78)/3,0)&amp;" "&amp;YEAR(E78)</f>
        <v>Q3 2020</v>
      </c>
      <c r="G78" s="305">
        <f>'CF (Funds)'!D38</f>
        <v>-2.7058823529411762</v>
      </c>
      <c r="H78" s="305">
        <f>'CF (Funds)'!E38</f>
        <v>0</v>
      </c>
    </row>
    <row r="79" spans="3:8" x14ac:dyDescent="0.2">
      <c r="C79" s="306" t="str">
        <f>'CF (Funds)'!B39</f>
        <v>Acies Investments Fund I, L.P.</v>
      </c>
      <c r="D79" s="307" t="s">
        <v>63</v>
      </c>
      <c r="E79" s="491">
        <f>'CF (Funds)'!C39</f>
        <v>44540</v>
      </c>
      <c r="F79" s="308" t="str">
        <f>"Q"&amp;ROUNDUP(MONTH(E79)/3,0)&amp;" "&amp;YEAR(E79)</f>
        <v>Q4 2021</v>
      </c>
      <c r="G79" s="309">
        <f>'CF (Funds)'!D39</f>
        <v>-2.8053124999999999</v>
      </c>
      <c r="H79" s="309">
        <f>'CF (Funds)'!E39</f>
        <v>0</v>
      </c>
    </row>
    <row r="80" spans="3:8" x14ac:dyDescent="0.2">
      <c r="C80" s="306" t="str">
        <f>'CF (Funds)'!B40</f>
        <v>Acies Investments Fund I, L.P.</v>
      </c>
      <c r="D80" s="307" t="s">
        <v>63</v>
      </c>
      <c r="E80" s="491">
        <f>'CF (Funds)'!C40</f>
        <v>44602</v>
      </c>
      <c r="F80" s="308" t="str">
        <f>"Q"&amp;ROUNDUP(MONTH(E80)/3,0)&amp;" "&amp;YEAR(E80)</f>
        <v>Q1 2022</v>
      </c>
      <c r="G80" s="309">
        <f>'CF (Funds)'!D40</f>
        <v>-3.4074999999999998</v>
      </c>
      <c r="H80" s="309">
        <f>'CF (Funds)'!E40</f>
        <v>0</v>
      </c>
    </row>
    <row r="81" spans="3:8" x14ac:dyDescent="0.2">
      <c r="C81" s="306" t="str">
        <f>'CF (Funds)'!B41</f>
        <v>Acies Investments Fund I, L.P.</v>
      </c>
      <c r="D81" s="307" t="s">
        <v>63</v>
      </c>
      <c r="E81" s="491">
        <f>'CF (Funds)'!C41</f>
        <v>44683</v>
      </c>
      <c r="F81" s="308" t="str">
        <f>"Q"&amp;ROUNDUP(MONTH(E81)/3,0)&amp;" "&amp;YEAR(E81)</f>
        <v>Q2 2022</v>
      </c>
      <c r="G81" s="309">
        <f>'CF (Funds)'!D41</f>
        <v>-1.0257749999999999</v>
      </c>
      <c r="H81" s="309">
        <f>'CF (Funds)'!E41</f>
        <v>0</v>
      </c>
    </row>
    <row r="82" spans="3:8" x14ac:dyDescent="0.2">
      <c r="C82" s="306" t="str">
        <f>'CF (Funds)'!B42</f>
        <v>Acies Investments Fund I, L.P.</v>
      </c>
      <c r="D82" s="307" t="s">
        <v>63</v>
      </c>
      <c r="E82" s="491">
        <f>'CF (Funds)'!C42</f>
        <v>44707</v>
      </c>
      <c r="F82" s="308" t="str">
        <f t="shared" ref="F82" si="32">"Q"&amp;ROUNDUP(MONTH(E82)/3,0)&amp;" "&amp;YEAR(E82)</f>
        <v>Q2 2022</v>
      </c>
      <c r="G82" s="309">
        <f>'CF (Funds)'!D42</f>
        <v>-3.3882749999999997</v>
      </c>
      <c r="H82" s="309">
        <f>'CF (Funds)'!E42</f>
        <v>0</v>
      </c>
    </row>
    <row r="83" spans="3:8" x14ac:dyDescent="0.2">
      <c r="C83" s="306" t="str">
        <f>'CF (Funds)'!B43</f>
        <v>Acies Investments Fund I, L.P.</v>
      </c>
      <c r="D83" s="307" t="s">
        <v>63</v>
      </c>
      <c r="E83" s="491">
        <f>'CF (Funds)'!C43</f>
        <v>44875</v>
      </c>
      <c r="F83" s="308" t="str">
        <f t="shared" ref="F83" si="33">"Q"&amp;ROUNDUP(MONTH(E83)/3,0)&amp;" "&amp;YEAR(E83)</f>
        <v>Q4 2022</v>
      </c>
      <c r="G83" s="309">
        <f>'CF (Funds)'!D43</f>
        <v>-3.3882749999999997</v>
      </c>
      <c r="H83" s="309">
        <f>'CF (Funds)'!E43</f>
        <v>0</v>
      </c>
    </row>
    <row r="84" spans="3:8" x14ac:dyDescent="0.2">
      <c r="E84" s="493"/>
    </row>
    <row r="85" spans="3:8" x14ac:dyDescent="0.2">
      <c r="E85" s="493"/>
    </row>
    <row r="86" spans="3:8" x14ac:dyDescent="0.2">
      <c r="E86" s="493"/>
    </row>
    <row r="87" spans="3:8" x14ac:dyDescent="0.2">
      <c r="E87" s="493"/>
    </row>
    <row r="88" spans="3:8" x14ac:dyDescent="0.2">
      <c r="E88" s="493"/>
    </row>
    <row r="89" spans="3:8" x14ac:dyDescent="0.2">
      <c r="E89" s="493"/>
    </row>
    <row r="90" spans="3:8" x14ac:dyDescent="0.2">
      <c r="E90" s="493"/>
    </row>
    <row r="91" spans="3:8" x14ac:dyDescent="0.2">
      <c r="E91" s="493"/>
    </row>
    <row r="92" spans="3:8" x14ac:dyDescent="0.2">
      <c r="E92" s="493"/>
    </row>
    <row r="93" spans="3:8" x14ac:dyDescent="0.2">
      <c r="E93" s="493"/>
    </row>
    <row r="94" spans="3:8" x14ac:dyDescent="0.2">
      <c r="E94" s="493"/>
    </row>
    <row r="95" spans="3:8" x14ac:dyDescent="0.2">
      <c r="E95" s="493"/>
    </row>
    <row r="96" spans="3:8" x14ac:dyDescent="0.2">
      <c r="E96" s="493"/>
    </row>
    <row r="97" spans="5:5" x14ac:dyDescent="0.2">
      <c r="E97" s="493"/>
    </row>
    <row r="98" spans="5:5" x14ac:dyDescent="0.2">
      <c r="E98" s="493"/>
    </row>
    <row r="99" spans="5:5" x14ac:dyDescent="0.2">
      <c r="E99" s="493"/>
    </row>
    <row r="100" spans="5:5" x14ac:dyDescent="0.2">
      <c r="E100" s="493"/>
    </row>
    <row r="101" spans="5:5" x14ac:dyDescent="0.2">
      <c r="E101" s="493"/>
    </row>
    <row r="102" spans="5:5" x14ac:dyDescent="0.2">
      <c r="E102" s="493"/>
    </row>
    <row r="103" spans="5:5" x14ac:dyDescent="0.2">
      <c r="E103" s="493"/>
    </row>
    <row r="104" spans="5:5" x14ac:dyDescent="0.2">
      <c r="E104" s="493"/>
    </row>
    <row r="105" spans="5:5" x14ac:dyDescent="0.2">
      <c r="E105" s="493"/>
    </row>
    <row r="106" spans="5:5" x14ac:dyDescent="0.2">
      <c r="E106" s="493"/>
    </row>
    <row r="107" spans="5:5" x14ac:dyDescent="0.2">
      <c r="E107" s="493"/>
    </row>
    <row r="108" spans="5:5" x14ac:dyDescent="0.2">
      <c r="E108" s="493"/>
    </row>
    <row r="109" spans="5:5" x14ac:dyDescent="0.2">
      <c r="E109" s="493"/>
    </row>
    <row r="110" spans="5:5" x14ac:dyDescent="0.2">
      <c r="E110" s="493"/>
    </row>
    <row r="111" spans="5:5" x14ac:dyDescent="0.2">
      <c r="E111" s="493"/>
    </row>
    <row r="112" spans="5:5" x14ac:dyDescent="0.2">
      <c r="E112" s="493"/>
    </row>
    <row r="113" spans="5:5" x14ac:dyDescent="0.2">
      <c r="E113" s="493"/>
    </row>
    <row r="114" spans="5:5" x14ac:dyDescent="0.2">
      <c r="E114" s="493"/>
    </row>
    <row r="115" spans="5:5" x14ac:dyDescent="0.2">
      <c r="E115" s="493"/>
    </row>
    <row r="116" spans="5:5" x14ac:dyDescent="0.2">
      <c r="E116" s="493"/>
    </row>
    <row r="117" spans="5:5" x14ac:dyDescent="0.2">
      <c r="E117" s="493"/>
    </row>
    <row r="118" spans="5:5" x14ac:dyDescent="0.2">
      <c r="E118" s="493"/>
    </row>
    <row r="119" spans="5:5" x14ac:dyDescent="0.2">
      <c r="E119" s="493"/>
    </row>
    <row r="120" spans="5:5" x14ac:dyDescent="0.2">
      <c r="E120" s="493"/>
    </row>
    <row r="121" spans="5:5" x14ac:dyDescent="0.2">
      <c r="E121" s="493"/>
    </row>
    <row r="122" spans="5:5" x14ac:dyDescent="0.2">
      <c r="E122" s="493"/>
    </row>
    <row r="123" spans="5:5" x14ac:dyDescent="0.2">
      <c r="E123" s="493"/>
    </row>
    <row r="124" spans="5:5" x14ac:dyDescent="0.2">
      <c r="E124" s="493"/>
    </row>
    <row r="125" spans="5:5" x14ac:dyDescent="0.2">
      <c r="E125" s="493"/>
    </row>
    <row r="126" spans="5:5" x14ac:dyDescent="0.2">
      <c r="E126" s="493"/>
    </row>
    <row r="127" spans="5:5" x14ac:dyDescent="0.2">
      <c r="E127" s="493"/>
    </row>
    <row r="128" spans="5:5" x14ac:dyDescent="0.2">
      <c r="E128" s="493"/>
    </row>
    <row r="129" spans="5:5" x14ac:dyDescent="0.2">
      <c r="E129" s="493"/>
    </row>
    <row r="130" spans="5:5" x14ac:dyDescent="0.2">
      <c r="E130" s="493"/>
    </row>
    <row r="131" spans="5:5" x14ac:dyDescent="0.2">
      <c r="E131" s="493"/>
    </row>
    <row r="132" spans="5:5" x14ac:dyDescent="0.2">
      <c r="E132" s="493"/>
    </row>
    <row r="133" spans="5:5" x14ac:dyDescent="0.2">
      <c r="E133" s="493"/>
    </row>
    <row r="134" spans="5:5" x14ac:dyDescent="0.2">
      <c r="E134" s="493"/>
    </row>
    <row r="135" spans="5:5" x14ac:dyDescent="0.2">
      <c r="E135" s="493"/>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C464-79B5-429B-9CED-6558AD052796}">
  <sheetPr>
    <tabColor theme="4" tint="0.39997558519241921"/>
  </sheetPr>
  <dimension ref="B2:N19"/>
  <sheetViews>
    <sheetView zoomScale="90" zoomScaleNormal="90" workbookViewId="0"/>
  </sheetViews>
  <sheetFormatPr defaultRowHeight="15" x14ac:dyDescent="0.25"/>
  <cols>
    <col min="1" max="1" width="9.140625" style="80"/>
    <col min="2" max="2" width="29.7109375" style="80" customWidth="1"/>
    <col min="3" max="3" width="10.85546875" style="80" customWidth="1"/>
    <col min="4" max="4" width="23.140625" style="80" customWidth="1"/>
    <col min="5" max="10" width="12.5703125" style="80" customWidth="1"/>
    <col min="11" max="16384" width="9.140625" style="80"/>
  </cols>
  <sheetData>
    <row r="2" spans="2:14" s="164" customFormat="1" ht="29.25" thickBot="1" x14ac:dyDescent="0.5">
      <c r="B2" s="345" t="s">
        <v>284</v>
      </c>
      <c r="C2" s="346"/>
      <c r="D2" s="345"/>
      <c r="F2" s="347"/>
      <c r="G2" s="347"/>
      <c r="H2" s="347"/>
      <c r="I2" s="347"/>
      <c r="J2" s="347"/>
      <c r="K2" s="348"/>
      <c r="L2" s="347"/>
    </row>
    <row r="3" spans="2:14" s="137" customFormat="1" ht="29.25" thickBot="1" x14ac:dyDescent="0.5">
      <c r="B3" s="271" t="s">
        <v>235</v>
      </c>
      <c r="C3" s="285">
        <f>D!D2</f>
        <v>45016</v>
      </c>
      <c r="D3" s="345"/>
      <c r="J3" s="80"/>
      <c r="K3" s="80"/>
      <c r="L3" s="80"/>
      <c r="M3" s="80"/>
      <c r="N3" s="128"/>
    </row>
    <row r="6" spans="2:14" ht="37.5" customHeight="1" x14ac:dyDescent="0.25">
      <c r="B6" s="57" t="s">
        <v>62</v>
      </c>
      <c r="C6" s="57"/>
      <c r="D6" s="1" t="s">
        <v>455</v>
      </c>
      <c r="E6" s="1" t="s">
        <v>266</v>
      </c>
      <c r="F6" s="1" t="s">
        <v>267</v>
      </c>
      <c r="G6" s="1" t="s">
        <v>268</v>
      </c>
      <c r="H6" s="1" t="s">
        <v>269</v>
      </c>
      <c r="I6" s="1" t="s">
        <v>270</v>
      </c>
      <c r="J6" s="1" t="s">
        <v>271</v>
      </c>
    </row>
    <row r="7" spans="2:14" x14ac:dyDescent="0.25">
      <c r="B7" s="59"/>
      <c r="C7" s="59"/>
      <c r="D7" s="62"/>
      <c r="E7" s="62"/>
      <c r="F7" s="62"/>
      <c r="G7" s="62"/>
      <c r="H7" s="62"/>
      <c r="I7" s="62"/>
      <c r="J7" s="62"/>
    </row>
    <row r="8" spans="2:14" x14ac:dyDescent="0.25">
      <c r="C8" s="81"/>
      <c r="D8" s="56"/>
      <c r="E8" s="56"/>
      <c r="F8" s="56"/>
      <c r="G8" s="56"/>
      <c r="H8" s="56"/>
      <c r="I8" s="56"/>
      <c r="J8" s="56"/>
    </row>
    <row r="9" spans="2:14" x14ac:dyDescent="0.25">
      <c r="B9" s="58" t="s">
        <v>134</v>
      </c>
      <c r="C9" s="56" t="s">
        <v>220</v>
      </c>
      <c r="D9" s="71">
        <v>12.5</v>
      </c>
      <c r="E9" s="71"/>
      <c r="F9" s="71"/>
      <c r="G9" s="71">
        <f>D9</f>
        <v>12.5</v>
      </c>
      <c r="I9" s="71"/>
      <c r="J9" s="71"/>
    </row>
    <row r="10" spans="2:14" x14ac:dyDescent="0.25">
      <c r="B10" s="58" t="s">
        <v>501</v>
      </c>
      <c r="C10" s="56"/>
      <c r="D10" s="71"/>
      <c r="E10" s="71"/>
      <c r="F10" s="71"/>
      <c r="G10" s="71"/>
      <c r="H10" s="71"/>
      <c r="I10" s="71"/>
      <c r="J10" s="71"/>
    </row>
    <row r="11" spans="2:14" x14ac:dyDescent="0.25">
      <c r="B11" s="58" t="s">
        <v>174</v>
      </c>
      <c r="C11" s="56" t="s">
        <v>63</v>
      </c>
      <c r="D11" s="71">
        <v>3.945957317153443</v>
      </c>
      <c r="E11" s="71"/>
      <c r="F11" s="71"/>
      <c r="G11" s="71">
        <f>D11-F11</f>
        <v>3.945957317153443</v>
      </c>
      <c r="H11" s="71"/>
      <c r="I11" s="71"/>
      <c r="J11" s="71"/>
    </row>
    <row r="12" spans="2:14" x14ac:dyDescent="0.25">
      <c r="B12" s="58" t="s">
        <v>1</v>
      </c>
      <c r="C12" s="56" t="s">
        <v>63</v>
      </c>
      <c r="D12" s="71">
        <v>217.81330800000001</v>
      </c>
      <c r="E12" s="71"/>
      <c r="F12" s="71"/>
      <c r="G12" s="71"/>
      <c r="H12" s="71"/>
      <c r="I12" s="71"/>
      <c r="J12" s="71"/>
    </row>
    <row r="13" spans="2:14" x14ac:dyDescent="0.25">
      <c r="B13" s="58" t="s">
        <v>15</v>
      </c>
      <c r="C13" s="56" t="s">
        <v>63</v>
      </c>
      <c r="D13" s="71">
        <v>33.209754000000004</v>
      </c>
      <c r="E13" s="71"/>
      <c r="F13" s="71"/>
      <c r="G13" s="71"/>
      <c r="H13" s="71"/>
      <c r="I13" s="71"/>
      <c r="J13" s="71"/>
    </row>
    <row r="14" spans="2:14" x14ac:dyDescent="0.25">
      <c r="B14" s="58" t="s">
        <v>237</v>
      </c>
      <c r="C14" s="56" t="s">
        <v>63</v>
      </c>
      <c r="D14" s="71">
        <v>6.4856375000000011</v>
      </c>
      <c r="E14" s="71"/>
      <c r="F14" s="71"/>
      <c r="G14" s="71"/>
      <c r="I14" s="71"/>
      <c r="J14" s="71"/>
    </row>
    <row r="15" spans="2:14" x14ac:dyDescent="0.25">
      <c r="B15" s="63"/>
      <c r="C15" s="248"/>
      <c r="D15" s="72">
        <f>SUM(D9:D14)</f>
        <v>273.95465681715342</v>
      </c>
      <c r="E15" s="72"/>
      <c r="F15" s="72">
        <f>SUM(F9:F14)</f>
        <v>0</v>
      </c>
      <c r="G15" s="72">
        <f>SUM(G9:G14)</f>
        <v>16.445957317153443</v>
      </c>
      <c r="H15" s="72">
        <f>SUM(H9:H14)</f>
        <v>0</v>
      </c>
      <c r="I15" s="72">
        <f>SUM(I9:I14)</f>
        <v>0</v>
      </c>
      <c r="J15" s="72">
        <f>SUM(J9:J14)</f>
        <v>0</v>
      </c>
    </row>
    <row r="18" spans="2:2" x14ac:dyDescent="0.25">
      <c r="B18" s="80" t="s">
        <v>138</v>
      </c>
    </row>
    <row r="19" spans="2:2" x14ac:dyDescent="0.25">
      <c r="B19" s="80" t="s">
        <v>272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3"/>
  <sheetViews>
    <sheetView showGridLines="0" zoomScale="90" zoomScaleNormal="90" workbookViewId="0"/>
  </sheetViews>
  <sheetFormatPr defaultRowHeight="15" x14ac:dyDescent="0.25"/>
  <cols>
    <col min="1" max="2" width="5.42578125" style="80" customWidth="1"/>
    <col min="3" max="3" width="4.140625" style="152" customWidth="1"/>
    <col min="4" max="4" width="38.5703125" style="81" customWidth="1"/>
    <col min="5" max="5" width="19.28515625" style="81" customWidth="1"/>
    <col min="6" max="7" width="17.5703125" style="81" customWidth="1"/>
    <col min="8" max="8" width="4.28515625" style="81" customWidth="1"/>
    <col min="9" max="9" width="17.5703125" style="81" customWidth="1"/>
    <col min="10" max="10" width="2.85546875" style="81" customWidth="1"/>
    <col min="11" max="11" width="30.7109375" style="80" bestFit="1" customWidth="1"/>
    <col min="12" max="12" width="9.140625" style="80" customWidth="1"/>
    <col min="13" max="13" width="7" style="80" customWidth="1"/>
    <col min="14" max="14" width="29.85546875" style="80" bestFit="1" customWidth="1"/>
    <col min="15" max="15" width="10.5703125" style="80" customWidth="1"/>
    <col min="16" max="16" width="4.7109375" style="80" customWidth="1"/>
    <col min="17" max="16384" width="9.140625" style="80"/>
  </cols>
  <sheetData>
    <row r="2" spans="2:16" s="164" customFormat="1" ht="29.25" thickBot="1" x14ac:dyDescent="0.5">
      <c r="C2" s="345" t="s">
        <v>282</v>
      </c>
      <c r="D2" s="346"/>
      <c r="E2" s="346"/>
      <c r="F2" s="353"/>
      <c r="G2" s="353"/>
      <c r="H2" s="353"/>
      <c r="I2" s="347"/>
      <c r="J2" s="347"/>
    </row>
    <row r="3" spans="2:16" s="137" customFormat="1" ht="15.75" thickBot="1" x14ac:dyDescent="0.3">
      <c r="C3" s="571"/>
      <c r="D3" s="271" t="s">
        <v>249</v>
      </c>
      <c r="E3" s="572">
        <v>44819</v>
      </c>
      <c r="F3" s="571"/>
      <c r="G3" s="571"/>
      <c r="H3" s="346"/>
      <c r="I3" s="80"/>
      <c r="J3" s="80"/>
    </row>
    <row r="4" spans="2:16" s="164" customFormat="1" x14ac:dyDescent="0.25">
      <c r="C4" s="349"/>
      <c r="D4" s="350"/>
      <c r="E4" s="347"/>
      <c r="F4" s="347"/>
      <c r="G4" s="347"/>
      <c r="H4" s="347"/>
      <c r="I4" s="347"/>
      <c r="J4" s="347"/>
    </row>
    <row r="5" spans="2:16" ht="15.75" thickBot="1" x14ac:dyDescent="0.3">
      <c r="C5" s="153"/>
    </row>
    <row r="6" spans="2:16" s="161" customFormat="1" x14ac:dyDescent="0.25">
      <c r="B6" s="80"/>
      <c r="C6" s="564"/>
      <c r="D6" s="565"/>
      <c r="E6" s="565"/>
      <c r="F6" s="156"/>
      <c r="G6" s="156"/>
      <c r="H6" s="566"/>
      <c r="I6" s="81"/>
      <c r="J6" s="604"/>
      <c r="K6" s="565"/>
      <c r="L6" s="565"/>
      <c r="M6" s="565"/>
      <c r="N6" s="565"/>
      <c r="O6" s="565"/>
      <c r="P6" s="605"/>
    </row>
    <row r="7" spans="2:16" ht="30" customHeight="1" x14ac:dyDescent="0.25">
      <c r="C7" s="567"/>
      <c r="D7" s="57" t="s">
        <v>62</v>
      </c>
      <c r="E7" s="1" t="s">
        <v>221</v>
      </c>
      <c r="F7" s="1" t="s">
        <v>278</v>
      </c>
      <c r="G7" s="1" t="s">
        <v>500</v>
      </c>
      <c r="H7" s="535"/>
      <c r="J7" s="568"/>
      <c r="K7" s="668" t="s">
        <v>502</v>
      </c>
      <c r="L7" s="668"/>
      <c r="M7" s="177"/>
      <c r="N7" s="668" t="s">
        <v>503</v>
      </c>
      <c r="O7" s="668"/>
      <c r="P7" s="166"/>
    </row>
    <row r="8" spans="2:16" x14ac:dyDescent="0.25">
      <c r="C8" s="567"/>
      <c r="D8" s="58" t="s">
        <v>57</v>
      </c>
      <c r="E8" s="424" t="s">
        <v>220</v>
      </c>
      <c r="F8" s="71">
        <f ca="1">VLOOKUP(D8,'Summary | 01 '!$C$6:$R$43,13,0)</f>
        <v>-65</v>
      </c>
      <c r="G8" s="71">
        <v>-65</v>
      </c>
      <c r="H8" s="535"/>
      <c r="J8" s="568"/>
      <c r="K8" s="58" t="s">
        <v>133</v>
      </c>
      <c r="L8" s="71">
        <f>VLOOKUP(K8,$D$7:$G$32,4,0)</f>
        <v>275.8</v>
      </c>
      <c r="M8" s="177"/>
      <c r="N8" s="58" t="s">
        <v>44</v>
      </c>
      <c r="O8" s="71">
        <f t="shared" ref="O8:O15" si="0">VLOOKUP(N8,$D$7:$G$32,4,0)</f>
        <v>0</v>
      </c>
      <c r="P8" s="166"/>
    </row>
    <row r="9" spans="2:16" x14ac:dyDescent="0.25">
      <c r="C9" s="567"/>
      <c r="D9" s="58" t="s">
        <v>113</v>
      </c>
      <c r="E9" s="424" t="s">
        <v>220</v>
      </c>
      <c r="F9" s="71">
        <f ca="1">VLOOKUP(D9,'Summary | 01 '!$C$6:$R$43,13,0)</f>
        <v>-69.434338018181734</v>
      </c>
      <c r="G9" s="573">
        <v>0</v>
      </c>
      <c r="H9" s="535"/>
      <c r="J9" s="568"/>
      <c r="K9" s="58" t="s">
        <v>47</v>
      </c>
      <c r="L9" s="71">
        <f t="shared" ref="L9:L24" si="1">VLOOKUP(K9,$D$7:$G$32,4,0)</f>
        <v>0</v>
      </c>
      <c r="M9" s="177"/>
      <c r="N9" s="58" t="s">
        <v>25</v>
      </c>
      <c r="O9" s="71">
        <f t="shared" si="0"/>
        <v>0</v>
      </c>
      <c r="P9" s="166"/>
    </row>
    <row r="10" spans="2:16" x14ac:dyDescent="0.25">
      <c r="C10" s="567"/>
      <c r="D10" s="58" t="s">
        <v>134</v>
      </c>
      <c r="E10" s="424" t="s">
        <v>220</v>
      </c>
      <c r="F10" s="71">
        <f ca="1">VLOOKUP(D10,'Summary | 01 '!$C$6:$R$43,13,0)</f>
        <v>-16.141217862800001</v>
      </c>
      <c r="G10" s="573">
        <v>0</v>
      </c>
      <c r="H10" s="535"/>
      <c r="J10" s="568"/>
      <c r="K10" s="58" t="s">
        <v>11</v>
      </c>
      <c r="L10" s="71">
        <f t="shared" si="1"/>
        <v>-39.700000000000003</v>
      </c>
      <c r="M10" s="177"/>
      <c r="N10" s="58" t="s">
        <v>134</v>
      </c>
      <c r="O10" s="71">
        <f t="shared" si="0"/>
        <v>0</v>
      </c>
      <c r="P10" s="166"/>
    </row>
    <row r="11" spans="2:16" x14ac:dyDescent="0.25">
      <c r="C11" s="567"/>
      <c r="D11" s="58" t="s">
        <v>58</v>
      </c>
      <c r="E11" s="424" t="s">
        <v>53</v>
      </c>
      <c r="F11" s="71">
        <f>VLOOKUP(D11,'Summary | 01 '!$C$6:$R$43,13,0)</f>
        <v>-8</v>
      </c>
      <c r="G11" s="71">
        <v>-8</v>
      </c>
      <c r="H11" s="535"/>
      <c r="J11" s="568"/>
      <c r="K11" s="58" t="s">
        <v>48</v>
      </c>
      <c r="L11" s="71">
        <f t="shared" si="1"/>
        <v>68.099999999999994</v>
      </c>
      <c r="M11" s="177"/>
      <c r="N11" s="58" t="s">
        <v>1</v>
      </c>
      <c r="O11" s="71">
        <f t="shared" si="0"/>
        <v>6.6</v>
      </c>
      <c r="P11" s="166"/>
    </row>
    <row r="12" spans="2:16" x14ac:dyDescent="0.25">
      <c r="C12" s="567"/>
      <c r="D12" s="58" t="s">
        <v>0</v>
      </c>
      <c r="E12" s="424" t="s">
        <v>220</v>
      </c>
      <c r="F12" s="71">
        <f ca="1">VLOOKUP(D12,'Summary | 01 '!$C$6:$R$43,13,0)</f>
        <v>-4.9000000000000004</v>
      </c>
      <c r="G12" s="574">
        <v>-6.3</v>
      </c>
      <c r="H12" s="535"/>
      <c r="J12" s="568"/>
      <c r="K12" s="58" t="s">
        <v>0</v>
      </c>
      <c r="L12" s="71">
        <f t="shared" si="1"/>
        <v>-6.3</v>
      </c>
      <c r="M12" s="177"/>
      <c r="N12" s="58" t="s">
        <v>174</v>
      </c>
      <c r="O12" s="71">
        <f t="shared" si="0"/>
        <v>1</v>
      </c>
      <c r="P12" s="166"/>
    </row>
    <row r="13" spans="2:16" x14ac:dyDescent="0.25">
      <c r="C13" s="567"/>
      <c r="D13" s="58" t="s">
        <v>133</v>
      </c>
      <c r="E13" s="424" t="s">
        <v>220</v>
      </c>
      <c r="F13" s="71">
        <f ca="1">VLOOKUP(D13,'Summary | 01 '!$C$6:$R$43,13,0)</f>
        <v>-19.090072540766513</v>
      </c>
      <c r="G13" s="71">
        <v>275.8</v>
      </c>
      <c r="H13" s="535"/>
      <c r="J13" s="568"/>
      <c r="K13" s="58" t="s">
        <v>51</v>
      </c>
      <c r="L13" s="71">
        <f t="shared" si="1"/>
        <v>0</v>
      </c>
      <c r="M13" s="177"/>
      <c r="N13" s="58" t="s">
        <v>156</v>
      </c>
      <c r="O13" s="71">
        <f t="shared" si="0"/>
        <v>0</v>
      </c>
      <c r="P13" s="166"/>
    </row>
    <row r="14" spans="2:16" x14ac:dyDescent="0.25">
      <c r="C14" s="567"/>
      <c r="D14" s="58" t="s">
        <v>1</v>
      </c>
      <c r="E14" s="424" t="s">
        <v>63</v>
      </c>
      <c r="F14" s="71">
        <f>VLOOKUP(D14,'Summary | 01 '!$C$6:$R$43,13,0)</f>
        <v>-12.156691999999978</v>
      </c>
      <c r="G14" s="71">
        <v>6.6</v>
      </c>
      <c r="H14" s="535"/>
      <c r="J14" s="568"/>
      <c r="K14" s="58" t="s">
        <v>113</v>
      </c>
      <c r="L14" s="71">
        <f t="shared" si="1"/>
        <v>0</v>
      </c>
      <c r="M14" s="177"/>
      <c r="N14" s="58" t="s">
        <v>15</v>
      </c>
      <c r="O14" s="71">
        <f t="shared" si="0"/>
        <v>3.5</v>
      </c>
      <c r="P14" s="166"/>
    </row>
    <row r="15" spans="2:16" x14ac:dyDescent="0.25">
      <c r="C15" s="567"/>
      <c r="D15" s="58" t="s">
        <v>15</v>
      </c>
      <c r="E15" s="424" t="s">
        <v>63</v>
      </c>
      <c r="F15" s="71">
        <f>VLOOKUP(D15,'Summary | 01 '!$C$6:$R$43,13,0)</f>
        <v>-0.69768864999999991</v>
      </c>
      <c r="G15" s="71">
        <v>3.5</v>
      </c>
      <c r="H15" s="535"/>
      <c r="J15" s="568"/>
      <c r="K15" s="58" t="s">
        <v>418</v>
      </c>
      <c r="L15" s="71">
        <f t="shared" si="1"/>
        <v>0</v>
      </c>
      <c r="M15" s="177"/>
      <c r="N15" s="58" t="s">
        <v>237</v>
      </c>
      <c r="O15" s="71">
        <f t="shared" si="0"/>
        <v>0</v>
      </c>
      <c r="P15" s="166"/>
    </row>
    <row r="16" spans="2:16" x14ac:dyDescent="0.25">
      <c r="C16" s="567"/>
      <c r="D16" s="58" t="s">
        <v>237</v>
      </c>
      <c r="E16" s="424" t="s">
        <v>63</v>
      </c>
      <c r="F16" s="71">
        <f>VLOOKUP(D16,'Summary | 01 '!$C$6:$R$43,13,0)</f>
        <v>-0.2722964999999995</v>
      </c>
      <c r="G16" s="71">
        <v>0</v>
      </c>
      <c r="H16" s="535"/>
      <c r="J16" s="568"/>
      <c r="K16" s="58" t="s">
        <v>458</v>
      </c>
      <c r="L16" s="71">
        <f t="shared" si="1"/>
        <v>0</v>
      </c>
      <c r="M16" s="78"/>
      <c r="N16" s="177"/>
      <c r="O16" s="177"/>
      <c r="P16" s="166"/>
    </row>
    <row r="17" spans="2:16" x14ac:dyDescent="0.25">
      <c r="C17" s="567"/>
      <c r="D17" s="58" t="s">
        <v>422</v>
      </c>
      <c r="E17" s="424" t="s">
        <v>53</v>
      </c>
      <c r="F17" s="71">
        <f>VLOOKUP(D17,'Summary | 01 '!$C$6:$R$43,13,0)</f>
        <v>0</v>
      </c>
      <c r="G17" s="71">
        <v>0</v>
      </c>
      <c r="H17" s="535"/>
      <c r="J17" s="568"/>
      <c r="K17" s="58" t="s">
        <v>50</v>
      </c>
      <c r="L17" s="71">
        <f t="shared" si="1"/>
        <v>0</v>
      </c>
      <c r="M17" s="78"/>
      <c r="N17" s="581" t="s">
        <v>76</v>
      </c>
      <c r="O17" s="582">
        <f>SUM(O8:O16)</f>
        <v>11.1</v>
      </c>
      <c r="P17" s="166"/>
    </row>
    <row r="18" spans="2:16" x14ac:dyDescent="0.25">
      <c r="C18" s="567"/>
      <c r="D18" s="58" t="s">
        <v>24</v>
      </c>
      <c r="E18" s="424" t="s">
        <v>220</v>
      </c>
      <c r="F18" s="71">
        <f ca="1">VLOOKUP(D18,'Summary | 01 '!$C$6:$R$43,13,0)</f>
        <v>0</v>
      </c>
      <c r="G18" s="71">
        <v>0</v>
      </c>
      <c r="H18" s="535"/>
      <c r="J18" s="568"/>
      <c r="K18" s="58" t="s">
        <v>52</v>
      </c>
      <c r="L18" s="71">
        <f t="shared" si="1"/>
        <v>0</v>
      </c>
      <c r="M18" s="177"/>
      <c r="N18" s="177"/>
      <c r="O18" s="177"/>
      <c r="P18" s="166"/>
    </row>
    <row r="19" spans="2:16" x14ac:dyDescent="0.25">
      <c r="C19" s="567"/>
      <c r="D19" s="58" t="s">
        <v>418</v>
      </c>
      <c r="E19" s="424" t="s">
        <v>220</v>
      </c>
      <c r="F19" s="71">
        <f>VLOOKUP(D19,'Summary | 01 '!$C$6:$R$43,13,0)</f>
        <v>0</v>
      </c>
      <c r="G19" s="573">
        <v>0</v>
      </c>
      <c r="H19" s="535"/>
      <c r="J19" s="568"/>
      <c r="K19" s="58" t="s">
        <v>24</v>
      </c>
      <c r="L19" s="71">
        <f t="shared" si="1"/>
        <v>0</v>
      </c>
      <c r="M19" s="78"/>
      <c r="N19" s="177"/>
      <c r="O19" s="177"/>
      <c r="P19" s="166"/>
    </row>
    <row r="20" spans="2:16" x14ac:dyDescent="0.25">
      <c r="C20" s="567"/>
      <c r="D20" s="58" t="s">
        <v>458</v>
      </c>
      <c r="E20" s="424" t="s">
        <v>220</v>
      </c>
      <c r="F20" s="71">
        <f>VLOOKUP(D20,'Summary | 01 '!$C$6:$R$43,13,0)</f>
        <v>0</v>
      </c>
      <c r="G20" s="573">
        <v>0</v>
      </c>
      <c r="H20" s="535"/>
      <c r="J20" s="568"/>
      <c r="K20" s="58" t="s">
        <v>49</v>
      </c>
      <c r="L20" s="71">
        <f t="shared" si="1"/>
        <v>2.5</v>
      </c>
      <c r="M20" s="78"/>
      <c r="N20" s="177"/>
      <c r="O20" s="177"/>
      <c r="P20" s="166"/>
    </row>
    <row r="21" spans="2:16" x14ac:dyDescent="0.25">
      <c r="C21" s="567"/>
      <c r="D21" s="58" t="s">
        <v>50</v>
      </c>
      <c r="E21" s="424" t="s">
        <v>220</v>
      </c>
      <c r="F21" s="71">
        <f ca="1">VLOOKUP(D21,'Summary | 01 '!$C$6:$R$43,13,0)</f>
        <v>0</v>
      </c>
      <c r="G21" s="71">
        <v>0</v>
      </c>
      <c r="H21" s="535"/>
      <c r="J21" s="568"/>
      <c r="K21" s="58" t="s">
        <v>411</v>
      </c>
      <c r="L21" s="71">
        <f t="shared" si="1"/>
        <v>0</v>
      </c>
      <c r="M21" s="78"/>
      <c r="N21" s="177"/>
      <c r="O21" s="177"/>
      <c r="P21" s="166"/>
    </row>
    <row r="22" spans="2:16" x14ac:dyDescent="0.25">
      <c r="C22" s="567"/>
      <c r="D22" s="58" t="s">
        <v>51</v>
      </c>
      <c r="E22" s="424" t="s">
        <v>220</v>
      </c>
      <c r="F22" s="71">
        <f ca="1">VLOOKUP(D22,'Summary | 01 '!$C$6:$R$43,13,0)</f>
        <v>0</v>
      </c>
      <c r="G22" s="71">
        <v>0</v>
      </c>
      <c r="H22" s="535"/>
      <c r="J22" s="568"/>
      <c r="K22" s="58" t="s">
        <v>422</v>
      </c>
      <c r="L22" s="71">
        <f t="shared" si="1"/>
        <v>0</v>
      </c>
      <c r="M22" s="78"/>
      <c r="N22" s="177"/>
      <c r="O22" s="177"/>
      <c r="P22" s="166"/>
    </row>
    <row r="23" spans="2:16" x14ac:dyDescent="0.25">
      <c r="C23" s="567"/>
      <c r="D23" s="58" t="s">
        <v>52</v>
      </c>
      <c r="E23" s="424" t="s">
        <v>220</v>
      </c>
      <c r="F23" s="71">
        <f ca="1">VLOOKUP(D23,'Summary | 01 '!$C$6:$R$43,13,0)</f>
        <v>0</v>
      </c>
      <c r="G23" s="71">
        <v>0</v>
      </c>
      <c r="H23" s="535"/>
      <c r="J23" s="568"/>
      <c r="K23" s="58" t="s">
        <v>58</v>
      </c>
      <c r="L23" s="71">
        <f t="shared" si="1"/>
        <v>-8</v>
      </c>
      <c r="M23" s="78"/>
      <c r="N23" s="177"/>
      <c r="O23" s="177"/>
      <c r="P23" s="166"/>
    </row>
    <row r="24" spans="2:16" x14ac:dyDescent="0.25">
      <c r="C24" s="567"/>
      <c r="D24" s="58" t="s">
        <v>25</v>
      </c>
      <c r="E24" s="424" t="s">
        <v>220</v>
      </c>
      <c r="F24" s="71">
        <f ca="1">VLOOKUP(D24,'Summary | 01 '!$C$6:$R$43,13,0)</f>
        <v>0</v>
      </c>
      <c r="G24" s="573">
        <v>0</v>
      </c>
      <c r="H24" s="535"/>
      <c r="J24" s="568"/>
      <c r="K24" s="58" t="s">
        <v>57</v>
      </c>
      <c r="L24" s="71">
        <f t="shared" si="1"/>
        <v>-65</v>
      </c>
      <c r="M24" s="78"/>
      <c r="N24" s="177"/>
      <c r="O24" s="177"/>
      <c r="P24" s="166"/>
    </row>
    <row r="25" spans="2:16" x14ac:dyDescent="0.25">
      <c r="C25" s="567"/>
      <c r="D25" s="58" t="s">
        <v>156</v>
      </c>
      <c r="E25" s="424" t="s">
        <v>63</v>
      </c>
      <c r="F25" s="71">
        <f>VLOOKUP(D25,'Summary | 01 '!$C$6:$R$43,13,0)</f>
        <v>0</v>
      </c>
      <c r="G25" s="71">
        <v>0</v>
      </c>
      <c r="H25" s="535"/>
      <c r="J25" s="568"/>
      <c r="K25" s="177"/>
      <c r="L25" s="177"/>
      <c r="M25" s="177"/>
      <c r="N25" s="177"/>
      <c r="O25" s="177"/>
      <c r="P25" s="166"/>
    </row>
    <row r="26" spans="2:16" x14ac:dyDescent="0.25">
      <c r="C26" s="567"/>
      <c r="D26" s="58" t="s">
        <v>47</v>
      </c>
      <c r="E26" s="424" t="s">
        <v>220</v>
      </c>
      <c r="F26" s="71">
        <f ca="1">VLOOKUP(D26,'Summary | 01 '!$C$6:$R$43,13,0)</f>
        <v>1.001540300000002</v>
      </c>
      <c r="G26" s="71">
        <v>0</v>
      </c>
      <c r="H26" s="535"/>
      <c r="J26" s="568"/>
      <c r="K26" s="575" t="s">
        <v>500</v>
      </c>
      <c r="L26" s="576">
        <f>SUM(L8:L25)</f>
        <v>227.40000000000003</v>
      </c>
      <c r="M26" s="177"/>
      <c r="N26" s="177"/>
      <c r="O26" s="177"/>
      <c r="P26" s="166"/>
    </row>
    <row r="27" spans="2:16" x14ac:dyDescent="0.25">
      <c r="C27" s="567"/>
      <c r="D27" s="58" t="s">
        <v>411</v>
      </c>
      <c r="E27" s="424" t="s">
        <v>53</v>
      </c>
      <c r="F27" s="71">
        <f>VLOOKUP(D27,'Summary | 01 '!$C$6:$R$43,13,0)</f>
        <v>5.9019650000000035E-2</v>
      </c>
      <c r="G27" s="71">
        <v>0</v>
      </c>
      <c r="H27" s="535"/>
      <c r="J27" s="568"/>
      <c r="K27" s="577" t="s">
        <v>504</v>
      </c>
      <c r="L27" s="578">
        <f ca="1">'S | 02'!O27</f>
        <v>-35.531816972584615</v>
      </c>
      <c r="M27" s="177"/>
      <c r="N27" s="177"/>
      <c r="O27" s="177"/>
      <c r="P27" s="166"/>
    </row>
    <row r="28" spans="2:16" x14ac:dyDescent="0.25">
      <c r="C28" s="567"/>
      <c r="D28" s="58" t="s">
        <v>49</v>
      </c>
      <c r="E28" s="424" t="s">
        <v>220</v>
      </c>
      <c r="F28" s="71">
        <f ca="1">VLOOKUP(D28,'Summary | 01 '!$C$6:$R$43,13,0)</f>
        <v>2.5</v>
      </c>
      <c r="G28" s="71">
        <v>2.5</v>
      </c>
      <c r="H28" s="535"/>
      <c r="J28" s="568"/>
      <c r="K28" s="579" t="s">
        <v>505</v>
      </c>
      <c r="L28" s="580">
        <f ca="1">L27-L26</f>
        <v>-262.93181697258467</v>
      </c>
      <c r="M28" s="177"/>
      <c r="N28" s="177"/>
      <c r="O28" s="177"/>
      <c r="P28" s="166"/>
    </row>
    <row r="29" spans="2:16" s="164" customFormat="1" x14ac:dyDescent="0.25">
      <c r="B29" s="80"/>
      <c r="C29" s="162"/>
      <c r="D29" s="58" t="s">
        <v>174</v>
      </c>
      <c r="E29" s="424" t="s">
        <v>63</v>
      </c>
      <c r="F29" s="71">
        <f>VLOOKUP(D29,'Summary | 01 '!$C$6:$R$43,13,0)</f>
        <v>6.1926309113281963</v>
      </c>
      <c r="G29" s="71">
        <v>1</v>
      </c>
      <c r="H29" s="535"/>
      <c r="I29" s="81"/>
      <c r="J29" s="568"/>
      <c r="K29" s="352"/>
      <c r="L29" s="352"/>
      <c r="M29" s="352"/>
      <c r="N29" s="352"/>
      <c r="O29" s="352"/>
      <c r="P29" s="163"/>
    </row>
    <row r="30" spans="2:16" s="81" customFormat="1" x14ac:dyDescent="0.25">
      <c r="B30" s="80"/>
      <c r="C30" s="568"/>
      <c r="D30" s="58" t="s">
        <v>11</v>
      </c>
      <c r="E30" s="424" t="s">
        <v>220</v>
      </c>
      <c r="F30" s="71">
        <f ca="1">VLOOKUP(D30,'Summary | 01 '!$C$6:$R$43,13,0)</f>
        <v>59.249803636363637</v>
      </c>
      <c r="G30" s="71">
        <v>-39.700000000000003</v>
      </c>
      <c r="H30" s="535"/>
      <c r="J30" s="568"/>
      <c r="K30" s="317"/>
      <c r="L30" s="317"/>
      <c r="M30" s="317"/>
      <c r="N30" s="317"/>
      <c r="O30" s="317"/>
      <c r="P30" s="535"/>
    </row>
    <row r="31" spans="2:16" s="81" customFormat="1" x14ac:dyDescent="0.25">
      <c r="B31" s="80"/>
      <c r="C31" s="568"/>
      <c r="D31" s="58" t="s">
        <v>48</v>
      </c>
      <c r="E31" s="424" t="s">
        <v>220</v>
      </c>
      <c r="F31" s="71">
        <f ca="1">VLOOKUP(D31,'Summary | 01 '!$C$6:$R$43,13,0)</f>
        <v>68.082229999999996</v>
      </c>
      <c r="G31" s="71">
        <v>68.099999999999994</v>
      </c>
      <c r="H31" s="535"/>
      <c r="J31" s="568"/>
      <c r="K31" s="317"/>
      <c r="L31" s="317"/>
      <c r="M31" s="317"/>
      <c r="N31" s="317"/>
      <c r="O31" s="317"/>
      <c r="P31" s="535"/>
    </row>
    <row r="32" spans="2:16" s="81" customFormat="1" x14ac:dyDescent="0.25">
      <c r="B32" s="80"/>
      <c r="C32" s="568"/>
      <c r="D32" s="58" t="s">
        <v>44</v>
      </c>
      <c r="E32" s="424" t="s">
        <v>220</v>
      </c>
      <c r="F32" s="71">
        <f ca="1">VLOOKUP(D32,'Summary | 01 '!$C$6:$R$43,13,0)</f>
        <v>48.769989818181784</v>
      </c>
      <c r="G32" s="573">
        <v>0</v>
      </c>
      <c r="H32" s="535"/>
      <c r="J32" s="568"/>
      <c r="K32" s="317"/>
      <c r="L32" s="317"/>
      <c r="M32" s="317"/>
      <c r="N32" s="317"/>
      <c r="O32" s="317"/>
      <c r="P32" s="535"/>
    </row>
    <row r="33" spans="2:16" s="81" customFormat="1" ht="15.75" thickBot="1" x14ac:dyDescent="0.3">
      <c r="B33" s="80"/>
      <c r="C33" s="569"/>
      <c r="D33" s="171"/>
      <c r="E33" s="249"/>
      <c r="F33" s="249"/>
      <c r="G33" s="249"/>
      <c r="H33" s="570"/>
      <c r="J33" s="606"/>
      <c r="K33" s="249"/>
      <c r="L33" s="249"/>
      <c r="M33" s="249"/>
      <c r="N33" s="249"/>
      <c r="O33" s="249"/>
      <c r="P33" s="570"/>
    </row>
    <row r="34" spans="2:16" s="81" customFormat="1" x14ac:dyDescent="0.25">
      <c r="B34" s="80"/>
      <c r="C34" s="153"/>
    </row>
    <row r="35" spans="2:16" s="81" customFormat="1" x14ac:dyDescent="0.25">
      <c r="B35" s="80"/>
      <c r="C35" s="153"/>
    </row>
    <row r="36" spans="2:16" s="81" customFormat="1" x14ac:dyDescent="0.25">
      <c r="B36" s="80"/>
      <c r="C36" s="153"/>
    </row>
    <row r="37" spans="2:16" s="81" customFormat="1" x14ac:dyDescent="0.25">
      <c r="B37" s="80"/>
      <c r="C37" s="152"/>
    </row>
    <row r="41" spans="2:16" s="81" customFormat="1" x14ac:dyDescent="0.25">
      <c r="B41" s="80"/>
      <c r="C41" s="153"/>
    </row>
    <row r="42" spans="2:16" s="81" customFormat="1" x14ac:dyDescent="0.25">
      <c r="B42" s="80"/>
    </row>
    <row r="43" spans="2:16" s="81" customFormat="1" x14ac:dyDescent="0.25">
      <c r="B43" s="80"/>
    </row>
  </sheetData>
  <sortState ref="D8:G32">
    <sortCondition ref="F8:F32"/>
  </sortState>
  <mergeCells count="2">
    <mergeCell ref="K7:L7"/>
    <mergeCell ref="N7:O7"/>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7" tint="-0.249977111117893"/>
  </sheetPr>
  <dimension ref="A1:O41"/>
  <sheetViews>
    <sheetView showGridLines="0" zoomScaleNormal="100" workbookViewId="0"/>
  </sheetViews>
  <sheetFormatPr defaultRowHeight="15" outlineLevelRow="1" x14ac:dyDescent="0.25"/>
  <cols>
    <col min="1" max="2" width="9.140625" style="80"/>
    <col min="3" max="3" width="32.85546875" style="80" bestFit="1" customWidth="1"/>
    <col min="4" max="5" width="27.85546875" style="81" customWidth="1"/>
    <col min="6" max="6" width="27.85546875" style="80" customWidth="1"/>
    <col min="7" max="7" width="27.85546875" style="250" customWidth="1"/>
    <col min="8" max="10" width="9.140625" style="80"/>
    <col min="11" max="11" width="11.28515625" style="80" bestFit="1" customWidth="1"/>
    <col min="12" max="16384" width="9.140625" style="80"/>
  </cols>
  <sheetData>
    <row r="1" spans="1:15" x14ac:dyDescent="0.25">
      <c r="C1" s="152"/>
      <c r="D1" s="234"/>
      <c r="E1" s="234"/>
      <c r="F1" s="152"/>
    </row>
    <row r="2" spans="1:15" s="164" customFormat="1" ht="43.5" customHeight="1" thickBot="1" x14ac:dyDescent="0.5">
      <c r="C2" s="345" t="s">
        <v>301</v>
      </c>
      <c r="D2" s="346"/>
      <c r="F2" s="347"/>
      <c r="G2" s="347"/>
      <c r="H2" s="347"/>
      <c r="I2" s="347"/>
      <c r="J2" s="347"/>
      <c r="K2" s="348"/>
      <c r="L2" s="347"/>
    </row>
    <row r="3" spans="1:15" s="137" customFormat="1" ht="15.75" thickBot="1" x14ac:dyDescent="0.3">
      <c r="C3" s="271" t="s">
        <v>249</v>
      </c>
      <c r="D3" s="285">
        <f>'Summary | 01 '!D2</f>
        <v>45016</v>
      </c>
      <c r="E3" s="80"/>
      <c r="F3" s="80"/>
      <c r="G3" s="80"/>
      <c r="H3" s="80"/>
      <c r="I3" s="80"/>
      <c r="J3" s="80"/>
      <c r="K3" s="80"/>
      <c r="L3" s="80"/>
      <c r="M3" s="80"/>
      <c r="N3" s="80"/>
      <c r="O3" s="80"/>
    </row>
    <row r="4" spans="1:15" x14ac:dyDescent="0.25">
      <c r="C4" s="152"/>
      <c r="D4" s="234"/>
      <c r="E4" s="234"/>
      <c r="F4" s="152"/>
    </row>
    <row r="5" spans="1:15" ht="15.75" thickBot="1" x14ac:dyDescent="0.3">
      <c r="C5" s="152"/>
      <c r="D5" s="234"/>
      <c r="E5" s="234"/>
      <c r="F5" s="152"/>
    </row>
    <row r="6" spans="1:15" x14ac:dyDescent="0.25">
      <c r="B6" s="154"/>
      <c r="C6" s="155"/>
      <c r="D6" s="235"/>
      <c r="E6" s="235"/>
      <c r="F6" s="155"/>
      <c r="G6" s="251"/>
      <c r="H6" s="158"/>
    </row>
    <row r="7" spans="1:15" x14ac:dyDescent="0.25">
      <c r="A7" s="161"/>
      <c r="B7" s="159"/>
      <c r="C7" s="1" t="s">
        <v>62</v>
      </c>
      <c r="D7" s="1" t="s">
        <v>211</v>
      </c>
      <c r="E7" s="1" t="s">
        <v>76</v>
      </c>
      <c r="F7" s="1" t="s">
        <v>212</v>
      </c>
      <c r="G7" s="247" t="s">
        <v>213</v>
      </c>
      <c r="H7" s="160"/>
      <c r="I7" s="161"/>
    </row>
    <row r="8" spans="1:15" x14ac:dyDescent="0.25">
      <c r="A8" s="164"/>
      <c r="B8" s="162"/>
      <c r="C8" s="197"/>
      <c r="D8" s="236"/>
      <c r="E8" s="236"/>
      <c r="F8" s="197"/>
      <c r="G8" s="252"/>
      <c r="H8" s="163"/>
      <c r="I8" s="164"/>
    </row>
    <row r="9" spans="1:15" x14ac:dyDescent="0.25">
      <c r="B9" s="165"/>
      <c r="C9" s="70" t="s">
        <v>37</v>
      </c>
      <c r="D9" s="237"/>
      <c r="E9" s="237"/>
      <c r="F9" s="70"/>
      <c r="G9" s="253"/>
      <c r="H9" s="166"/>
    </row>
    <row r="10" spans="1:15" x14ac:dyDescent="0.25">
      <c r="B10" s="165"/>
      <c r="C10" s="58" t="s">
        <v>57</v>
      </c>
      <c r="D10" s="239">
        <v>13458655</v>
      </c>
      <c r="E10" s="239">
        <v>236116762</v>
      </c>
      <c r="F10" s="151">
        <f>D10/E10</f>
        <v>5.6999998161926343E-2</v>
      </c>
      <c r="G10" s="254" t="s">
        <v>215</v>
      </c>
      <c r="H10" s="166"/>
    </row>
    <row r="11" spans="1:15" x14ac:dyDescent="0.25">
      <c r="B11" s="165"/>
      <c r="C11" s="58" t="s">
        <v>0</v>
      </c>
      <c r="D11" s="239">
        <v>21419829</v>
      </c>
      <c r="E11" s="239">
        <v>152998776</v>
      </c>
      <c r="F11" s="151">
        <f>D11/E11</f>
        <v>0.14000000235296001</v>
      </c>
      <c r="G11" s="254" t="s">
        <v>215</v>
      </c>
      <c r="H11" s="166"/>
    </row>
    <row r="12" spans="1:15" x14ac:dyDescent="0.25">
      <c r="B12" s="165"/>
      <c r="C12" s="58" t="s">
        <v>48</v>
      </c>
      <c r="D12" s="239">
        <v>5205482</v>
      </c>
      <c r="E12" s="239">
        <v>61222609</v>
      </c>
      <c r="F12" s="151">
        <f>D12/E12</f>
        <v>8.5025484621212399E-2</v>
      </c>
      <c r="G12" s="254" t="s">
        <v>218</v>
      </c>
      <c r="H12" s="166"/>
    </row>
    <row r="13" spans="1:15" x14ac:dyDescent="0.25">
      <c r="B13" s="165"/>
      <c r="C13" s="58" t="s">
        <v>49</v>
      </c>
      <c r="D13" s="239" t="s">
        <v>180</v>
      </c>
      <c r="E13" s="239" t="s">
        <v>180</v>
      </c>
      <c r="F13" s="239" t="s">
        <v>180</v>
      </c>
      <c r="G13" s="254" t="s">
        <v>180</v>
      </c>
      <c r="H13" s="166"/>
    </row>
    <row r="14" spans="1:15" x14ac:dyDescent="0.25">
      <c r="B14" s="165"/>
      <c r="C14" s="58" t="s">
        <v>47</v>
      </c>
      <c r="D14" s="239">
        <v>17670202</v>
      </c>
      <c r="E14" s="239">
        <v>181428559.98023903</v>
      </c>
      <c r="F14" s="151">
        <f>D14/E14</f>
        <v>9.7394820318943254E-2</v>
      </c>
      <c r="G14" s="254" t="s">
        <v>218</v>
      </c>
      <c r="H14" s="166"/>
    </row>
    <row r="15" spans="1:15" x14ac:dyDescent="0.25">
      <c r="B15" s="165"/>
      <c r="C15" s="58" t="s">
        <v>133</v>
      </c>
      <c r="D15" s="239">
        <v>44328120</v>
      </c>
      <c r="E15" s="239">
        <v>823636945</v>
      </c>
      <c r="F15" s="151">
        <f>D15/E15</f>
        <v>5.3819975256209518E-2</v>
      </c>
      <c r="G15" s="254" t="s">
        <v>219</v>
      </c>
      <c r="H15" s="166"/>
    </row>
    <row r="16" spans="1:15" x14ac:dyDescent="0.25">
      <c r="B16" s="165"/>
      <c r="C16" s="58" t="s">
        <v>11</v>
      </c>
      <c r="D16" s="239">
        <v>3565017.22</v>
      </c>
      <c r="E16" s="239">
        <f>D16/F16</f>
        <v>24791496.662030596</v>
      </c>
      <c r="F16" s="151">
        <v>0.14380000000000001</v>
      </c>
      <c r="G16" s="254" t="s">
        <v>215</v>
      </c>
      <c r="H16" s="166"/>
    </row>
    <row r="17" spans="1:11" x14ac:dyDescent="0.25">
      <c r="B17" s="165"/>
      <c r="C17" s="58" t="s">
        <v>24</v>
      </c>
      <c r="D17" s="239">
        <v>7959497</v>
      </c>
      <c r="E17" s="239">
        <v>265316566.66666669</v>
      </c>
      <c r="F17" s="151">
        <v>0.03</v>
      </c>
      <c r="G17" s="254" t="s">
        <v>216</v>
      </c>
      <c r="H17" s="166"/>
    </row>
    <row r="18" spans="1:11" x14ac:dyDescent="0.25">
      <c r="B18" s="165"/>
      <c r="C18" s="58" t="s">
        <v>50</v>
      </c>
      <c r="D18" s="239">
        <v>1441711</v>
      </c>
      <c r="E18" s="239" t="s">
        <v>180</v>
      </c>
      <c r="F18" s="151">
        <v>0.01</v>
      </c>
      <c r="G18" s="254" t="s">
        <v>217</v>
      </c>
      <c r="H18" s="166"/>
    </row>
    <row r="19" spans="1:11" x14ac:dyDescent="0.25">
      <c r="B19" s="165"/>
      <c r="C19" s="58" t="s">
        <v>51</v>
      </c>
      <c r="D19" s="239">
        <v>3000000</v>
      </c>
      <c r="E19" s="239">
        <v>43750000</v>
      </c>
      <c r="F19" s="151">
        <f>D19/E19</f>
        <v>6.8571428571428575E-2</v>
      </c>
      <c r="G19" s="254" t="s">
        <v>216</v>
      </c>
      <c r="H19" s="166"/>
    </row>
    <row r="20" spans="1:11" x14ac:dyDescent="0.25">
      <c r="B20" s="165"/>
      <c r="C20" s="58" t="s">
        <v>52</v>
      </c>
      <c r="D20" s="239">
        <v>33267</v>
      </c>
      <c r="E20" s="239">
        <v>2895450</v>
      </c>
      <c r="F20" s="151">
        <f>D20/E20</f>
        <v>1.1489405791845828E-2</v>
      </c>
      <c r="G20" s="254" t="s">
        <v>216</v>
      </c>
      <c r="H20" s="166"/>
    </row>
    <row r="21" spans="1:11" x14ac:dyDescent="0.25">
      <c r="B21" s="165"/>
      <c r="C21" s="58" t="s">
        <v>113</v>
      </c>
      <c r="D21" s="246"/>
      <c r="E21" s="246"/>
      <c r="F21" s="151">
        <f>10% * 1/2</f>
        <v>0.05</v>
      </c>
      <c r="G21" s="254" t="s">
        <v>215</v>
      </c>
      <c r="H21" s="166"/>
    </row>
    <row r="22" spans="1:11" x14ac:dyDescent="0.25">
      <c r="B22" s="165"/>
      <c r="C22" s="58" t="s">
        <v>25</v>
      </c>
      <c r="D22" s="246"/>
      <c r="E22" s="246"/>
      <c r="F22" s="151">
        <v>9.4299999999999995E-2</v>
      </c>
      <c r="G22" s="254" t="s">
        <v>337</v>
      </c>
      <c r="H22" s="166"/>
    </row>
    <row r="23" spans="1:11" x14ac:dyDescent="0.25">
      <c r="B23" s="165"/>
      <c r="C23" s="58" t="s">
        <v>134</v>
      </c>
      <c r="D23" s="239">
        <v>10386274</v>
      </c>
      <c r="E23" s="239">
        <f>81483600+23093860</f>
        <v>104577460</v>
      </c>
      <c r="F23" s="151">
        <f>D23/E23</f>
        <v>9.9316564009108654E-2</v>
      </c>
      <c r="G23" s="254" t="s">
        <v>214</v>
      </c>
      <c r="H23" s="166"/>
    </row>
    <row r="24" spans="1:11" x14ac:dyDescent="0.25">
      <c r="B24" s="165"/>
      <c r="C24" s="58" t="s">
        <v>44</v>
      </c>
      <c r="D24" s="246"/>
      <c r="E24" s="246"/>
      <c r="F24" s="151">
        <f>4.705882%* 0.8/2</f>
        <v>1.8823528000000003E-2</v>
      </c>
      <c r="G24" s="254" t="s">
        <v>215</v>
      </c>
      <c r="H24" s="166"/>
      <c r="J24" s="244"/>
      <c r="K24" s="244"/>
    </row>
    <row r="25" spans="1:11" x14ac:dyDescent="0.25">
      <c r="B25" s="165"/>
      <c r="C25" s="59" t="s">
        <v>418</v>
      </c>
      <c r="D25" s="239" t="s">
        <v>180</v>
      </c>
      <c r="E25" s="239" t="s">
        <v>180</v>
      </c>
      <c r="F25" s="239" t="s">
        <v>180</v>
      </c>
      <c r="G25" s="254" t="s">
        <v>180</v>
      </c>
      <c r="H25" s="166"/>
      <c r="J25" s="244"/>
      <c r="K25" s="244"/>
    </row>
    <row r="26" spans="1:11" x14ac:dyDescent="0.25">
      <c r="A26" s="169"/>
      <c r="B26" s="167"/>
      <c r="C26" s="63"/>
      <c r="D26" s="240"/>
      <c r="E26" s="240"/>
      <c r="F26" s="75"/>
      <c r="G26" s="255"/>
      <c r="H26" s="168"/>
      <c r="I26" s="169"/>
      <c r="J26" s="244"/>
      <c r="K26" s="244"/>
    </row>
    <row r="27" spans="1:11" hidden="1" outlineLevel="1" x14ac:dyDescent="0.25">
      <c r="B27" s="165"/>
      <c r="C27" s="70" t="s">
        <v>38</v>
      </c>
      <c r="D27" s="241"/>
      <c r="E27" s="241"/>
      <c r="F27" s="243"/>
      <c r="G27" s="257"/>
      <c r="H27" s="166"/>
      <c r="J27" s="245"/>
      <c r="K27" s="245"/>
    </row>
    <row r="28" spans="1:11" hidden="1" outlineLevel="1" x14ac:dyDescent="0.25">
      <c r="B28" s="165"/>
      <c r="C28" s="58" t="s">
        <v>58</v>
      </c>
      <c r="D28" s="239"/>
      <c r="E28" s="239"/>
      <c r="F28" s="151"/>
      <c r="G28" s="256"/>
      <c r="H28" s="166"/>
    </row>
    <row r="29" spans="1:11" hidden="1" outlineLevel="1" x14ac:dyDescent="0.25">
      <c r="B29" s="165"/>
      <c r="C29" s="58" t="s">
        <v>0</v>
      </c>
      <c r="D29" s="239"/>
      <c r="E29" s="239"/>
      <c r="F29" s="151"/>
      <c r="G29" s="256"/>
      <c r="H29" s="166"/>
      <c r="K29" s="245"/>
    </row>
    <row r="30" spans="1:11" hidden="1" outlineLevel="1" x14ac:dyDescent="0.25">
      <c r="B30" s="165"/>
      <c r="C30" s="58" t="s">
        <v>49</v>
      </c>
      <c r="D30" s="239"/>
      <c r="E30" s="239"/>
      <c r="F30" s="151"/>
      <c r="G30" s="256"/>
      <c r="H30" s="166"/>
    </row>
    <row r="31" spans="1:11" hidden="1" outlineLevel="1" x14ac:dyDescent="0.25">
      <c r="A31" s="169"/>
      <c r="B31" s="167"/>
      <c r="C31" s="63"/>
      <c r="D31" s="240"/>
      <c r="E31" s="240"/>
      <c r="F31" s="75"/>
      <c r="G31" s="258"/>
      <c r="H31" s="168"/>
      <c r="I31" s="169"/>
    </row>
    <row r="32" spans="1:11" hidden="1" outlineLevel="1" x14ac:dyDescent="0.25">
      <c r="A32" s="164"/>
      <c r="B32" s="162"/>
      <c r="C32" s="59"/>
      <c r="D32" s="82"/>
      <c r="E32" s="82"/>
      <c r="F32" s="242"/>
      <c r="G32" s="256"/>
      <c r="H32" s="163"/>
      <c r="I32" s="164"/>
    </row>
    <row r="33" spans="2:8" hidden="1" outlineLevel="1" x14ac:dyDescent="0.25">
      <c r="B33" s="165"/>
      <c r="C33" s="70" t="s">
        <v>39</v>
      </c>
      <c r="D33" s="241"/>
      <c r="E33" s="241"/>
      <c r="F33" s="243"/>
      <c r="G33" s="257"/>
      <c r="H33" s="166"/>
    </row>
    <row r="34" spans="2:8" hidden="1" outlineLevel="1" x14ac:dyDescent="0.25">
      <c r="B34" s="165"/>
      <c r="C34" s="58" t="s">
        <v>174</v>
      </c>
      <c r="D34" s="239"/>
      <c r="E34" s="239"/>
      <c r="F34" s="151"/>
      <c r="G34" s="256"/>
      <c r="H34" s="166"/>
    </row>
    <row r="35" spans="2:8" hidden="1" outlineLevel="1" x14ac:dyDescent="0.25">
      <c r="B35" s="165"/>
      <c r="C35" s="58" t="s">
        <v>156</v>
      </c>
      <c r="D35" s="239"/>
      <c r="E35" s="239"/>
      <c r="F35" s="151"/>
      <c r="G35" s="256"/>
      <c r="H35" s="166"/>
    </row>
    <row r="36" spans="2:8" hidden="1" outlineLevel="1" x14ac:dyDescent="0.25">
      <c r="B36" s="165"/>
      <c r="C36" s="58" t="s">
        <v>1</v>
      </c>
      <c r="D36" s="239"/>
      <c r="E36" s="239"/>
      <c r="F36" s="151"/>
      <c r="G36" s="256"/>
      <c r="H36" s="166"/>
    </row>
    <row r="37" spans="2:8" hidden="1" outlineLevel="1" x14ac:dyDescent="0.25">
      <c r="B37" s="165"/>
      <c r="C37" s="58" t="s">
        <v>15</v>
      </c>
      <c r="D37" s="239"/>
      <c r="E37" s="239"/>
      <c r="F37" s="151"/>
      <c r="G37" s="256"/>
      <c r="H37" s="166"/>
    </row>
    <row r="38" spans="2:8" hidden="1" outlineLevel="1" x14ac:dyDescent="0.25">
      <c r="B38" s="165"/>
      <c r="C38" s="58" t="s">
        <v>237</v>
      </c>
      <c r="D38" s="239"/>
      <c r="E38" s="239"/>
      <c r="F38" s="151">
        <f>1/3</f>
        <v>0.33333333333333331</v>
      </c>
      <c r="G38" s="256"/>
      <c r="H38" s="166"/>
    </row>
    <row r="39" spans="2:8" collapsed="1" x14ac:dyDescent="0.25">
      <c r="B39" s="165"/>
      <c r="C39" s="59"/>
      <c r="D39" s="82"/>
      <c r="E39" s="82"/>
      <c r="F39" s="242"/>
      <c r="G39" s="256"/>
      <c r="H39" s="166"/>
    </row>
    <row r="40" spans="2:8" ht="15.75" thickBot="1" x14ac:dyDescent="0.3">
      <c r="B40" s="170"/>
      <c r="C40" s="171"/>
      <c r="D40" s="238"/>
      <c r="E40" s="238"/>
      <c r="F40" s="171"/>
      <c r="G40" s="259"/>
      <c r="H40" s="174"/>
    </row>
    <row r="41" spans="2:8" x14ac:dyDescent="0.25">
      <c r="C41" s="152"/>
      <c r="D41" s="234"/>
      <c r="E41" s="234"/>
      <c r="F41" s="152"/>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39997558519241921"/>
  </sheetPr>
  <dimension ref="B1:H48"/>
  <sheetViews>
    <sheetView showGridLines="0" zoomScale="90" zoomScaleNormal="90" workbookViewId="0">
      <selection activeCell="E19" sqref="E19"/>
    </sheetView>
  </sheetViews>
  <sheetFormatPr defaultRowHeight="15" x14ac:dyDescent="0.25"/>
  <cols>
    <col min="1" max="1" width="5.42578125" style="80" customWidth="1"/>
    <col min="2" max="2" width="2.42578125" style="80" customWidth="1"/>
    <col min="3" max="3" width="26.28515625" style="152" customWidth="1"/>
    <col min="4" max="4" width="27" style="81" customWidth="1"/>
    <col min="5" max="5" width="38.140625" style="153" customWidth="1"/>
    <col min="6" max="6" width="8.42578125" style="81" customWidth="1"/>
    <col min="7" max="7" width="35.85546875" style="81" customWidth="1"/>
    <col min="8" max="8" width="2.28515625" style="80" customWidth="1"/>
    <col min="9" max="9" width="2.42578125" style="80" customWidth="1"/>
    <col min="10" max="16384" width="9.140625" style="80"/>
  </cols>
  <sheetData>
    <row r="1" spans="2:8" ht="15.75" thickBot="1" x14ac:dyDescent="0.3"/>
    <row r="2" spans="2:8" x14ac:dyDescent="0.25">
      <c r="B2" s="154"/>
      <c r="C2" s="155"/>
      <c r="D2" s="156"/>
      <c r="E2" s="157"/>
      <c r="F2" s="156"/>
      <c r="G2" s="156"/>
      <c r="H2" s="158"/>
    </row>
    <row r="3" spans="2:8" s="161" customFormat="1" ht="30" customHeight="1" x14ac:dyDescent="0.25">
      <c r="B3" s="159"/>
      <c r="C3" s="57" t="s">
        <v>62</v>
      </c>
      <c r="D3" s="1" t="s">
        <v>204</v>
      </c>
      <c r="E3" s="57" t="s">
        <v>125</v>
      </c>
      <c r="F3" s="1" t="s">
        <v>138</v>
      </c>
      <c r="G3" s="199" t="s">
        <v>4</v>
      </c>
      <c r="H3" s="160"/>
    </row>
    <row r="4" spans="2:8" s="164" customFormat="1" x14ac:dyDescent="0.25">
      <c r="B4" s="162"/>
      <c r="C4" s="59"/>
      <c r="D4" s="62"/>
      <c r="E4" s="104"/>
      <c r="F4" s="62"/>
      <c r="G4" s="62"/>
      <c r="H4" s="163"/>
    </row>
    <row r="5" spans="2:8" x14ac:dyDescent="0.25">
      <c r="B5" s="165"/>
      <c r="C5" s="70" t="s">
        <v>37</v>
      </c>
      <c r="D5" s="56"/>
      <c r="E5" s="105"/>
      <c r="F5" s="56"/>
      <c r="G5" s="56"/>
      <c r="H5" s="166"/>
    </row>
    <row r="6" spans="2:8" x14ac:dyDescent="0.25">
      <c r="B6" s="165"/>
      <c r="C6" s="58" t="s">
        <v>0</v>
      </c>
      <c r="D6" s="102" t="s">
        <v>153</v>
      </c>
      <c r="E6" s="106" t="s">
        <v>148</v>
      </c>
      <c r="F6" s="514"/>
      <c r="G6" s="111"/>
      <c r="H6" s="166"/>
    </row>
    <row r="7" spans="2:8" x14ac:dyDescent="0.25">
      <c r="B7" s="165"/>
      <c r="C7" s="58" t="s">
        <v>48</v>
      </c>
      <c r="D7" s="102" t="s">
        <v>153</v>
      </c>
      <c r="E7" s="106" t="s">
        <v>540</v>
      </c>
      <c r="F7" s="514"/>
      <c r="G7" s="111"/>
      <c r="H7" s="166"/>
    </row>
    <row r="8" spans="2:8" x14ac:dyDescent="0.25">
      <c r="B8" s="165"/>
      <c r="C8" s="58" t="s">
        <v>49</v>
      </c>
      <c r="D8" s="102" t="s">
        <v>194</v>
      </c>
      <c r="E8" s="106" t="s">
        <v>180</v>
      </c>
      <c r="F8" s="514" t="s">
        <v>177</v>
      </c>
      <c r="G8" s="102" t="s">
        <v>181</v>
      </c>
      <c r="H8" s="166"/>
    </row>
    <row r="9" spans="2:8" x14ac:dyDescent="0.25">
      <c r="B9" s="165"/>
      <c r="C9" s="58" t="s">
        <v>57</v>
      </c>
      <c r="D9" s="102" t="s">
        <v>153</v>
      </c>
      <c r="E9" s="106" t="s">
        <v>539</v>
      </c>
      <c r="F9" s="514" t="s">
        <v>176</v>
      </c>
      <c r="G9" s="102"/>
      <c r="H9" s="166"/>
    </row>
    <row r="10" spans="2:8" x14ac:dyDescent="0.25">
      <c r="B10" s="165"/>
      <c r="C10" s="58" t="s">
        <v>47</v>
      </c>
      <c r="D10" s="102" t="s">
        <v>153</v>
      </c>
      <c r="E10" s="106" t="s">
        <v>540</v>
      </c>
      <c r="F10" s="514" t="s">
        <v>178</v>
      </c>
      <c r="G10" s="111"/>
      <c r="H10" s="166"/>
    </row>
    <row r="11" spans="2:8" x14ac:dyDescent="0.25">
      <c r="B11" s="165"/>
      <c r="C11" s="58" t="s">
        <v>133</v>
      </c>
      <c r="D11" s="102" t="s">
        <v>153</v>
      </c>
      <c r="E11" s="106" t="s">
        <v>144</v>
      </c>
      <c r="F11" s="514"/>
      <c r="G11" s="111"/>
      <c r="H11" s="166"/>
    </row>
    <row r="12" spans="2:8" x14ac:dyDescent="0.25">
      <c r="B12" s="165"/>
      <c r="C12" s="58" t="s">
        <v>11</v>
      </c>
      <c r="D12" s="102" t="s">
        <v>154</v>
      </c>
      <c r="E12" s="106" t="s">
        <v>147</v>
      </c>
      <c r="F12" s="514"/>
      <c r="G12" s="111"/>
      <c r="H12" s="166"/>
    </row>
    <row r="13" spans="2:8" x14ac:dyDescent="0.25">
      <c r="B13" s="165"/>
      <c r="C13" s="58" t="s">
        <v>24</v>
      </c>
      <c r="D13" s="102" t="s">
        <v>153</v>
      </c>
      <c r="E13" s="106" t="s">
        <v>150</v>
      </c>
      <c r="F13" s="514"/>
      <c r="G13" s="111"/>
      <c r="H13" s="166"/>
    </row>
    <row r="14" spans="2:8" x14ac:dyDescent="0.25">
      <c r="B14" s="165"/>
      <c r="C14" s="58" t="s">
        <v>50</v>
      </c>
      <c r="D14" s="102" t="s">
        <v>152</v>
      </c>
      <c r="E14" s="106" t="s">
        <v>149</v>
      </c>
      <c r="F14" s="514" t="s">
        <v>179</v>
      </c>
      <c r="G14" s="111"/>
      <c r="H14" s="166"/>
    </row>
    <row r="15" spans="2:8" x14ac:dyDescent="0.25">
      <c r="B15" s="165"/>
      <c r="C15" s="58" t="s">
        <v>51</v>
      </c>
      <c r="D15" s="102" t="s">
        <v>155</v>
      </c>
      <c r="E15" s="106" t="s">
        <v>146</v>
      </c>
      <c r="F15" s="514"/>
      <c r="G15" s="111"/>
      <c r="H15" s="166"/>
    </row>
    <row r="16" spans="2:8" x14ac:dyDescent="0.25">
      <c r="B16" s="165"/>
      <c r="C16" s="58" t="s">
        <v>52</v>
      </c>
      <c r="D16" s="102" t="s">
        <v>152</v>
      </c>
      <c r="E16" s="106" t="s">
        <v>145</v>
      </c>
      <c r="F16" s="514"/>
      <c r="G16" s="111"/>
      <c r="H16" s="166"/>
    </row>
    <row r="17" spans="2:8" x14ac:dyDescent="0.25">
      <c r="B17" s="165"/>
      <c r="C17" s="58" t="s">
        <v>113</v>
      </c>
      <c r="D17" s="102" t="s">
        <v>194</v>
      </c>
      <c r="E17" s="106" t="s">
        <v>180</v>
      </c>
      <c r="F17" s="515"/>
      <c r="G17" s="111"/>
      <c r="H17" s="166"/>
    </row>
    <row r="18" spans="2:8" x14ac:dyDescent="0.25">
      <c r="B18" s="165"/>
      <c r="C18" s="58" t="s">
        <v>25</v>
      </c>
      <c r="D18" s="102" t="s">
        <v>152</v>
      </c>
      <c r="E18" s="106" t="s">
        <v>151</v>
      </c>
      <c r="F18" s="515"/>
      <c r="G18" s="111"/>
      <c r="H18" s="166"/>
    </row>
    <row r="19" spans="2:8" x14ac:dyDescent="0.25">
      <c r="B19" s="165"/>
      <c r="C19" s="58" t="s">
        <v>134</v>
      </c>
      <c r="D19" s="102" t="s">
        <v>443</v>
      </c>
      <c r="E19" s="106" t="s">
        <v>445</v>
      </c>
      <c r="F19" s="515"/>
      <c r="G19" s="111"/>
      <c r="H19" s="166"/>
    </row>
    <row r="20" spans="2:8" x14ac:dyDescent="0.25">
      <c r="B20" s="165"/>
      <c r="C20" s="58" t="s">
        <v>44</v>
      </c>
      <c r="D20" s="102" t="s">
        <v>194</v>
      </c>
      <c r="E20" s="106" t="s">
        <v>180</v>
      </c>
      <c r="F20" s="514" t="s">
        <v>444</v>
      </c>
      <c r="G20" s="111"/>
      <c r="H20" s="166"/>
    </row>
    <row r="21" spans="2:8" s="169" customFormat="1" x14ac:dyDescent="0.25">
      <c r="B21" s="167"/>
      <c r="C21" s="63"/>
      <c r="D21" s="103"/>
      <c r="E21" s="107"/>
      <c r="F21" s="516"/>
      <c r="G21" s="362"/>
      <c r="H21" s="168"/>
    </row>
    <row r="22" spans="2:8" s="164" customFormat="1" x14ac:dyDescent="0.25">
      <c r="B22" s="162"/>
      <c r="C22" s="59"/>
      <c r="D22" s="76"/>
      <c r="E22" s="108"/>
      <c r="F22" s="76"/>
      <c r="G22" s="363"/>
      <c r="H22" s="163"/>
    </row>
    <row r="23" spans="2:8" x14ac:dyDescent="0.25">
      <c r="B23" s="165"/>
      <c r="C23" s="70" t="s">
        <v>38</v>
      </c>
      <c r="D23" s="74"/>
      <c r="E23" s="109"/>
      <c r="F23" s="74"/>
      <c r="G23" s="364"/>
      <c r="H23" s="166"/>
    </row>
    <row r="24" spans="2:8" x14ac:dyDescent="0.25">
      <c r="B24" s="165"/>
      <c r="C24" s="58" t="s">
        <v>58</v>
      </c>
      <c r="D24" s="74" t="s">
        <v>194</v>
      </c>
      <c r="E24" s="109"/>
      <c r="F24" s="74"/>
      <c r="G24" s="364"/>
      <c r="H24" s="166"/>
    </row>
    <row r="25" spans="2:8" x14ac:dyDescent="0.25">
      <c r="B25" s="165"/>
      <c r="C25" s="58" t="s">
        <v>0</v>
      </c>
      <c r="D25" s="102" t="s">
        <v>153</v>
      </c>
      <c r="E25" s="106" t="s">
        <v>148</v>
      </c>
      <c r="F25" s="102"/>
      <c r="G25" s="111"/>
      <c r="H25" s="166"/>
    </row>
    <row r="26" spans="2:8" x14ac:dyDescent="0.25">
      <c r="B26" s="165"/>
      <c r="C26" s="58" t="s">
        <v>49</v>
      </c>
      <c r="D26" s="102" t="s">
        <v>194</v>
      </c>
      <c r="E26" s="106"/>
      <c r="F26" s="102"/>
      <c r="G26" s="111"/>
      <c r="H26" s="166"/>
    </row>
    <row r="27" spans="2:8" s="169" customFormat="1" x14ac:dyDescent="0.25">
      <c r="B27" s="167"/>
      <c r="C27" s="63"/>
      <c r="D27" s="75"/>
      <c r="E27" s="110"/>
      <c r="F27" s="75"/>
      <c r="G27" s="365"/>
      <c r="H27" s="168"/>
    </row>
    <row r="28" spans="2:8" s="164" customFormat="1" x14ac:dyDescent="0.25">
      <c r="B28" s="162"/>
      <c r="C28" s="59"/>
      <c r="D28" s="76"/>
      <c r="E28" s="108"/>
      <c r="F28" s="76"/>
      <c r="G28" s="363"/>
      <c r="H28" s="163"/>
    </row>
    <row r="29" spans="2:8" x14ac:dyDescent="0.25">
      <c r="B29" s="165"/>
      <c r="C29" s="70" t="s">
        <v>39</v>
      </c>
      <c r="D29" s="74"/>
      <c r="E29" s="150"/>
      <c r="F29" s="151"/>
      <c r="G29" s="366"/>
      <c r="H29" s="166"/>
    </row>
    <row r="30" spans="2:8" x14ac:dyDescent="0.25">
      <c r="B30" s="165"/>
      <c r="C30" s="58" t="s">
        <v>174</v>
      </c>
      <c r="D30" s="74" t="s">
        <v>194</v>
      </c>
      <c r="E30" s="109"/>
      <c r="F30" s="74"/>
      <c r="G30" s="364"/>
      <c r="H30" s="166"/>
    </row>
    <row r="31" spans="2:8" x14ac:dyDescent="0.25">
      <c r="B31" s="165"/>
      <c r="C31" s="58" t="s">
        <v>156</v>
      </c>
      <c r="D31" s="74"/>
      <c r="E31" s="109" t="s">
        <v>157</v>
      </c>
      <c r="F31" s="74"/>
      <c r="G31" s="364"/>
      <c r="H31" s="166"/>
    </row>
    <row r="32" spans="2:8" x14ac:dyDescent="0.25">
      <c r="B32" s="165"/>
      <c r="C32" s="58" t="s">
        <v>1</v>
      </c>
      <c r="D32" s="74" t="s">
        <v>194</v>
      </c>
      <c r="E32" s="109"/>
      <c r="F32" s="74"/>
      <c r="G32" s="364"/>
      <c r="H32" s="166"/>
    </row>
    <row r="33" spans="2:8" x14ac:dyDescent="0.25">
      <c r="B33" s="165"/>
      <c r="C33" s="58" t="s">
        <v>15</v>
      </c>
      <c r="D33" s="74" t="s">
        <v>194</v>
      </c>
      <c r="E33" s="109"/>
      <c r="F33" s="74"/>
      <c r="G33" s="364"/>
      <c r="H33" s="166"/>
    </row>
    <row r="34" spans="2:8" x14ac:dyDescent="0.25">
      <c r="B34" s="165"/>
      <c r="C34" s="58" t="s">
        <v>237</v>
      </c>
      <c r="D34" s="74" t="s">
        <v>463</v>
      </c>
      <c r="E34" s="109" t="s">
        <v>462</v>
      </c>
      <c r="F34" s="74"/>
      <c r="G34" s="361" t="s">
        <v>196</v>
      </c>
      <c r="H34" s="166"/>
    </row>
    <row r="35" spans="2:8" s="169" customFormat="1" x14ac:dyDescent="0.25">
      <c r="B35" s="167"/>
      <c r="C35" s="63"/>
      <c r="D35" s="75"/>
      <c r="E35" s="110"/>
      <c r="F35" s="75"/>
      <c r="G35" s="75"/>
      <c r="H35" s="168"/>
    </row>
    <row r="36" spans="2:8" ht="15.75" thickBot="1" x14ac:dyDescent="0.3">
      <c r="B36" s="170"/>
      <c r="C36" s="171"/>
      <c r="D36" s="172"/>
      <c r="E36" s="173"/>
      <c r="F36" s="172"/>
      <c r="G36" s="172"/>
      <c r="H36" s="174"/>
    </row>
    <row r="37" spans="2:8" x14ac:dyDescent="0.25">
      <c r="D37" s="175"/>
      <c r="E37" s="176"/>
      <c r="F37" s="175"/>
      <c r="G37" s="175"/>
    </row>
    <row r="38" spans="2:8" x14ac:dyDescent="0.25">
      <c r="B38" s="177"/>
      <c r="C38" s="152" t="s">
        <v>185</v>
      </c>
    </row>
    <row r="39" spans="2:8" x14ac:dyDescent="0.25">
      <c r="B39" s="177"/>
      <c r="C39" s="152" t="s">
        <v>195</v>
      </c>
    </row>
    <row r="40" spans="2:8" x14ac:dyDescent="0.25">
      <c r="B40" s="518"/>
      <c r="C40" s="152" t="s">
        <v>205</v>
      </c>
    </row>
    <row r="41" spans="2:8" x14ac:dyDescent="0.25">
      <c r="B41" s="517">
        <v>1</v>
      </c>
      <c r="C41" s="152" t="s">
        <v>439</v>
      </c>
      <c r="D41" s="153"/>
    </row>
    <row r="42" spans="2:8" x14ac:dyDescent="0.25">
      <c r="B42" s="517">
        <v>2</v>
      </c>
      <c r="C42" s="153" t="s">
        <v>440</v>
      </c>
      <c r="D42" s="153"/>
    </row>
    <row r="43" spans="2:8" x14ac:dyDescent="0.25">
      <c r="B43" s="517">
        <v>3</v>
      </c>
      <c r="C43" s="152" t="s">
        <v>441</v>
      </c>
      <c r="D43" s="153"/>
    </row>
    <row r="44" spans="2:8" x14ac:dyDescent="0.25">
      <c r="B44" s="517">
        <v>4</v>
      </c>
      <c r="C44" s="152" t="s">
        <v>442</v>
      </c>
      <c r="D44" s="153"/>
    </row>
    <row r="45" spans="2:8" x14ac:dyDescent="0.25">
      <c r="B45" s="517">
        <v>5</v>
      </c>
      <c r="C45" s="152" t="s">
        <v>446</v>
      </c>
      <c r="D45" s="153"/>
    </row>
    <row r="46" spans="2:8" x14ac:dyDescent="0.25">
      <c r="B46" s="517"/>
      <c r="C46" s="81"/>
    </row>
    <row r="47" spans="2:8" x14ac:dyDescent="0.25">
      <c r="C47" s="152" t="s">
        <v>447</v>
      </c>
    </row>
    <row r="48" spans="2:8" x14ac:dyDescent="0.25">
      <c r="C48"/>
    </row>
  </sheetData>
  <pageMargins left="0.7" right="0.7" top="0.75" bottom="0.75" header="0.3" footer="0.3"/>
  <pageSetup paperSize="9" orientation="portrait" verticalDpi="0" r:id="rId1"/>
  <ignoredErrors>
    <ignoredError sqref="F10:F14 F20 F6:F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H26"/>
  <sheetViews>
    <sheetView workbookViewId="0">
      <selection activeCell="C25" sqref="C25"/>
    </sheetView>
  </sheetViews>
  <sheetFormatPr defaultRowHeight="15" x14ac:dyDescent="0.3"/>
  <cols>
    <col min="1" max="1" width="9.140625" style="521"/>
    <col min="2" max="2" width="12.5703125" style="521" customWidth="1"/>
    <col min="3" max="16384" width="9.140625" style="521"/>
  </cols>
  <sheetData>
    <row r="2" spans="2:8" x14ac:dyDescent="0.3">
      <c r="B2" s="521" t="s">
        <v>450</v>
      </c>
      <c r="C2" s="521" t="s">
        <v>451</v>
      </c>
    </row>
    <row r="3" spans="2:8" x14ac:dyDescent="0.3">
      <c r="B3" s="519" t="s">
        <v>523</v>
      </c>
      <c r="C3" s="520"/>
      <c r="D3" s="520"/>
      <c r="E3" s="520"/>
      <c r="F3" s="520"/>
      <c r="G3" s="520"/>
      <c r="H3" s="520"/>
    </row>
    <row r="4" spans="2:8" x14ac:dyDescent="0.3">
      <c r="C4" s="521" t="s">
        <v>416</v>
      </c>
    </row>
    <row r="5" spans="2:8" x14ac:dyDescent="0.3">
      <c r="C5" s="521" t="s">
        <v>424</v>
      </c>
    </row>
    <row r="6" spans="2:8" x14ac:dyDescent="0.3">
      <c r="C6" s="521" t="s">
        <v>449</v>
      </c>
    </row>
    <row r="7" spans="2:8" x14ac:dyDescent="0.3">
      <c r="C7" s="521" t="s">
        <v>437</v>
      </c>
    </row>
    <row r="9" spans="2:8" x14ac:dyDescent="0.3">
      <c r="B9" s="519" t="s">
        <v>524</v>
      </c>
      <c r="C9" s="522"/>
      <c r="D9" s="520"/>
      <c r="E9" s="520"/>
      <c r="F9" s="520"/>
      <c r="G9" s="520"/>
      <c r="H9" s="520"/>
    </row>
    <row r="10" spans="2:8" x14ac:dyDescent="0.3">
      <c r="B10" s="523">
        <v>44887</v>
      </c>
      <c r="C10" s="521" t="s">
        <v>448</v>
      </c>
    </row>
    <row r="11" spans="2:8" x14ac:dyDescent="0.3">
      <c r="C11" s="521" t="s">
        <v>460</v>
      </c>
    </row>
    <row r="12" spans="2:8" x14ac:dyDescent="0.3">
      <c r="C12" s="521" t="s">
        <v>461</v>
      </c>
    </row>
    <row r="13" spans="2:8" x14ac:dyDescent="0.3">
      <c r="C13" s="521" t="s">
        <v>493</v>
      </c>
    </row>
    <row r="14" spans="2:8" x14ac:dyDescent="0.3">
      <c r="C14" s="521" t="s">
        <v>495</v>
      </c>
    </row>
    <row r="17" spans="2:8" x14ac:dyDescent="0.3">
      <c r="B17" s="519" t="s">
        <v>525</v>
      </c>
      <c r="C17" s="522"/>
      <c r="D17" s="520"/>
      <c r="E17" s="520"/>
      <c r="F17" s="520"/>
      <c r="G17" s="520"/>
      <c r="H17" s="520"/>
    </row>
    <row r="18" spans="2:8" x14ac:dyDescent="0.3">
      <c r="C18" s="521" t="s">
        <v>520</v>
      </c>
      <c r="F18" s="532"/>
    </row>
    <row r="19" spans="2:8" x14ac:dyDescent="0.3">
      <c r="C19" s="521" t="s">
        <v>519</v>
      </c>
    </row>
    <row r="20" spans="2:8" x14ac:dyDescent="0.3">
      <c r="C20" s="521" t="s">
        <v>521</v>
      </c>
    </row>
    <row r="21" spans="2:8" x14ac:dyDescent="0.3">
      <c r="C21" s="521" t="s">
        <v>522</v>
      </c>
    </row>
    <row r="23" spans="2:8" x14ac:dyDescent="0.3">
      <c r="B23" s="519" t="s">
        <v>536</v>
      </c>
      <c r="C23" s="522"/>
      <c r="D23" s="520"/>
      <c r="E23" s="520"/>
      <c r="F23" s="520"/>
      <c r="G23" s="520"/>
      <c r="H23" s="520"/>
    </row>
    <row r="24" spans="2:8" x14ac:dyDescent="0.3">
      <c r="C24" s="521" t="s">
        <v>542</v>
      </c>
    </row>
    <row r="25" spans="2:8" x14ac:dyDescent="0.3">
      <c r="C25" s="521" t="s">
        <v>537</v>
      </c>
    </row>
    <row r="26" spans="2:8" x14ac:dyDescent="0.3">
      <c r="C26" s="521" t="s">
        <v>538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1D80-E061-495B-BDB0-2A0EF8BE4E5A}">
  <dimension ref="B1:W32"/>
  <sheetViews>
    <sheetView zoomScale="85" zoomScaleNormal="85" workbookViewId="0">
      <selection activeCell="O33" sqref="O33"/>
    </sheetView>
  </sheetViews>
  <sheetFormatPr defaultColWidth="9.140625" defaultRowHeight="12.75" x14ac:dyDescent="0.2"/>
  <cols>
    <col min="1" max="1" width="9.140625" style="3"/>
    <col min="2" max="2" width="3.28515625" style="3" customWidth="1"/>
    <col min="3" max="3" width="22.28515625" style="2" customWidth="1"/>
    <col min="4" max="4" width="13.28515625" style="2" customWidth="1"/>
    <col min="5" max="5" width="5" style="3" customWidth="1"/>
    <col min="6" max="6" width="3" style="3" customWidth="1"/>
    <col min="7" max="7" width="21.7109375" style="3" customWidth="1"/>
    <col min="8" max="8" width="14.140625" style="2" customWidth="1"/>
    <col min="9" max="9" width="4.7109375" style="3" customWidth="1"/>
    <col min="10" max="10" width="6" style="3" customWidth="1"/>
    <col min="11" max="11" width="15.7109375" style="3" bestFit="1" customWidth="1"/>
    <col min="12" max="12" width="12.7109375" style="2" customWidth="1"/>
    <col min="13" max="13" width="5.85546875" style="3" customWidth="1"/>
    <col min="14" max="14" width="4.140625" style="3" customWidth="1"/>
    <col min="15" max="15" width="21" style="3" bestFit="1" customWidth="1"/>
    <col min="16" max="16" width="12.42578125" style="3" bestFit="1" customWidth="1"/>
    <col min="17" max="17" width="6" style="3" customWidth="1"/>
    <col min="18" max="18" width="3" style="3" customWidth="1"/>
    <col min="19" max="19" width="14.28515625" style="3" bestFit="1" customWidth="1"/>
    <col min="20" max="20" width="13.85546875" style="3" customWidth="1"/>
    <col min="21" max="21" width="3.85546875" style="3" customWidth="1"/>
    <col min="22" max="22" width="9.140625" style="3"/>
    <col min="23" max="23" width="22.28515625" style="3" bestFit="1" customWidth="1"/>
    <col min="24" max="24" width="17.140625" style="3" customWidth="1"/>
    <col min="25" max="16384" width="9.140625" style="3"/>
  </cols>
  <sheetData>
    <row r="1" spans="2:23" ht="13.5" thickBot="1" x14ac:dyDescent="0.25"/>
    <row r="2" spans="2:23" x14ac:dyDescent="0.2">
      <c r="B2" s="9"/>
      <c r="C2" s="11"/>
      <c r="D2" s="11"/>
      <c r="E2" s="12"/>
      <c r="F2" s="10"/>
      <c r="G2" s="10"/>
      <c r="H2" s="11"/>
      <c r="I2" s="12"/>
      <c r="J2" s="10"/>
      <c r="K2" s="10"/>
      <c r="L2" s="11"/>
      <c r="M2" s="12"/>
      <c r="N2" s="10"/>
      <c r="O2" s="10"/>
      <c r="P2" s="10"/>
      <c r="Q2" s="12"/>
      <c r="R2" s="10"/>
      <c r="S2" s="10"/>
      <c r="T2" s="10"/>
      <c r="U2" s="12"/>
    </row>
    <row r="3" spans="2:23" x14ac:dyDescent="0.2">
      <c r="B3" s="13"/>
      <c r="C3" s="14" t="s">
        <v>14</v>
      </c>
      <c r="D3" s="15"/>
      <c r="E3" s="4"/>
      <c r="F3" s="6"/>
      <c r="G3" s="14" t="s">
        <v>11</v>
      </c>
      <c r="H3" s="15"/>
      <c r="I3" s="4"/>
      <c r="J3" s="6"/>
      <c r="K3" s="14" t="s">
        <v>67</v>
      </c>
      <c r="L3" s="15"/>
      <c r="M3" s="4"/>
      <c r="N3" s="6"/>
      <c r="O3" s="14" t="s">
        <v>30</v>
      </c>
      <c r="P3" s="6"/>
      <c r="Q3" s="4"/>
      <c r="R3" s="6"/>
      <c r="S3" s="14" t="s">
        <v>35</v>
      </c>
      <c r="T3" s="6"/>
      <c r="U3" s="4"/>
    </row>
    <row r="4" spans="2:23" x14ac:dyDescent="0.2">
      <c r="B4" s="13"/>
      <c r="C4" s="15"/>
      <c r="D4" s="15"/>
      <c r="E4" s="4"/>
      <c r="F4" s="6"/>
      <c r="G4" s="15"/>
      <c r="H4" s="15"/>
      <c r="I4" s="4"/>
      <c r="J4" s="6"/>
      <c r="K4" s="6"/>
      <c r="L4" s="15"/>
      <c r="M4" s="4"/>
      <c r="N4" s="6"/>
      <c r="O4" s="6"/>
      <c r="P4" s="16"/>
      <c r="Q4" s="4"/>
      <c r="R4" s="6"/>
      <c r="S4" s="6"/>
      <c r="T4" s="6"/>
      <c r="U4" s="4"/>
      <c r="W4" s="3" t="s">
        <v>327</v>
      </c>
    </row>
    <row r="5" spans="2:23" x14ac:dyDescent="0.2">
      <c r="B5" s="13"/>
      <c r="C5" s="15"/>
      <c r="D5" s="15"/>
      <c r="E5" s="4"/>
      <c r="F5" s="6"/>
      <c r="G5" s="15" t="s">
        <v>88</v>
      </c>
      <c r="H5" s="15"/>
      <c r="I5" s="4"/>
      <c r="J5" s="6"/>
      <c r="K5" s="6"/>
      <c r="L5" s="15"/>
      <c r="M5" s="4"/>
      <c r="N5" s="6"/>
      <c r="O5" s="6"/>
      <c r="P5" s="16"/>
      <c r="Q5" s="4"/>
      <c r="R5" s="6"/>
      <c r="S5" s="6"/>
      <c r="T5" s="6"/>
      <c r="U5" s="4"/>
    </row>
    <row r="6" spans="2:23" x14ac:dyDescent="0.2">
      <c r="B6" s="13"/>
      <c r="C6" s="28" t="s">
        <v>88</v>
      </c>
      <c r="D6" s="31">
        <v>44773</v>
      </c>
      <c r="E6" s="4"/>
      <c r="F6" s="6"/>
      <c r="G6" s="15"/>
      <c r="H6" s="15"/>
      <c r="I6" s="4"/>
      <c r="J6" s="6"/>
      <c r="K6" s="6"/>
      <c r="L6" s="15"/>
      <c r="M6" s="4"/>
      <c r="N6" s="6"/>
      <c r="O6" s="19" t="s">
        <v>77</v>
      </c>
      <c r="P6" s="16"/>
      <c r="Q6" s="4"/>
      <c r="R6" s="6"/>
      <c r="S6" s="6" t="s">
        <v>95</v>
      </c>
      <c r="T6" s="20">
        <v>10386274</v>
      </c>
      <c r="U6" s="4"/>
      <c r="W6" s="3" t="s">
        <v>56</v>
      </c>
    </row>
    <row r="7" spans="2:23" x14ac:dyDescent="0.2">
      <c r="B7" s="13"/>
      <c r="C7" s="28" t="s">
        <v>75</v>
      </c>
      <c r="D7" s="32">
        <v>3.18</v>
      </c>
      <c r="E7" s="4"/>
      <c r="F7" s="6"/>
      <c r="G7" s="18">
        <v>44166</v>
      </c>
      <c r="H7" s="46">
        <v>-60000000</v>
      </c>
      <c r="I7" s="4"/>
      <c r="J7" s="6"/>
      <c r="K7" s="6"/>
      <c r="L7" s="15"/>
      <c r="M7" s="4"/>
      <c r="N7" s="6"/>
      <c r="O7" s="21" t="s">
        <v>78</v>
      </c>
      <c r="P7" s="22">
        <v>599769</v>
      </c>
      <c r="Q7" s="4"/>
      <c r="R7" s="6"/>
      <c r="S7" s="6" t="s">
        <v>71</v>
      </c>
      <c r="T7" s="6">
        <v>1.18</v>
      </c>
      <c r="U7" s="4"/>
      <c r="W7" s="3" t="s">
        <v>328</v>
      </c>
    </row>
    <row r="8" spans="2:23" x14ac:dyDescent="0.2">
      <c r="B8" s="13"/>
      <c r="C8" s="28" t="s">
        <v>73</v>
      </c>
      <c r="D8" s="32">
        <v>1.22</v>
      </c>
      <c r="E8" s="4"/>
      <c r="F8" s="6"/>
      <c r="G8" s="18">
        <v>44773</v>
      </c>
      <c r="H8" s="48">
        <v>20000000</v>
      </c>
      <c r="I8" s="4"/>
      <c r="J8" s="6"/>
      <c r="K8" s="23" t="s">
        <v>65</v>
      </c>
      <c r="L8" s="24">
        <v>5205482</v>
      </c>
      <c r="M8" s="4"/>
      <c r="N8" s="6"/>
      <c r="O8" s="25" t="s">
        <v>79</v>
      </c>
      <c r="P8" s="22">
        <v>1493575</v>
      </c>
      <c r="Q8" s="4"/>
      <c r="R8" s="6"/>
      <c r="S8" s="6" t="s">
        <v>3</v>
      </c>
      <c r="T8" s="26">
        <f>T6*T7*10^-6</f>
        <v>12.255803319999998</v>
      </c>
      <c r="U8" s="4"/>
      <c r="W8" s="3" t="s">
        <v>329</v>
      </c>
    </row>
    <row r="9" spans="2:23" x14ac:dyDescent="0.2">
      <c r="B9" s="13"/>
      <c r="C9" s="28"/>
      <c r="D9" s="15"/>
      <c r="E9" s="4"/>
      <c r="F9" s="6"/>
      <c r="G9" s="15"/>
      <c r="H9" s="15"/>
      <c r="I9" s="4"/>
      <c r="J9" s="6"/>
      <c r="K9" s="23" t="s">
        <v>66</v>
      </c>
      <c r="L9" s="27">
        <v>61222609</v>
      </c>
      <c r="M9" s="4"/>
      <c r="N9" s="6"/>
      <c r="O9" s="25" t="s">
        <v>80</v>
      </c>
      <c r="P9" s="22">
        <v>83261</v>
      </c>
      <c r="Q9" s="4"/>
      <c r="R9" s="6"/>
      <c r="S9" s="6"/>
      <c r="T9" s="6"/>
      <c r="U9" s="4"/>
      <c r="W9" s="3" t="s">
        <v>330</v>
      </c>
    </row>
    <row r="10" spans="2:23" x14ac:dyDescent="0.2">
      <c r="B10" s="13"/>
      <c r="C10" s="23" t="s">
        <v>65</v>
      </c>
      <c r="D10" s="27">
        <v>44328120</v>
      </c>
      <c r="E10" s="4"/>
      <c r="F10" s="6"/>
      <c r="G10" s="15" t="s">
        <v>32</v>
      </c>
      <c r="H10" s="29">
        <f>XIRR(H7:H8,G7:G8)</f>
        <v>-0.48346658162772649</v>
      </c>
      <c r="I10" s="4"/>
      <c r="J10" s="6"/>
      <c r="K10" s="28" t="s">
        <v>68</v>
      </c>
      <c r="L10" s="5">
        <v>8.5500000000000007E-2</v>
      </c>
      <c r="M10" s="4"/>
      <c r="N10" s="6"/>
      <c r="O10" s="25" t="s">
        <v>81</v>
      </c>
      <c r="P10" s="22">
        <v>289048</v>
      </c>
      <c r="Q10" s="4"/>
      <c r="R10" s="6"/>
      <c r="S10" s="6"/>
      <c r="T10" s="6"/>
      <c r="U10" s="4"/>
    </row>
    <row r="11" spans="2:23" x14ac:dyDescent="0.2">
      <c r="B11" s="13"/>
      <c r="C11" s="23" t="s">
        <v>66</v>
      </c>
      <c r="D11" s="27">
        <v>823636945</v>
      </c>
      <c r="E11" s="4"/>
      <c r="F11" s="6"/>
      <c r="G11" s="15" t="s">
        <v>74</v>
      </c>
      <c r="H11" s="43">
        <f>-H8/SUM(H7)</f>
        <v>0.33333333333333331</v>
      </c>
      <c r="I11" s="4"/>
      <c r="J11" s="6"/>
      <c r="K11" s="6"/>
      <c r="L11" s="29">
        <f>L8/L9</f>
        <v>8.5025484621212399E-2</v>
      </c>
      <c r="M11" s="4"/>
      <c r="N11" s="6"/>
      <c r="O11" s="30" t="s">
        <v>82</v>
      </c>
      <c r="P11" s="22">
        <v>429797</v>
      </c>
      <c r="Q11" s="4"/>
      <c r="R11" s="6"/>
      <c r="S11" s="6"/>
      <c r="T11" s="6"/>
      <c r="U11" s="4"/>
    </row>
    <row r="12" spans="2:23" x14ac:dyDescent="0.2">
      <c r="B12" s="13"/>
      <c r="C12" s="28" t="s">
        <v>68</v>
      </c>
      <c r="D12" s="5">
        <v>5.3800000000000001E-2</v>
      </c>
      <c r="E12" s="4"/>
      <c r="F12" s="6"/>
      <c r="G12" s="6"/>
      <c r="H12" s="15"/>
      <c r="I12" s="4"/>
      <c r="J12" s="6"/>
      <c r="K12" s="6"/>
      <c r="L12" s="15"/>
      <c r="M12" s="4"/>
      <c r="N12" s="6"/>
      <c r="O12" s="7" t="s">
        <v>76</v>
      </c>
      <c r="P12" s="8">
        <f>SUM(P7:P11)</f>
        <v>2895450</v>
      </c>
      <c r="Q12" s="4"/>
      <c r="R12" s="6"/>
      <c r="S12" s="14" t="s">
        <v>97</v>
      </c>
      <c r="T12" s="6"/>
      <c r="U12" s="4"/>
    </row>
    <row r="13" spans="2:23" x14ac:dyDescent="0.2">
      <c r="B13" s="13"/>
      <c r="C13" s="28"/>
      <c r="D13" s="15"/>
      <c r="E13" s="4"/>
      <c r="F13" s="6"/>
      <c r="G13" s="14" t="s">
        <v>96</v>
      </c>
      <c r="H13" s="15"/>
      <c r="I13" s="4"/>
      <c r="J13" s="6"/>
      <c r="K13" s="6" t="s">
        <v>85</v>
      </c>
      <c r="L13" s="15">
        <v>18.75</v>
      </c>
      <c r="M13" s="4"/>
      <c r="N13" s="6"/>
      <c r="O13" s="6"/>
      <c r="P13" s="16"/>
      <c r="Q13" s="4"/>
      <c r="R13" s="6"/>
      <c r="S13" s="6"/>
      <c r="T13" s="6"/>
      <c r="U13" s="4"/>
    </row>
    <row r="14" spans="2:23" x14ac:dyDescent="0.2">
      <c r="B14" s="13"/>
      <c r="C14" s="15"/>
      <c r="D14" s="15"/>
      <c r="E14" s="4"/>
      <c r="F14" s="6"/>
      <c r="G14" s="6"/>
      <c r="H14" s="15"/>
      <c r="I14" s="4"/>
      <c r="J14" s="6"/>
      <c r="K14" s="6" t="s">
        <v>86</v>
      </c>
      <c r="L14" s="33">
        <v>0.2</v>
      </c>
      <c r="M14" s="4"/>
      <c r="N14" s="6"/>
      <c r="O14" s="6" t="s">
        <v>83</v>
      </c>
      <c r="P14" s="34">
        <v>33267</v>
      </c>
      <c r="Q14" s="4"/>
      <c r="R14" s="6"/>
      <c r="S14" s="6" t="s">
        <v>88</v>
      </c>
      <c r="T14" s="6"/>
      <c r="U14" s="4"/>
    </row>
    <row r="15" spans="2:23" x14ac:dyDescent="0.2">
      <c r="B15" s="13"/>
      <c r="C15" s="15" t="s">
        <v>72</v>
      </c>
      <c r="D15" s="15">
        <v>3.6749999999999998</v>
      </c>
      <c r="E15" s="4"/>
      <c r="F15" s="6"/>
      <c r="G15" s="6" t="s">
        <v>88</v>
      </c>
      <c r="H15" s="15"/>
      <c r="I15" s="4"/>
      <c r="J15" s="6"/>
      <c r="K15" s="6" t="s">
        <v>87</v>
      </c>
      <c r="L15" s="35">
        <f>L8*L13*(1-L14)*10^-6</f>
        <v>78.082229999999996</v>
      </c>
      <c r="M15" s="4"/>
      <c r="N15" s="6"/>
      <c r="O15" s="6" t="s">
        <v>68</v>
      </c>
      <c r="P15" s="36">
        <f>P14/P12</f>
        <v>1.1489405791845828E-2</v>
      </c>
      <c r="Q15" s="4"/>
      <c r="R15" s="6"/>
      <c r="S15" s="6"/>
      <c r="T15" s="6"/>
      <c r="U15" s="4"/>
    </row>
    <row r="16" spans="2:23" x14ac:dyDescent="0.2">
      <c r="B16" s="13"/>
      <c r="C16" s="17" t="s">
        <v>70</v>
      </c>
      <c r="D16" s="17"/>
      <c r="E16" s="4"/>
      <c r="F16" s="6"/>
      <c r="G16" s="6"/>
      <c r="H16" s="15"/>
      <c r="I16" s="4"/>
      <c r="J16" s="6"/>
      <c r="K16" s="6"/>
      <c r="L16" s="15"/>
      <c r="M16" s="4"/>
      <c r="N16" s="6"/>
      <c r="O16" s="6" t="s">
        <v>91</v>
      </c>
      <c r="P16" s="16">
        <v>110.63</v>
      </c>
      <c r="Q16" s="4"/>
      <c r="R16" s="6"/>
      <c r="S16" s="18">
        <v>44075</v>
      </c>
      <c r="T16" s="46">
        <v>-2500000</v>
      </c>
      <c r="U16" s="4"/>
    </row>
    <row r="17" spans="2:21" x14ac:dyDescent="0.2">
      <c r="B17" s="13"/>
      <c r="C17" s="18">
        <v>43968</v>
      </c>
      <c r="D17" s="181">
        <v>-50</v>
      </c>
      <c r="E17" s="4"/>
      <c r="F17" s="6"/>
      <c r="G17" s="18">
        <v>43563</v>
      </c>
      <c r="H17" s="40">
        <v>-8000000</v>
      </c>
      <c r="I17" s="4"/>
      <c r="J17" s="6"/>
      <c r="K17" s="37" t="s">
        <v>88</v>
      </c>
      <c r="L17" s="38">
        <v>44773</v>
      </c>
      <c r="M17" s="4"/>
      <c r="N17" s="6"/>
      <c r="O17" s="6" t="s">
        <v>88</v>
      </c>
      <c r="P17" s="39">
        <v>44773</v>
      </c>
      <c r="Q17" s="4"/>
      <c r="R17" s="6"/>
      <c r="S17" s="18">
        <v>44773</v>
      </c>
      <c r="T17" s="46">
        <v>5000000</v>
      </c>
      <c r="U17" s="4"/>
    </row>
    <row r="18" spans="2:21" x14ac:dyDescent="0.2">
      <c r="B18" s="13"/>
      <c r="C18" s="18">
        <v>44006</v>
      </c>
      <c r="D18" s="180">
        <v>-27.268350856443721</v>
      </c>
      <c r="E18" s="4"/>
      <c r="F18" s="6"/>
      <c r="G18" s="18">
        <v>44773</v>
      </c>
      <c r="H18" s="40">
        <v>1700000</v>
      </c>
      <c r="I18" s="4"/>
      <c r="J18" s="6"/>
      <c r="K18" s="18">
        <v>43570</v>
      </c>
      <c r="L18" s="40">
        <v>-4999998.09</v>
      </c>
      <c r="M18" s="4"/>
      <c r="N18" s="6"/>
      <c r="O18" s="6"/>
      <c r="P18" s="6"/>
      <c r="Q18" s="4"/>
      <c r="R18" s="6"/>
      <c r="S18" s="6"/>
      <c r="T18" s="6"/>
      <c r="U18" s="4"/>
    </row>
    <row r="19" spans="2:21" x14ac:dyDescent="0.2">
      <c r="B19" s="13"/>
      <c r="C19" s="18">
        <v>43837</v>
      </c>
      <c r="D19" s="180">
        <v>-18.109441299619355</v>
      </c>
      <c r="E19" s="4"/>
      <c r="F19" s="6"/>
      <c r="G19" s="6"/>
      <c r="H19" s="15"/>
      <c r="I19" s="4"/>
      <c r="J19" s="6"/>
      <c r="K19" s="18">
        <v>43915</v>
      </c>
      <c r="L19" s="41">
        <v>-5000001.91</v>
      </c>
      <c r="M19" s="4"/>
      <c r="N19" s="6"/>
      <c r="O19" s="42" t="s">
        <v>94</v>
      </c>
      <c r="P19" s="6"/>
      <c r="Q19" s="4"/>
      <c r="R19" s="6"/>
      <c r="S19" s="15" t="s">
        <v>32</v>
      </c>
      <c r="T19" s="29">
        <f>XIRR(T16:T17,S16:S17)</f>
        <v>0.43686311841011038</v>
      </c>
      <c r="U19" s="4"/>
    </row>
    <row r="20" spans="2:21" x14ac:dyDescent="0.2">
      <c r="B20" s="13"/>
      <c r="C20" s="18">
        <v>43990</v>
      </c>
      <c r="D20" s="180">
        <v>-34.851687094159864</v>
      </c>
      <c r="E20" s="4"/>
      <c r="F20" s="6"/>
      <c r="G20" s="15" t="s">
        <v>32</v>
      </c>
      <c r="H20" s="29">
        <f>XIRR(H17:H18,G17:G18)</f>
        <v>-0.3732477836310864</v>
      </c>
      <c r="I20" s="4"/>
      <c r="J20" s="6"/>
      <c r="K20" s="18">
        <f>L17</f>
        <v>44773</v>
      </c>
      <c r="L20" s="40">
        <f>+L15*10^6</f>
        <v>78082230</v>
      </c>
      <c r="M20" s="4"/>
      <c r="N20" s="6"/>
      <c r="O20" s="6" t="s">
        <v>89</v>
      </c>
      <c r="P20" s="44">
        <v>510</v>
      </c>
      <c r="Q20" s="4"/>
      <c r="R20" s="6"/>
      <c r="S20" s="15" t="s">
        <v>74</v>
      </c>
      <c r="T20" s="43">
        <f>-T17/SUM(T16)</f>
        <v>2</v>
      </c>
      <c r="U20" s="4"/>
    </row>
    <row r="21" spans="2:21" x14ac:dyDescent="0.2">
      <c r="B21" s="13"/>
      <c r="C21" s="18">
        <v>44315</v>
      </c>
      <c r="D21" s="180">
        <v>-11.240780424143557</v>
      </c>
      <c r="E21" s="4"/>
      <c r="F21" s="6"/>
      <c r="G21" s="15" t="s">
        <v>74</v>
      </c>
      <c r="H21" s="43">
        <f>-H18/SUM(H17)</f>
        <v>0.21249999999999999</v>
      </c>
      <c r="I21" s="4"/>
      <c r="J21" s="6"/>
      <c r="K21" s="6"/>
      <c r="L21" s="15"/>
      <c r="M21" s="4"/>
      <c r="N21" s="6"/>
      <c r="O21" s="6" t="s">
        <v>90</v>
      </c>
      <c r="P21" s="45">
        <f>P12</f>
        <v>2895450</v>
      </c>
      <c r="Q21" s="4"/>
      <c r="R21" s="6"/>
      <c r="S21" s="6"/>
      <c r="T21" s="6"/>
      <c r="U21" s="4"/>
    </row>
    <row r="22" spans="2:21" x14ac:dyDescent="0.2">
      <c r="B22" s="13"/>
      <c r="C22" s="18">
        <v>44742</v>
      </c>
      <c r="D22" s="180">
        <f>NAV!E14</f>
        <v>122.38018713359999</v>
      </c>
      <c r="E22" s="4"/>
      <c r="F22" s="6"/>
      <c r="G22" s="6"/>
      <c r="H22" s="15"/>
      <c r="I22" s="4"/>
      <c r="J22" s="6"/>
      <c r="K22" s="15" t="s">
        <v>32</v>
      </c>
      <c r="L22" s="29">
        <f>XIRR(L18:L20,K18:K20)</f>
        <v>1.030831229686737</v>
      </c>
      <c r="M22" s="4"/>
      <c r="N22" s="6"/>
      <c r="O22" s="6" t="s">
        <v>92</v>
      </c>
      <c r="P22" s="44">
        <f>P20*10^6/P21</f>
        <v>176.13842407915868</v>
      </c>
      <c r="Q22" s="4"/>
      <c r="R22" s="6"/>
      <c r="S22" s="14" t="s">
        <v>98</v>
      </c>
      <c r="T22" s="6"/>
      <c r="U22" s="4"/>
    </row>
    <row r="23" spans="2:21" x14ac:dyDescent="0.2">
      <c r="B23" s="13"/>
      <c r="C23" s="15"/>
      <c r="D23" s="15"/>
      <c r="E23" s="4"/>
      <c r="F23" s="6"/>
      <c r="G23" s="6"/>
      <c r="H23" s="15"/>
      <c r="I23" s="4"/>
      <c r="J23" s="6"/>
      <c r="K23" s="15" t="s">
        <v>74</v>
      </c>
      <c r="L23" s="43">
        <f>L20/-SUM(L18:L19)</f>
        <v>7.8082229999999999</v>
      </c>
      <c r="M23" s="4"/>
      <c r="N23" s="6"/>
      <c r="O23" s="6" t="s">
        <v>93</v>
      </c>
      <c r="P23" s="47">
        <f>P22/P16</f>
        <v>1.5921397819683512</v>
      </c>
      <c r="Q23" s="4"/>
      <c r="R23" s="6"/>
      <c r="S23" s="6"/>
      <c r="T23" s="6"/>
      <c r="U23" s="4"/>
    </row>
    <row r="24" spans="2:21" x14ac:dyDescent="0.2">
      <c r="B24" s="13"/>
      <c r="C24" s="15" t="s">
        <v>32</v>
      </c>
      <c r="D24" s="29">
        <f>XIRR(D17:D22,C17:C22)</f>
        <v>-6.8174847960472129E-2</v>
      </c>
      <c r="E24" s="4"/>
      <c r="F24" s="6"/>
      <c r="G24" s="6"/>
      <c r="H24" s="15"/>
      <c r="I24" s="4"/>
      <c r="J24" s="6"/>
      <c r="K24" s="6"/>
      <c r="L24" s="15"/>
      <c r="M24" s="4"/>
      <c r="N24" s="6"/>
      <c r="O24" s="6" t="s">
        <v>73</v>
      </c>
      <c r="P24" s="16">
        <v>1.22</v>
      </c>
      <c r="Q24" s="4"/>
      <c r="R24" s="6"/>
      <c r="S24" s="6" t="s">
        <v>88</v>
      </c>
      <c r="T24" s="6"/>
      <c r="U24" s="4"/>
    </row>
    <row r="25" spans="2:21" x14ac:dyDescent="0.2">
      <c r="B25" s="13"/>
      <c r="C25" s="15" t="s">
        <v>74</v>
      </c>
      <c r="D25" s="43">
        <f>-D22/SUM(D17:D21)</f>
        <v>0.86505946490302854</v>
      </c>
      <c r="E25" s="4"/>
      <c r="F25" s="6"/>
      <c r="G25" s="6"/>
      <c r="H25" s="15"/>
      <c r="I25" s="4"/>
      <c r="J25" s="6"/>
      <c r="K25" s="6"/>
      <c r="L25" s="15"/>
      <c r="M25" s="4"/>
      <c r="N25" s="6"/>
      <c r="O25" s="6"/>
      <c r="P25" s="6"/>
      <c r="Q25" s="4"/>
      <c r="R25" s="6"/>
      <c r="S25" s="6"/>
      <c r="T25" s="6"/>
      <c r="U25" s="4"/>
    </row>
    <row r="26" spans="2:21" x14ac:dyDescent="0.2">
      <c r="B26" s="13"/>
      <c r="E26" s="4"/>
      <c r="F26" s="6"/>
      <c r="G26" s="6"/>
      <c r="H26" s="15"/>
      <c r="I26" s="4"/>
      <c r="J26" s="6"/>
      <c r="K26" s="6"/>
      <c r="L26" s="15"/>
      <c r="M26" s="4"/>
      <c r="N26" s="6"/>
      <c r="O26" s="6"/>
      <c r="P26" s="6"/>
      <c r="Q26" s="4"/>
      <c r="R26" s="6"/>
      <c r="S26" s="18">
        <v>44377</v>
      </c>
      <c r="T26" s="46">
        <v>-411765</v>
      </c>
      <c r="U26" s="4"/>
    </row>
    <row r="27" spans="2:21" x14ac:dyDescent="0.2">
      <c r="B27" s="13"/>
      <c r="E27" s="4"/>
      <c r="F27" s="6"/>
      <c r="G27" s="6"/>
      <c r="H27" s="15"/>
      <c r="I27" s="4"/>
      <c r="J27" s="6"/>
      <c r="K27" s="6"/>
      <c r="L27" s="15"/>
      <c r="M27" s="4"/>
      <c r="N27" s="6"/>
      <c r="O27" s="49">
        <v>44550</v>
      </c>
      <c r="P27" s="50">
        <f>-18477242.89/3.68</f>
        <v>-5020989.9157608692</v>
      </c>
      <c r="Q27" s="4"/>
      <c r="R27" s="6"/>
      <c r="S27" s="18">
        <v>44773</v>
      </c>
      <c r="T27" s="46">
        <f>(-((S27-S26)/365*T26*10%))-T26</f>
        <v>456438.68219178083</v>
      </c>
      <c r="U27" s="4"/>
    </row>
    <row r="28" spans="2:21" x14ac:dyDescent="0.2">
      <c r="B28" s="13"/>
      <c r="E28" s="4"/>
      <c r="F28" s="6"/>
      <c r="G28" s="6"/>
      <c r="H28" s="15"/>
      <c r="I28" s="4"/>
      <c r="J28" s="6"/>
      <c r="K28" s="6"/>
      <c r="L28" s="15"/>
      <c r="M28" s="4"/>
      <c r="N28" s="6"/>
      <c r="O28" s="49">
        <f>P17</f>
        <v>44773</v>
      </c>
      <c r="P28" s="50">
        <f>P14*P22*P24</f>
        <v>7148708.283686473</v>
      </c>
      <c r="Q28" s="4"/>
      <c r="R28" s="6"/>
      <c r="S28" s="6"/>
      <c r="T28" s="6"/>
      <c r="U28" s="4"/>
    </row>
    <row r="29" spans="2:21" x14ac:dyDescent="0.2">
      <c r="B29" s="13"/>
      <c r="E29" s="4"/>
      <c r="F29" s="6"/>
      <c r="G29" s="6"/>
      <c r="H29" s="15"/>
      <c r="I29" s="4"/>
      <c r="J29" s="6"/>
      <c r="K29" s="6"/>
      <c r="L29" s="15"/>
      <c r="M29" s="4"/>
      <c r="N29" s="6"/>
      <c r="O29" s="6"/>
      <c r="P29" s="16"/>
      <c r="Q29" s="4"/>
      <c r="R29" s="6"/>
      <c r="S29" s="15" t="s">
        <v>32</v>
      </c>
      <c r="T29" s="29">
        <f>XIRR(T26:T27,S26:S27)</f>
        <v>9.9591022729873635E-2</v>
      </c>
      <c r="U29" s="4"/>
    </row>
    <row r="30" spans="2:21" x14ac:dyDescent="0.2">
      <c r="B30" s="13"/>
      <c r="E30" s="4"/>
      <c r="F30" s="6"/>
      <c r="G30" s="6"/>
      <c r="H30" s="15"/>
      <c r="I30" s="4"/>
      <c r="J30" s="6"/>
      <c r="K30" s="6"/>
      <c r="L30" s="15"/>
      <c r="M30" s="4"/>
      <c r="N30" s="6"/>
      <c r="O30" s="15" t="s">
        <v>32</v>
      </c>
      <c r="P30" s="29">
        <f>XIRR(P27:P28,O27:O28)</f>
        <v>0.78296691179275513</v>
      </c>
      <c r="Q30" s="4"/>
      <c r="R30" s="6"/>
      <c r="S30" s="15" t="s">
        <v>74</v>
      </c>
      <c r="T30" s="43">
        <f>-T27/SUM(T26)</f>
        <v>1.1084931506849316</v>
      </c>
      <c r="U30" s="4"/>
    </row>
    <row r="31" spans="2:21" x14ac:dyDescent="0.2">
      <c r="B31" s="13"/>
      <c r="E31" s="4"/>
      <c r="F31" s="6"/>
      <c r="G31" s="6"/>
      <c r="H31" s="15"/>
      <c r="I31" s="4"/>
      <c r="J31" s="6"/>
      <c r="K31" s="6"/>
      <c r="L31" s="15"/>
      <c r="M31" s="4"/>
      <c r="N31" s="6"/>
      <c r="O31" s="15" t="s">
        <v>74</v>
      </c>
      <c r="P31" s="43">
        <f>P28/-SUM(P27)</f>
        <v>1.4237647164449989</v>
      </c>
      <c r="Q31" s="4"/>
      <c r="R31" s="6"/>
      <c r="S31" s="6"/>
      <c r="T31" s="6"/>
      <c r="U31" s="4"/>
    </row>
    <row r="32" spans="2:21" ht="13.5" thickBot="1" x14ac:dyDescent="0.25">
      <c r="B32" s="51"/>
      <c r="C32" s="53"/>
      <c r="D32" s="53"/>
      <c r="E32" s="54"/>
      <c r="F32" s="52"/>
      <c r="G32" s="52"/>
      <c r="H32" s="53"/>
      <c r="I32" s="54"/>
      <c r="J32" s="52"/>
      <c r="K32" s="52"/>
      <c r="L32" s="53"/>
      <c r="M32" s="54"/>
      <c r="N32" s="52"/>
      <c r="O32" s="52"/>
      <c r="P32" s="55"/>
      <c r="Q32" s="54"/>
      <c r="R32" s="52"/>
      <c r="S32" s="52"/>
      <c r="T32" s="52"/>
      <c r="U32" s="54"/>
    </row>
  </sheetData>
  <hyperlinks>
    <hyperlink ref="D12" r:id="rId1" display="https://www.londonstockexchange.com/news-article/ONT/issue-of-equity-and-total-voting-rights/15523151" xr:uid="{4F3E07BA-8946-4AFA-AA55-3AC64DC0EF55}"/>
  </hyperlinks>
  <pageMargins left="0.7" right="0.7" top="0.75" bottom="0.75" header="0.3" footer="0.3"/>
  <pageSetup paperSize="9" orientation="portrait" verticalDpi="0" r:id="rId2"/>
  <customProperties>
    <customPr name="Guid" r:id="rId3"/>
  </customProperties>
  <ignoredErrors>
    <ignoredError sqref="L23"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4654-FD23-425F-9915-24A9F086B2D9}">
  <dimension ref="D3:H30"/>
  <sheetViews>
    <sheetView zoomScale="70" zoomScaleNormal="70" workbookViewId="0">
      <selection activeCell="O33" sqref="O33"/>
    </sheetView>
  </sheetViews>
  <sheetFormatPr defaultRowHeight="15" x14ac:dyDescent="0.25"/>
  <cols>
    <col min="4" max="4" width="32.85546875" customWidth="1"/>
    <col min="5" max="7" width="62.7109375" customWidth="1"/>
    <col min="8" max="8" width="29" customWidth="1"/>
  </cols>
  <sheetData>
    <row r="3" spans="4:8" ht="15.75" thickBot="1" x14ac:dyDescent="0.3"/>
    <row r="4" spans="4:8" ht="18" thickBot="1" x14ac:dyDescent="0.3">
      <c r="D4" s="425" t="s">
        <v>343</v>
      </c>
      <c r="E4" s="426" t="s">
        <v>374</v>
      </c>
      <c r="F4" s="426" t="s">
        <v>344</v>
      </c>
      <c r="G4" s="453" t="s">
        <v>375</v>
      </c>
      <c r="H4" s="454" t="s">
        <v>376</v>
      </c>
    </row>
    <row r="5" spans="4:8" x14ac:dyDescent="0.25">
      <c r="D5" s="669" t="s">
        <v>345</v>
      </c>
      <c r="E5" s="427" t="s">
        <v>346</v>
      </c>
      <c r="F5" s="427" t="s">
        <v>346</v>
      </c>
      <c r="G5" s="455" t="s">
        <v>346</v>
      </c>
      <c r="H5" s="456" t="s">
        <v>365</v>
      </c>
    </row>
    <row r="6" spans="4:8" x14ac:dyDescent="0.25">
      <c r="D6" s="670"/>
      <c r="E6" s="427" t="s">
        <v>347</v>
      </c>
      <c r="F6" s="427" t="s">
        <v>347</v>
      </c>
      <c r="G6" s="455" t="s">
        <v>347</v>
      </c>
      <c r="H6" s="456" t="s">
        <v>377</v>
      </c>
    </row>
    <row r="7" spans="4:8" x14ac:dyDescent="0.25">
      <c r="D7" s="670"/>
      <c r="E7" s="457" t="s">
        <v>348</v>
      </c>
      <c r="F7" s="427" t="s">
        <v>348</v>
      </c>
      <c r="G7" s="455" t="s">
        <v>348</v>
      </c>
      <c r="H7" s="456" t="s">
        <v>367</v>
      </c>
    </row>
    <row r="8" spans="4:8" x14ac:dyDescent="0.25">
      <c r="D8" s="670"/>
      <c r="E8" s="427" t="s">
        <v>349</v>
      </c>
      <c r="F8" s="427" t="s">
        <v>349</v>
      </c>
      <c r="G8" s="455" t="s">
        <v>349</v>
      </c>
      <c r="H8" s="456">
        <v>4</v>
      </c>
    </row>
    <row r="9" spans="4:8" x14ac:dyDescent="0.25">
      <c r="D9" s="670"/>
      <c r="E9" s="427" t="s">
        <v>350</v>
      </c>
      <c r="F9" s="427" t="s">
        <v>350</v>
      </c>
      <c r="G9" s="455" t="s">
        <v>350</v>
      </c>
      <c r="H9" s="456" t="s">
        <v>367</v>
      </c>
    </row>
    <row r="10" spans="4:8" x14ac:dyDescent="0.25">
      <c r="D10" s="670"/>
      <c r="E10" s="427" t="s">
        <v>351</v>
      </c>
      <c r="F10" s="427" t="s">
        <v>351</v>
      </c>
      <c r="G10" s="455" t="s">
        <v>351</v>
      </c>
      <c r="H10" s="456" t="s">
        <v>367</v>
      </c>
    </row>
    <row r="11" spans="4:8" x14ac:dyDescent="0.25">
      <c r="D11" s="670"/>
      <c r="E11" s="427" t="s">
        <v>352</v>
      </c>
      <c r="F11" s="427" t="s">
        <v>352</v>
      </c>
      <c r="G11" s="455" t="s">
        <v>352</v>
      </c>
      <c r="H11" s="456" t="s">
        <v>366</v>
      </c>
    </row>
    <row r="12" spans="4:8" x14ac:dyDescent="0.25">
      <c r="D12" s="670"/>
      <c r="E12" s="427" t="s">
        <v>353</v>
      </c>
      <c r="F12" s="427" t="s">
        <v>353</v>
      </c>
      <c r="G12" s="455" t="s">
        <v>353</v>
      </c>
      <c r="H12" s="456">
        <v>3</v>
      </c>
    </row>
    <row r="13" spans="4:8" ht="30" x14ac:dyDescent="0.25">
      <c r="D13" s="670"/>
      <c r="E13" s="427" t="s">
        <v>354</v>
      </c>
      <c r="F13" s="427" t="s">
        <v>354</v>
      </c>
      <c r="G13" s="455" t="s">
        <v>354</v>
      </c>
      <c r="H13" s="456">
        <v>2</v>
      </c>
    </row>
    <row r="14" spans="4:8" ht="15.75" thickBot="1" x14ac:dyDescent="0.3">
      <c r="D14" s="671"/>
      <c r="E14" s="458"/>
      <c r="F14" s="428"/>
      <c r="G14" s="459"/>
      <c r="H14" s="460"/>
    </row>
    <row r="15" spans="4:8" x14ac:dyDescent="0.25">
      <c r="D15" s="669" t="s">
        <v>355</v>
      </c>
      <c r="E15" s="427" t="s">
        <v>346</v>
      </c>
      <c r="F15" s="427" t="s">
        <v>346</v>
      </c>
      <c r="G15" s="455" t="s">
        <v>346</v>
      </c>
      <c r="H15" s="456" t="s">
        <v>365</v>
      </c>
    </row>
    <row r="16" spans="4:8" x14ac:dyDescent="0.25">
      <c r="D16" s="670"/>
      <c r="E16" s="427" t="s">
        <v>347</v>
      </c>
      <c r="F16" s="427" t="s">
        <v>347</v>
      </c>
      <c r="G16" s="455" t="s">
        <v>347</v>
      </c>
      <c r="H16" s="456" t="s">
        <v>377</v>
      </c>
    </row>
    <row r="17" spans="4:8" x14ac:dyDescent="0.25">
      <c r="D17" s="670"/>
      <c r="E17" s="427" t="s">
        <v>348</v>
      </c>
      <c r="F17" s="427" t="s">
        <v>348</v>
      </c>
      <c r="G17" s="455" t="s">
        <v>348</v>
      </c>
      <c r="H17" s="456" t="s">
        <v>367</v>
      </c>
    </row>
    <row r="18" spans="4:8" x14ac:dyDescent="0.25">
      <c r="D18" s="670"/>
      <c r="E18" s="427" t="s">
        <v>349</v>
      </c>
      <c r="F18" s="427" t="s">
        <v>349</v>
      </c>
      <c r="G18" s="455" t="s">
        <v>349</v>
      </c>
      <c r="H18" s="456">
        <v>4</v>
      </c>
    </row>
    <row r="19" spans="4:8" x14ac:dyDescent="0.25">
      <c r="D19" s="670"/>
      <c r="E19" s="427" t="s">
        <v>350</v>
      </c>
      <c r="F19" s="427" t="s">
        <v>350</v>
      </c>
      <c r="G19" s="455" t="s">
        <v>350</v>
      </c>
      <c r="H19" s="456" t="s">
        <v>367</v>
      </c>
    </row>
    <row r="20" spans="4:8" x14ac:dyDescent="0.25">
      <c r="D20" s="670"/>
      <c r="E20" s="427" t="s">
        <v>351</v>
      </c>
      <c r="F20" s="427" t="s">
        <v>351</v>
      </c>
      <c r="G20" s="455" t="s">
        <v>351</v>
      </c>
      <c r="H20" s="456" t="s">
        <v>367</v>
      </c>
    </row>
    <row r="21" spans="4:8" x14ac:dyDescent="0.25">
      <c r="D21" s="670"/>
      <c r="E21" s="427" t="s">
        <v>352</v>
      </c>
      <c r="F21" s="427" t="s">
        <v>352</v>
      </c>
      <c r="G21" s="455" t="s">
        <v>352</v>
      </c>
      <c r="H21" s="456" t="s">
        <v>366</v>
      </c>
    </row>
    <row r="22" spans="4:8" x14ac:dyDescent="0.25">
      <c r="D22" s="670"/>
      <c r="E22" s="427" t="s">
        <v>353</v>
      </c>
      <c r="F22" s="427" t="s">
        <v>353</v>
      </c>
      <c r="G22" s="455" t="s">
        <v>353</v>
      </c>
      <c r="H22" s="456">
        <v>3</v>
      </c>
    </row>
    <row r="23" spans="4:8" ht="45" x14ac:dyDescent="0.25">
      <c r="D23" s="670"/>
      <c r="E23" s="427" t="s">
        <v>378</v>
      </c>
      <c r="F23" s="427" t="s">
        <v>356</v>
      </c>
      <c r="G23" s="455" t="s">
        <v>356</v>
      </c>
      <c r="H23" s="456">
        <v>4</v>
      </c>
    </row>
    <row r="24" spans="4:8" ht="30" x14ac:dyDescent="0.25">
      <c r="D24" s="670"/>
      <c r="E24" s="461"/>
      <c r="F24" s="427" t="s">
        <v>357</v>
      </c>
      <c r="G24" s="455" t="s">
        <v>357</v>
      </c>
      <c r="H24" s="456">
        <v>3</v>
      </c>
    </row>
    <row r="25" spans="4:8" ht="47.25" x14ac:dyDescent="0.25">
      <c r="D25" s="670"/>
      <c r="E25" s="461"/>
      <c r="F25" s="462"/>
      <c r="G25" s="455" t="s">
        <v>379</v>
      </c>
      <c r="H25" s="460"/>
    </row>
    <row r="26" spans="4:8" ht="34.5" x14ac:dyDescent="0.25">
      <c r="D26" s="670"/>
      <c r="E26" s="461"/>
      <c r="F26" s="461"/>
      <c r="G26" s="455" t="s">
        <v>380</v>
      </c>
      <c r="H26" s="460"/>
    </row>
    <row r="27" spans="4:8" ht="15.75" thickBot="1" x14ac:dyDescent="0.3">
      <c r="D27" s="671"/>
      <c r="E27" s="428"/>
      <c r="F27" s="428"/>
      <c r="G27" s="463"/>
      <c r="H27" s="460"/>
    </row>
    <row r="28" spans="4:8" ht="45" x14ac:dyDescent="0.25">
      <c r="D28" s="669" t="s">
        <v>358</v>
      </c>
      <c r="E28" s="672" t="s">
        <v>359</v>
      </c>
      <c r="F28" s="427" t="s">
        <v>359</v>
      </c>
      <c r="G28" s="455" t="s">
        <v>359</v>
      </c>
      <c r="H28" s="464">
        <v>2</v>
      </c>
    </row>
    <row r="29" spans="4:8" ht="47.25" x14ac:dyDescent="0.25">
      <c r="D29" s="670"/>
      <c r="E29" s="673"/>
      <c r="F29" s="427" t="s">
        <v>360</v>
      </c>
      <c r="G29" s="455" t="s">
        <v>381</v>
      </c>
      <c r="H29" s="464">
        <v>1</v>
      </c>
    </row>
    <row r="30" spans="4:8" ht="15.75" thickBot="1" x14ac:dyDescent="0.3">
      <c r="D30" s="671"/>
      <c r="E30" s="674"/>
      <c r="F30" s="428"/>
      <c r="G30" s="463"/>
      <c r="H30" s="460"/>
    </row>
  </sheetData>
  <mergeCells count="4">
    <mergeCell ref="D5:D14"/>
    <mergeCell ref="D15:D27"/>
    <mergeCell ref="D28:D30"/>
    <mergeCell ref="E28:E30"/>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7D3B-9EC2-4B5F-9BDC-B1CEA67C5956}">
  <sheetPr>
    <tabColor theme="7" tint="0.39997558519241921"/>
  </sheetPr>
  <dimension ref="B1:T52"/>
  <sheetViews>
    <sheetView showGridLines="0" topLeftCell="A4" zoomScaleNormal="100" workbookViewId="0">
      <selection activeCell="O33" sqref="O33"/>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 width="9.140625" style="80"/>
    <col min="17" max="18" width="29.85546875" style="80" bestFit="1" customWidth="1"/>
    <col min="19" max="19" width="11.85546875" style="80" customWidth="1"/>
    <col min="20" max="16384" width="9.140625" style="80"/>
  </cols>
  <sheetData>
    <row r="1" spans="2:20" ht="15.75" thickBot="1" x14ac:dyDescent="0.3"/>
    <row r="2" spans="2:20" s="137" customFormat="1" ht="15.75" thickBot="1" x14ac:dyDescent="0.3">
      <c r="C2" s="271" t="s">
        <v>235</v>
      </c>
      <c r="D2" s="285">
        <v>44865</v>
      </c>
      <c r="G2" s="80"/>
      <c r="H2" s="80"/>
      <c r="I2" s="80"/>
      <c r="J2" s="80"/>
      <c r="K2" s="80"/>
      <c r="L2" s="80"/>
      <c r="M2" s="80"/>
      <c r="N2" s="80"/>
      <c r="O2" s="80"/>
      <c r="P2" s="80"/>
      <c r="Q2" s="80"/>
      <c r="R2" s="80"/>
      <c r="S2" s="80"/>
    </row>
    <row r="3" spans="2:20" x14ac:dyDescent="0.25">
      <c r="F3" s="390"/>
      <c r="G3" s="390"/>
      <c r="H3" s="391" t="s">
        <v>248</v>
      </c>
      <c r="I3" s="390"/>
      <c r="J3" s="390"/>
      <c r="L3" s="327" t="s">
        <v>274</v>
      </c>
    </row>
    <row r="4" spans="2:20" ht="15.75" thickBot="1" x14ac:dyDescent="0.3">
      <c r="D4" s="299"/>
    </row>
    <row r="5" spans="2:20" x14ac:dyDescent="0.25">
      <c r="B5" s="315"/>
      <c r="C5" s="156"/>
      <c r="D5" s="316"/>
      <c r="E5" s="316"/>
      <c r="F5" s="316"/>
      <c r="G5" s="316"/>
      <c r="H5" s="316"/>
      <c r="I5" s="316"/>
      <c r="J5" s="316"/>
      <c r="K5" s="316"/>
      <c r="L5" s="316"/>
      <c r="M5" s="316"/>
      <c r="N5" s="158"/>
      <c r="P5" s="154"/>
      <c r="Q5" s="316"/>
      <c r="R5" s="316"/>
      <c r="S5" s="316"/>
      <c r="T5" s="158"/>
    </row>
    <row r="6" spans="2:20" x14ac:dyDescent="0.25">
      <c r="B6" s="165"/>
      <c r="C6" s="317"/>
      <c r="D6" s="318" t="s">
        <v>247</v>
      </c>
      <c r="E6" s="318" t="s">
        <v>41</v>
      </c>
      <c r="F6" s="319" t="s">
        <v>2</v>
      </c>
      <c r="G6" s="319" t="s">
        <v>299</v>
      </c>
      <c r="H6" s="319" t="s">
        <v>42</v>
      </c>
      <c r="I6" s="319" t="s">
        <v>223</v>
      </c>
      <c r="J6" s="319" t="s">
        <v>32</v>
      </c>
      <c r="K6" s="319" t="s">
        <v>43</v>
      </c>
      <c r="L6" s="319" t="s">
        <v>236</v>
      </c>
      <c r="M6" s="319" t="s">
        <v>142</v>
      </c>
      <c r="N6" s="166"/>
      <c r="P6" s="165"/>
      <c r="Q6" s="339" t="s">
        <v>283</v>
      </c>
      <c r="R6" s="340"/>
      <c r="S6" s="340"/>
      <c r="T6" s="166"/>
    </row>
    <row r="7" spans="2:20" x14ac:dyDescent="0.25">
      <c r="B7" s="165"/>
      <c r="C7" s="317"/>
      <c r="D7" s="317"/>
      <c r="E7" s="177"/>
      <c r="F7" s="177"/>
      <c r="G7" s="177"/>
      <c r="H7" s="177"/>
      <c r="I7" s="177"/>
      <c r="J7" s="177"/>
      <c r="K7" s="177"/>
      <c r="L7" s="177"/>
      <c r="M7" s="177"/>
      <c r="N7" s="166"/>
      <c r="P7" s="165"/>
      <c r="Q7" s="177"/>
      <c r="R7" s="177"/>
      <c r="S7" s="177"/>
      <c r="T7" s="166"/>
    </row>
    <row r="8" spans="2:20" x14ac:dyDescent="0.25">
      <c r="B8" s="165"/>
      <c r="C8" s="177" t="s">
        <v>240</v>
      </c>
      <c r="D8" s="325">
        <f>COUNTIF('Summary | 01 '!C10:C24,"*")</f>
        <v>15</v>
      </c>
      <c r="E8" s="276">
        <f ca="1">'1. IRR Equity'!AD29</f>
        <v>2093.0293308689243</v>
      </c>
      <c r="F8" s="276">
        <f ca="1">'1. IRR Equity'!AE29</f>
        <v>2082.7761694328437</v>
      </c>
      <c r="G8" s="276">
        <f ca="1">'1. IRR Equity'!AF29</f>
        <v>10.253161436080433</v>
      </c>
      <c r="H8" s="276">
        <f ca="1">'1. IRR Equity'!AG29</f>
        <v>5</v>
      </c>
      <c r="I8" s="276">
        <f ca="1">'1. IRR Equity'!AH29</f>
        <v>2082.8141047656409</v>
      </c>
      <c r="J8" s="411">
        <f>'1. IRR Equity'!AI29</f>
        <v>1.9109696149826048E-3</v>
      </c>
      <c r="K8" s="334">
        <f ca="1">'1. IRR Equity'!AJ29</f>
        <v>1.0024188558553409</v>
      </c>
      <c r="L8" s="278">
        <f ca="1">'1. IRR Equity'!AK29</f>
        <v>1.0000182138308253</v>
      </c>
      <c r="M8" s="278">
        <f ca="1">'1. IRR Equity'!AL29</f>
        <v>2.4006420245155482E-3</v>
      </c>
      <c r="N8" s="166"/>
      <c r="P8" s="165"/>
      <c r="Q8" s="341" t="s">
        <v>280</v>
      </c>
      <c r="R8" s="342"/>
      <c r="S8" s="342"/>
      <c r="T8" s="166"/>
    </row>
    <row r="9" spans="2:20" x14ac:dyDescent="0.25">
      <c r="B9" s="165"/>
      <c r="C9" s="317"/>
      <c r="D9" s="317"/>
      <c r="E9" s="177"/>
      <c r="F9" s="177"/>
      <c r="G9" s="177"/>
      <c r="H9" s="177"/>
      <c r="I9" s="177"/>
      <c r="J9" s="412"/>
      <c r="K9" s="177"/>
      <c r="L9" s="177"/>
      <c r="M9" s="177"/>
      <c r="N9" s="166"/>
      <c r="P9" s="165"/>
      <c r="Q9" s="58" t="s">
        <v>11</v>
      </c>
      <c r="R9" s="56" t="s">
        <v>220</v>
      </c>
      <c r="S9" s="71">
        <v>76.639999999999986</v>
      </c>
      <c r="T9" s="166"/>
    </row>
    <row r="10" spans="2:20" x14ac:dyDescent="0.25">
      <c r="B10" s="165"/>
      <c r="C10" s="317"/>
      <c r="D10" s="317"/>
      <c r="E10" s="177"/>
      <c r="F10" s="177"/>
      <c r="G10" s="177"/>
      <c r="H10" s="177"/>
      <c r="I10" s="177"/>
      <c r="J10" s="412"/>
      <c r="K10" s="177"/>
      <c r="L10" s="177"/>
      <c r="M10" s="177"/>
      <c r="N10" s="166"/>
      <c r="P10" s="165"/>
      <c r="Q10" s="58" t="s">
        <v>48</v>
      </c>
      <c r="R10" s="56" t="s">
        <v>220</v>
      </c>
      <c r="S10" s="71">
        <v>68.082229999999996</v>
      </c>
      <c r="T10" s="166"/>
    </row>
    <row r="11" spans="2:20" x14ac:dyDescent="0.25">
      <c r="B11" s="165"/>
      <c r="C11" s="177" t="s">
        <v>241</v>
      </c>
      <c r="D11" s="325">
        <f>COUNTIF('Summary | 01 '!C30:C32,"*")</f>
        <v>3</v>
      </c>
      <c r="E11" s="276">
        <f>'2. IRR Debt'!Q12</f>
        <v>10.765747000000001</v>
      </c>
      <c r="F11" s="276">
        <f>'2. IRR Debt'!R12</f>
        <v>10.765747000000001</v>
      </c>
      <c r="G11" s="276">
        <f>'2. IRR Debt'!S12</f>
        <v>0</v>
      </c>
      <c r="H11" s="276">
        <f>'2. IRR Debt'!T12</f>
        <v>0.47078465000000003</v>
      </c>
      <c r="I11" s="276">
        <f>'2. IRR Debt'!U12</f>
        <v>2.3539819999999998</v>
      </c>
      <c r="J11" s="411">
        <f>'2. IRR Debt'!V12</f>
        <v>-0.35001702047884475</v>
      </c>
      <c r="K11" s="334">
        <f>'2. IRR Debt'!W12</f>
        <v>0.26238463991397898</v>
      </c>
      <c r="L11" s="278">
        <f>'2. IRR Debt'!X12</f>
        <v>0.21865477611539633</v>
      </c>
      <c r="M11" s="278">
        <f>'2. IRR Debt'!Y12</f>
        <v>4.3729863798582673E-2</v>
      </c>
      <c r="N11" s="166"/>
      <c r="P11" s="165"/>
      <c r="Q11" s="58" t="s">
        <v>44</v>
      </c>
      <c r="R11" s="56" t="s">
        <v>220</v>
      </c>
      <c r="S11" s="71">
        <v>60.462712790302817</v>
      </c>
      <c r="T11" s="166"/>
    </row>
    <row r="12" spans="2:20" x14ac:dyDescent="0.25">
      <c r="B12" s="165"/>
      <c r="C12" s="317"/>
      <c r="D12" s="326"/>
      <c r="E12" s="177"/>
      <c r="F12" s="177"/>
      <c r="G12" s="177"/>
      <c r="H12" s="177"/>
      <c r="I12" s="177"/>
      <c r="J12" s="412"/>
      <c r="K12" s="177"/>
      <c r="L12" s="177"/>
      <c r="M12" s="177"/>
      <c r="N12" s="166"/>
      <c r="P12" s="165"/>
      <c r="Q12" s="58" t="s">
        <v>174</v>
      </c>
      <c r="R12" s="56" t="s">
        <v>63</v>
      </c>
      <c r="S12" s="71">
        <v>10.3408485438</v>
      </c>
      <c r="T12" s="166"/>
    </row>
    <row r="13" spans="2:20" x14ac:dyDescent="0.25">
      <c r="B13" s="165"/>
      <c r="C13" s="317"/>
      <c r="D13" s="326"/>
      <c r="E13" s="177"/>
      <c r="F13" s="177"/>
      <c r="G13" s="177"/>
      <c r="H13" s="177"/>
      <c r="I13" s="177"/>
      <c r="J13" s="412"/>
      <c r="K13" s="177"/>
      <c r="L13" s="177"/>
      <c r="M13" s="177"/>
      <c r="N13" s="166"/>
      <c r="P13" s="165"/>
      <c r="Q13" s="58" t="s">
        <v>133</v>
      </c>
      <c r="R13" s="56" t="s">
        <v>220</v>
      </c>
      <c r="S13" s="71">
        <v>8.11054845363347</v>
      </c>
      <c r="T13" s="166"/>
    </row>
    <row r="14" spans="2:20" x14ac:dyDescent="0.25">
      <c r="B14" s="165"/>
      <c r="C14" s="177" t="s">
        <v>242</v>
      </c>
      <c r="D14" s="325">
        <f>COUNTIF('Summary | 01 '!C36:C40,"*")</f>
        <v>5</v>
      </c>
      <c r="E14" s="276">
        <f>'3. IRR Funds'!Q15</f>
        <v>395.37629041129463</v>
      </c>
      <c r="F14" s="276">
        <f ca="1">'3. IRR Funds'!R15</f>
        <v>133.65097450447118</v>
      </c>
      <c r="G14" s="276">
        <f ca="1">'3. IRR Funds'!S15</f>
        <v>262.75327690682343</v>
      </c>
      <c r="H14" s="276">
        <f ca="1">'3. IRR Funds'!T15</f>
        <v>4.4275637014082001</v>
      </c>
      <c r="I14" s="276">
        <f ca="1">'3. IRR Funds'!U15</f>
        <v>122.28936456439118</v>
      </c>
      <c r="J14" s="411">
        <f>'3. IRR Funds'!V15</f>
        <v>-2.269576042890549E-2</v>
      </c>
      <c r="K14" s="334">
        <f ca="1">'3. IRR Funds'!W15</f>
        <v>0.94811825155498719</v>
      </c>
      <c r="L14" s="278">
        <f ca="1">'3. IRR Funds'!X15</f>
        <v>0.91499044446024669</v>
      </c>
      <c r="M14" s="278">
        <f ca="1">'3. IRR Funds'!Y15</f>
        <v>3.3127807094740488E-2</v>
      </c>
      <c r="N14" s="166"/>
      <c r="P14" s="165"/>
      <c r="Q14" s="58" t="s">
        <v>49</v>
      </c>
      <c r="R14" s="56" t="s">
        <v>220</v>
      </c>
      <c r="S14" s="71">
        <v>2.5</v>
      </c>
      <c r="T14" s="166"/>
    </row>
    <row r="15" spans="2:20" x14ac:dyDescent="0.25">
      <c r="B15" s="165"/>
      <c r="C15" s="317"/>
      <c r="D15" s="326"/>
      <c r="E15" s="177"/>
      <c r="F15" s="177"/>
      <c r="G15" s="177"/>
      <c r="H15" s="177"/>
      <c r="I15" s="177"/>
      <c r="J15" s="412"/>
      <c r="K15" s="177"/>
      <c r="L15" s="177"/>
      <c r="M15" s="177"/>
      <c r="N15" s="166"/>
      <c r="P15" s="165"/>
      <c r="Q15" s="58" t="s">
        <v>47</v>
      </c>
      <c r="R15" s="56" t="s">
        <v>220</v>
      </c>
      <c r="S15" s="71">
        <v>1.001540300000002</v>
      </c>
      <c r="T15" s="166"/>
    </row>
    <row r="16" spans="2:20" x14ac:dyDescent="0.25">
      <c r="B16" s="165"/>
      <c r="C16" s="317"/>
      <c r="D16" s="317"/>
      <c r="E16" s="177"/>
      <c r="F16" s="177"/>
      <c r="G16" s="177"/>
      <c r="H16" s="177"/>
      <c r="I16" s="177"/>
      <c r="J16" s="412"/>
      <c r="K16" s="177"/>
      <c r="L16" s="177"/>
      <c r="M16" s="177"/>
      <c r="N16" s="166"/>
      <c r="P16" s="165"/>
      <c r="Q16" s="177"/>
      <c r="R16" s="177"/>
      <c r="S16" s="177"/>
      <c r="T16" s="166"/>
    </row>
    <row r="17" spans="2:20" x14ac:dyDescent="0.25">
      <c r="B17" s="165"/>
      <c r="C17" s="177" t="s">
        <v>243</v>
      </c>
      <c r="D17" s="325">
        <f t="shared" ref="D17:I17" si="0">D8+D11+D14</f>
        <v>23</v>
      </c>
      <c r="E17" s="276">
        <f t="shared" ca="1" si="0"/>
        <v>2499.1713682802188</v>
      </c>
      <c r="F17" s="276">
        <f t="shared" ca="1" si="0"/>
        <v>2227.192890937315</v>
      </c>
      <c r="G17" s="276">
        <f t="shared" ca="1" si="0"/>
        <v>273.00643834290383</v>
      </c>
      <c r="H17" s="276">
        <f t="shared" ca="1" si="0"/>
        <v>9.8983483514081989</v>
      </c>
      <c r="I17" s="276">
        <f t="shared" ca="1" si="0"/>
        <v>2207.4574513300322</v>
      </c>
      <c r="J17" s="411">
        <f>'4.All'!N9</f>
        <v>-3.3056326210498818E-3</v>
      </c>
      <c r="K17" s="334">
        <f ca="1">(H17+I17)/F17</f>
        <v>0.99558318846297378</v>
      </c>
      <c r="L17" s="278">
        <f ca="1">I17/F17</f>
        <v>0.991138872754314</v>
      </c>
      <c r="M17" s="278">
        <f ca="1">H17/F17</f>
        <v>4.4443157086598252E-3</v>
      </c>
      <c r="N17" s="166"/>
      <c r="P17" s="165"/>
      <c r="Q17" s="341" t="s">
        <v>279</v>
      </c>
      <c r="R17" s="342"/>
      <c r="S17" s="342"/>
      <c r="T17" s="166"/>
    </row>
    <row r="18" spans="2:20" s="92" customFormat="1" ht="15.75" thickBot="1" x14ac:dyDescent="0.3">
      <c r="B18" s="320"/>
      <c r="C18" s="321"/>
      <c r="D18" s="321"/>
      <c r="E18" s="421"/>
      <c r="F18" s="321"/>
      <c r="G18" s="321"/>
      <c r="H18" s="321"/>
      <c r="I18" s="321"/>
      <c r="J18" s="413"/>
      <c r="K18" s="321"/>
      <c r="L18" s="321"/>
      <c r="M18" s="321"/>
      <c r="N18" s="322"/>
      <c r="P18" s="343"/>
      <c r="Q18" s="58" t="s">
        <v>57</v>
      </c>
      <c r="R18" s="56" t="s">
        <v>220</v>
      </c>
      <c r="S18" s="71">
        <v>-65</v>
      </c>
      <c r="T18" s="344"/>
    </row>
    <row r="19" spans="2:20" x14ac:dyDescent="0.25">
      <c r="E19" s="422" t="b">
        <f ca="1">E17='Summary | 01 '!J43</f>
        <v>0</v>
      </c>
      <c r="F19" s="422" t="b">
        <f ca="1">F17='Summary | 01 '!K43</f>
        <v>1</v>
      </c>
      <c r="G19" s="423" t="b">
        <f ca="1">ROUND(G17,1)=ROUND('Summary | 01 '!L43,1)</f>
        <v>0</v>
      </c>
      <c r="H19" s="423" t="b">
        <f ca="1">ROUND(H17,1)=ROUND('Summary | 01 '!M43,1)</f>
        <v>1</v>
      </c>
      <c r="I19" s="423" t="b">
        <f ca="1">ROUND(I17,1)=ROUND('Summary | 01 '!N43,1)</f>
        <v>1</v>
      </c>
      <c r="J19" s="414"/>
      <c r="P19" s="165"/>
      <c r="Q19" s="58" t="s">
        <v>134</v>
      </c>
      <c r="R19" s="56" t="s">
        <v>220</v>
      </c>
      <c r="S19" s="71">
        <v>-13.055784900000001</v>
      </c>
      <c r="T19" s="166"/>
    </row>
    <row r="20" spans="2:20" ht="15.75" thickBot="1" x14ac:dyDescent="0.3">
      <c r="J20" s="414"/>
      <c r="P20" s="165"/>
      <c r="Q20" s="58" t="s">
        <v>58</v>
      </c>
      <c r="R20" s="56" t="s">
        <v>53</v>
      </c>
      <c r="S20" s="71">
        <v>-8</v>
      </c>
      <c r="T20" s="166"/>
    </row>
    <row r="21" spans="2:20" x14ac:dyDescent="0.25">
      <c r="B21" s="154"/>
      <c r="C21" s="251"/>
      <c r="D21" s="316"/>
      <c r="E21" s="316"/>
      <c r="F21" s="316"/>
      <c r="G21" s="316"/>
      <c r="H21" s="316"/>
      <c r="I21" s="316"/>
      <c r="J21" s="415"/>
      <c r="K21" s="316"/>
      <c r="L21" s="316"/>
      <c r="M21" s="316"/>
      <c r="N21" s="158"/>
      <c r="P21" s="165"/>
      <c r="Q21" s="58" t="s">
        <v>0</v>
      </c>
      <c r="R21" s="56" t="s">
        <v>220</v>
      </c>
      <c r="S21" s="71">
        <v>-4.9000000000000004</v>
      </c>
      <c r="T21" s="166"/>
    </row>
    <row r="22" spans="2:20" x14ac:dyDescent="0.25">
      <c r="B22" s="165"/>
      <c r="C22" s="419" t="s">
        <v>333</v>
      </c>
      <c r="D22" s="318" t="s">
        <v>247</v>
      </c>
      <c r="E22" s="318" t="s">
        <v>41</v>
      </c>
      <c r="F22" s="319" t="s">
        <v>2</v>
      </c>
      <c r="G22" s="319" t="s">
        <v>299</v>
      </c>
      <c r="H22" s="319" t="s">
        <v>42</v>
      </c>
      <c r="I22" s="319" t="s">
        <v>223</v>
      </c>
      <c r="J22" s="416" t="s">
        <v>32</v>
      </c>
      <c r="K22" s="319" t="s">
        <v>43</v>
      </c>
      <c r="L22" s="319" t="s">
        <v>236</v>
      </c>
      <c r="M22" s="319" t="s">
        <v>142</v>
      </c>
      <c r="N22" s="166"/>
      <c r="P22" s="165"/>
      <c r="Q22" s="58" t="s">
        <v>1</v>
      </c>
      <c r="R22" s="56" t="s">
        <v>63</v>
      </c>
      <c r="S22" s="71">
        <v>-2.8666919999999863</v>
      </c>
      <c r="T22" s="166"/>
    </row>
    <row r="23" spans="2:20" x14ac:dyDescent="0.25">
      <c r="B23" s="165"/>
      <c r="C23" s="317"/>
      <c r="D23" s="177"/>
      <c r="E23" s="177"/>
      <c r="F23" s="177"/>
      <c r="G23" s="177"/>
      <c r="H23" s="177"/>
      <c r="I23" s="177"/>
      <c r="J23" s="412"/>
      <c r="K23" s="177"/>
      <c r="L23" s="177"/>
      <c r="M23" s="177"/>
      <c r="N23" s="166"/>
      <c r="P23" s="165"/>
      <c r="Q23" s="58" t="s">
        <v>15</v>
      </c>
      <c r="R23" s="56" t="s">
        <v>63</v>
      </c>
      <c r="S23" s="71">
        <v>-0.47118065000000087</v>
      </c>
      <c r="T23" s="166"/>
    </row>
    <row r="24" spans="2:20" x14ac:dyDescent="0.25">
      <c r="B24" s="165"/>
      <c r="C24" s="324" t="s">
        <v>290</v>
      </c>
      <c r="D24" s="325">
        <f>'1.1(P1)'!O23</f>
        <v>9</v>
      </c>
      <c r="E24" s="276">
        <f>'1.1(P1)'!P23</f>
        <v>379.99397987284391</v>
      </c>
      <c r="F24" s="276">
        <f>'1.1(P1)'!Q23</f>
        <v>379.99397987284391</v>
      </c>
      <c r="G24" s="276">
        <f>'1.1(P1)'!R23</f>
        <v>0</v>
      </c>
      <c r="H24" s="276">
        <f>'1.1(P1)'!S23</f>
        <v>5</v>
      </c>
      <c r="I24" s="276" t="e">
        <f>'1.1(P1)'!T23</f>
        <v>#VALUE!</v>
      </c>
      <c r="J24" s="411" t="e">
        <f>'1.1(P1)'!U23</f>
        <v>#VALUE!</v>
      </c>
      <c r="K24" s="334" t="e">
        <f>'1.1(P1)'!V23</f>
        <v>#VALUE!</v>
      </c>
      <c r="L24" s="278" t="e">
        <f>'1.1(P1)'!W23</f>
        <v>#VALUE!</v>
      </c>
      <c r="M24" s="278">
        <f>'1.1(P1)'!X23</f>
        <v>1.3158103193300939E-2</v>
      </c>
      <c r="N24" s="166"/>
      <c r="P24" s="165"/>
      <c r="Q24" s="58" t="s">
        <v>237</v>
      </c>
      <c r="R24" s="56" t="s">
        <v>63</v>
      </c>
      <c r="S24" s="71">
        <v>-0.28341550000000026</v>
      </c>
      <c r="T24" s="166"/>
    </row>
    <row r="25" spans="2:20" x14ac:dyDescent="0.25">
      <c r="B25" s="165"/>
      <c r="C25" s="324"/>
      <c r="D25" s="177"/>
      <c r="E25" s="177"/>
      <c r="F25" s="177"/>
      <c r="G25" s="177"/>
      <c r="H25" s="177"/>
      <c r="I25" s="177"/>
      <c r="J25" s="412"/>
      <c r="K25" s="177"/>
      <c r="L25" s="177"/>
      <c r="M25" s="177"/>
      <c r="N25" s="166"/>
      <c r="P25" s="165"/>
      <c r="Q25" s="177"/>
      <c r="R25" s="177"/>
      <c r="S25" s="177"/>
      <c r="T25" s="166"/>
    </row>
    <row r="26" spans="2:20" x14ac:dyDescent="0.25">
      <c r="B26" s="165"/>
      <c r="C26" s="324" t="s">
        <v>292</v>
      </c>
      <c r="D26" s="325">
        <v>3</v>
      </c>
      <c r="E26" s="276">
        <f>F26</f>
        <v>83</v>
      </c>
      <c r="F26" s="276">
        <v>83</v>
      </c>
      <c r="G26" s="276">
        <v>0</v>
      </c>
      <c r="H26" s="276">
        <v>0</v>
      </c>
      <c r="I26" s="276">
        <v>81.18222999999999</v>
      </c>
      <c r="J26" s="411">
        <v>-6.7133113741874688E-3</v>
      </c>
      <c r="K26" s="334">
        <v>0.97809915662650593</v>
      </c>
      <c r="L26" s="278">
        <v>0.97809915662650593</v>
      </c>
      <c r="M26" s="278">
        <v>0</v>
      </c>
      <c r="N26" s="166"/>
      <c r="P26" s="165"/>
      <c r="Q26" s="336" t="s">
        <v>281</v>
      </c>
      <c r="R26" s="337"/>
      <c r="S26" s="338">
        <f>SUM(S9:S24)</f>
        <v>132.56080703773631</v>
      </c>
      <c r="T26" s="166"/>
    </row>
    <row r="27" spans="2:20" x14ac:dyDescent="0.25">
      <c r="B27" s="165"/>
      <c r="C27" s="324"/>
      <c r="D27" s="177"/>
      <c r="E27" s="177"/>
      <c r="G27" s="177"/>
      <c r="J27" s="417"/>
      <c r="N27" s="166"/>
      <c r="P27" s="165"/>
      <c r="Q27" s="177"/>
      <c r="R27" s="177"/>
      <c r="S27" s="177"/>
      <c r="T27" s="166"/>
    </row>
    <row r="28" spans="2:20" x14ac:dyDescent="0.25">
      <c r="B28" s="165"/>
      <c r="C28" s="324" t="s">
        <v>293</v>
      </c>
      <c r="D28" s="325">
        <v>4</v>
      </c>
      <c r="E28" s="276">
        <f>F28</f>
        <v>293.9702596743665</v>
      </c>
      <c r="F28" s="276">
        <v>293.9702596743665</v>
      </c>
      <c r="G28" s="276">
        <v>0</v>
      </c>
      <c r="H28" s="276">
        <v>5</v>
      </c>
      <c r="I28" s="276">
        <v>377.22234842799998</v>
      </c>
      <c r="J28" s="411">
        <v>0.12646896243095396</v>
      </c>
      <c r="K28" s="334">
        <v>1.3002075408967937</v>
      </c>
      <c r="L28" s="278">
        <v>1.2831990176348198</v>
      </c>
      <c r="M28" s="278">
        <v>1.7008523261973999E-2</v>
      </c>
      <c r="N28" s="166"/>
      <c r="P28" s="165"/>
      <c r="Q28" s="177"/>
      <c r="R28" s="177"/>
      <c r="S28" s="177"/>
      <c r="T28" s="166"/>
    </row>
    <row r="29" spans="2:20" x14ac:dyDescent="0.25">
      <c r="B29" s="165"/>
      <c r="C29" s="324"/>
      <c r="D29" s="177"/>
      <c r="E29" s="177"/>
      <c r="G29" s="177"/>
      <c r="J29" s="417"/>
      <c r="N29" s="166"/>
      <c r="P29" s="165"/>
      <c r="Q29" s="177"/>
      <c r="R29" s="177"/>
      <c r="S29" s="177"/>
      <c r="T29" s="166"/>
    </row>
    <row r="30" spans="2:20" x14ac:dyDescent="0.25">
      <c r="B30" s="165"/>
      <c r="C30" s="324" t="s">
        <v>294</v>
      </c>
      <c r="D30" s="325">
        <v>2</v>
      </c>
      <c r="E30" s="276">
        <f>F30</f>
        <v>8.0237201984774345</v>
      </c>
      <c r="F30" s="276">
        <v>8.0237201984774345</v>
      </c>
      <c r="G30" s="276">
        <v>0</v>
      </c>
      <c r="H30" s="276">
        <v>0</v>
      </c>
      <c r="I30" s="276">
        <v>8.0237201984774345</v>
      </c>
      <c r="J30" s="411">
        <v>2.9802322387695314E-9</v>
      </c>
      <c r="K30" s="334">
        <v>1</v>
      </c>
      <c r="L30" s="278">
        <v>1</v>
      </c>
      <c r="M30" s="278">
        <v>0</v>
      </c>
      <c r="N30" s="166"/>
      <c r="P30" s="165"/>
      <c r="Q30" s="177"/>
      <c r="R30" s="177"/>
      <c r="S30" s="177"/>
      <c r="T30" s="166"/>
    </row>
    <row r="31" spans="2:20" ht="15.75" thickBot="1" x14ac:dyDescent="0.3">
      <c r="B31" s="170"/>
      <c r="C31" s="249"/>
      <c r="D31" s="323"/>
      <c r="E31" s="323"/>
      <c r="F31" s="323"/>
      <c r="G31" s="323"/>
      <c r="H31" s="323"/>
      <c r="I31" s="323"/>
      <c r="J31" s="418"/>
      <c r="K31" s="323"/>
      <c r="L31" s="323"/>
      <c r="M31" s="323"/>
      <c r="N31" s="174"/>
      <c r="P31" s="170"/>
      <c r="Q31" s="323"/>
      <c r="R31" s="323"/>
      <c r="S31" s="323"/>
      <c r="T31" s="174"/>
    </row>
    <row r="32" spans="2:20" x14ac:dyDescent="0.25">
      <c r="J32" s="417"/>
    </row>
    <row r="33" spans="2:14" ht="15.75" thickBot="1" x14ac:dyDescent="0.3">
      <c r="J33" s="417"/>
    </row>
    <row r="34" spans="2:14" x14ac:dyDescent="0.25">
      <c r="B34" s="154"/>
      <c r="C34" s="251" t="s">
        <v>334</v>
      </c>
      <c r="D34" s="316"/>
      <c r="E34" s="316"/>
      <c r="F34" s="316"/>
      <c r="G34" s="316"/>
      <c r="H34" s="316"/>
      <c r="I34" s="316"/>
      <c r="J34" s="415"/>
      <c r="K34" s="316"/>
      <c r="L34" s="316"/>
      <c r="M34" s="316"/>
      <c r="N34" s="158"/>
    </row>
    <row r="35" spans="2:14" x14ac:dyDescent="0.25">
      <c r="B35" s="165"/>
      <c r="C35" s="317"/>
      <c r="D35" s="318" t="s">
        <v>247</v>
      </c>
      <c r="E35" s="318" t="s">
        <v>41</v>
      </c>
      <c r="F35" s="319" t="s">
        <v>2</v>
      </c>
      <c r="G35" s="319" t="s">
        <v>299</v>
      </c>
      <c r="H35" s="319" t="s">
        <v>42</v>
      </c>
      <c r="I35" s="319" t="s">
        <v>223</v>
      </c>
      <c r="J35" s="416" t="s">
        <v>32</v>
      </c>
      <c r="K35" s="319" t="s">
        <v>43</v>
      </c>
      <c r="L35" s="319" t="s">
        <v>236</v>
      </c>
      <c r="M35" s="319" t="s">
        <v>142</v>
      </c>
      <c r="N35" s="166"/>
    </row>
    <row r="36" spans="2:14" x14ac:dyDescent="0.25">
      <c r="B36" s="165"/>
      <c r="C36" s="317"/>
      <c r="D36" s="177"/>
      <c r="E36" s="177"/>
      <c r="F36" s="177"/>
      <c r="G36" s="177"/>
      <c r="H36" s="177"/>
      <c r="I36" s="177"/>
      <c r="J36" s="412"/>
      <c r="K36" s="177"/>
      <c r="L36" s="177"/>
      <c r="M36" s="177"/>
      <c r="N36" s="166"/>
    </row>
    <row r="37" spans="2:14" x14ac:dyDescent="0.25">
      <c r="B37" s="165"/>
      <c r="C37" s="324" t="s">
        <v>309</v>
      </c>
      <c r="D37" s="325">
        <v>8</v>
      </c>
      <c r="E37" s="276">
        <v>2578.8539820000001</v>
      </c>
      <c r="F37" s="276">
        <v>1528.8598371999997</v>
      </c>
      <c r="G37" s="276">
        <f>E37-F37</f>
        <v>1049.9941448000004</v>
      </c>
      <c r="H37" s="276">
        <v>1.4717893499999999</v>
      </c>
      <c r="I37" s="276">
        <v>1591.9989059903025</v>
      </c>
      <c r="J37" s="411">
        <v>6.4502593874931333E-2</v>
      </c>
      <c r="K37" s="334">
        <v>1.0422608119908712</v>
      </c>
      <c r="L37" s="278">
        <v>1.0412981407804771</v>
      </c>
      <c r="M37" s="278">
        <v>9.6267121039393612E-4</v>
      </c>
      <c r="N37" s="166"/>
    </row>
    <row r="38" spans="2:14" x14ac:dyDescent="0.25">
      <c r="B38" s="165"/>
      <c r="C38" s="324"/>
      <c r="D38" s="177"/>
      <c r="E38" s="177"/>
      <c r="G38" s="177"/>
      <c r="J38" s="417"/>
      <c r="N38" s="166"/>
    </row>
    <row r="39" spans="2:14" x14ac:dyDescent="0.25">
      <c r="B39" s="165"/>
      <c r="C39" s="324" t="s">
        <v>311</v>
      </c>
      <c r="D39" s="325">
        <v>3</v>
      </c>
      <c r="E39" s="276">
        <v>22.911764999999999</v>
      </c>
      <c r="F39" s="276">
        <v>22.911764999999999</v>
      </c>
      <c r="G39" s="276">
        <v>0</v>
      </c>
      <c r="H39" s="276">
        <v>5</v>
      </c>
      <c r="I39" s="276">
        <v>20.456438682191781</v>
      </c>
      <c r="J39" s="411">
        <v>8.2198861241340654E-2</v>
      </c>
      <c r="K39" s="334">
        <v>1.1110640617251348</v>
      </c>
      <c r="L39" s="278">
        <v>0.89283556645207307</v>
      </c>
      <c r="M39" s="278">
        <v>0.21822849527306168</v>
      </c>
      <c r="N39" s="166"/>
    </row>
    <row r="40" spans="2:14" x14ac:dyDescent="0.25">
      <c r="B40" s="165"/>
      <c r="C40" s="324"/>
      <c r="D40" s="177"/>
      <c r="E40" s="177"/>
      <c r="G40" s="177"/>
      <c r="J40" s="417"/>
      <c r="N40" s="166"/>
    </row>
    <row r="41" spans="2:14" x14ac:dyDescent="0.25">
      <c r="B41" s="165"/>
      <c r="C41" s="324" t="s">
        <v>332</v>
      </c>
      <c r="D41" s="325">
        <v>1</v>
      </c>
      <c r="E41" s="276">
        <v>300</v>
      </c>
      <c r="F41" s="276">
        <v>300</v>
      </c>
      <c r="G41" s="276">
        <v>0</v>
      </c>
      <c r="H41" s="276">
        <v>0</v>
      </c>
      <c r="I41" s="276">
        <v>300</v>
      </c>
      <c r="J41" s="411">
        <v>2.9802322387695314E-9</v>
      </c>
      <c r="K41" s="334">
        <v>1</v>
      </c>
      <c r="L41" s="278">
        <v>1</v>
      </c>
      <c r="M41" s="278">
        <v>0</v>
      </c>
      <c r="N41" s="166"/>
    </row>
    <row r="42" spans="2:14" x14ac:dyDescent="0.25">
      <c r="B42" s="165"/>
      <c r="C42" s="324"/>
      <c r="D42" s="177"/>
      <c r="E42" s="177"/>
      <c r="G42" s="177"/>
      <c r="J42" s="417"/>
      <c r="N42" s="166"/>
    </row>
    <row r="43" spans="2:14" x14ac:dyDescent="0.25">
      <c r="B43" s="165"/>
      <c r="C43" s="324" t="s">
        <v>307</v>
      </c>
      <c r="D43" s="325">
        <v>7</v>
      </c>
      <c r="E43" s="276">
        <v>193.11250000000001</v>
      </c>
      <c r="F43" s="276">
        <v>174.12686249999999</v>
      </c>
      <c r="G43" s="276">
        <v>18.985637500000003</v>
      </c>
      <c r="H43" s="276">
        <v>0</v>
      </c>
      <c r="I43" s="276">
        <v>221.87141575999999</v>
      </c>
      <c r="J43" s="411">
        <v>0.12701625227928162</v>
      </c>
      <c r="K43" s="334">
        <v>1.2503350938490374</v>
      </c>
      <c r="L43" s="278">
        <v>1.2503350938490374</v>
      </c>
      <c r="M43" s="278">
        <v>0</v>
      </c>
      <c r="N43" s="166"/>
    </row>
    <row r="44" spans="2:14" x14ac:dyDescent="0.25">
      <c r="B44" s="165"/>
      <c r="C44" s="324"/>
      <c r="D44" s="177"/>
      <c r="E44" s="177"/>
      <c r="G44" s="177"/>
      <c r="J44" s="417"/>
      <c r="N44" s="166"/>
    </row>
    <row r="45" spans="2:14" x14ac:dyDescent="0.25">
      <c r="B45" s="165"/>
      <c r="C45" s="324" t="s">
        <v>312</v>
      </c>
      <c r="D45" s="325">
        <v>4</v>
      </c>
      <c r="E45" s="276">
        <v>174.76187128021894</v>
      </c>
      <c r="F45" s="276">
        <v>170.8159139630655</v>
      </c>
      <c r="G45" s="276">
        <v>3.945957317153443</v>
      </c>
      <c r="H45" s="276">
        <v>0</v>
      </c>
      <c r="I45" s="276">
        <v>189.26320996441859</v>
      </c>
      <c r="J45" s="411">
        <v>4.8084196448326108E-2</v>
      </c>
      <c r="K45" s="334">
        <v>1.1080217853609446</v>
      </c>
      <c r="L45" s="278">
        <v>1.1080217853609446</v>
      </c>
      <c r="M45" s="278">
        <v>0</v>
      </c>
      <c r="N45" s="166"/>
    </row>
    <row r="46" spans="2:14" ht="15.75" thickBot="1" x14ac:dyDescent="0.3">
      <c r="B46" s="170"/>
      <c r="C46" s="249"/>
      <c r="D46" s="323"/>
      <c r="E46" s="323"/>
      <c r="F46" s="323"/>
      <c r="G46" s="323"/>
      <c r="H46" s="323"/>
      <c r="I46" s="323"/>
      <c r="J46" s="418"/>
      <c r="K46" s="323"/>
      <c r="L46" s="323"/>
      <c r="M46" s="323"/>
      <c r="N46" s="174"/>
    </row>
    <row r="48" spans="2:14" x14ac:dyDescent="0.25">
      <c r="C48" s="152" t="s">
        <v>138</v>
      </c>
    </row>
    <row r="49" spans="3:3" x14ac:dyDescent="0.25">
      <c r="C49" s="360" t="s">
        <v>298</v>
      </c>
    </row>
    <row r="50" spans="3:3" x14ac:dyDescent="0.25">
      <c r="C50" s="360" t="s">
        <v>296</v>
      </c>
    </row>
    <row r="51" spans="3:3" x14ac:dyDescent="0.25">
      <c r="C51" s="360" t="s">
        <v>295</v>
      </c>
    </row>
    <row r="52" spans="3:3" x14ac:dyDescent="0.25">
      <c r="C52" s="360" t="s">
        <v>297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1A38-0598-4393-A072-2E22156075E3}">
  <sheetPr>
    <tabColor theme="4" tint="-0.499984740745262"/>
  </sheetPr>
  <dimension ref="B2:AG96"/>
  <sheetViews>
    <sheetView zoomScale="70" zoomScaleNormal="70" workbookViewId="0">
      <selection activeCell="O33" sqref="O33"/>
    </sheetView>
  </sheetViews>
  <sheetFormatPr defaultRowHeight="12" x14ac:dyDescent="0.2"/>
  <cols>
    <col min="1" max="1" width="9.140625" style="83"/>
    <col min="2" max="3" width="21.5703125" style="83" customWidth="1"/>
    <col min="4" max="5" width="9.140625" style="83"/>
    <col min="6" max="6" width="22.7109375" style="83" bestFit="1" customWidth="1"/>
    <col min="7" max="9" width="15.85546875" style="88" customWidth="1"/>
    <col min="10" max="10" width="15.7109375" style="83" customWidth="1"/>
    <col min="11" max="11" width="13.85546875" style="83" customWidth="1"/>
    <col min="12" max="12" width="14.85546875" style="83" customWidth="1"/>
    <col min="13" max="14" width="16.5703125" style="83" customWidth="1"/>
    <col min="15" max="16" width="13.28515625" style="356" customWidth="1"/>
    <col min="17" max="17" width="22.7109375" style="83" bestFit="1" customWidth="1"/>
    <col min="18" max="21" width="14.85546875" style="83" customWidth="1"/>
    <col min="22" max="23" width="9.85546875" style="83" customWidth="1"/>
    <col min="24" max="33" width="22.5703125" style="83" customWidth="1"/>
    <col min="34" max="16384" width="9.140625" style="83"/>
  </cols>
  <sheetData>
    <row r="2" spans="2:33" s="164" customFormat="1" ht="43.5" customHeight="1" x14ac:dyDescent="0.45">
      <c r="F2" s="345" t="s">
        <v>335</v>
      </c>
      <c r="G2" s="346"/>
      <c r="H2" s="346"/>
      <c r="I2" s="346"/>
      <c r="J2" s="346"/>
      <c r="K2" s="346"/>
      <c r="L2" s="353"/>
      <c r="M2" s="353"/>
      <c r="N2" s="353"/>
      <c r="O2" s="355"/>
      <c r="P2" s="355"/>
      <c r="Q2" s="137"/>
      <c r="R2" s="137"/>
      <c r="S2" s="137"/>
      <c r="T2" s="137"/>
      <c r="U2" s="137"/>
      <c r="V2" s="137"/>
      <c r="W2" s="137"/>
      <c r="X2" s="137"/>
      <c r="Y2" s="347"/>
    </row>
    <row r="3" spans="2:33" ht="13.5" thickBot="1" x14ac:dyDescent="0.25">
      <c r="Q3" s="137"/>
      <c r="R3" s="137"/>
      <c r="S3" s="137"/>
      <c r="T3" s="137"/>
      <c r="U3" s="137"/>
      <c r="V3" s="137"/>
      <c r="W3" s="137"/>
      <c r="X3" s="137"/>
    </row>
    <row r="4" spans="2:33" s="137" customFormat="1" ht="13.5" thickBot="1" x14ac:dyDescent="0.25">
      <c r="F4" s="271" t="s">
        <v>235</v>
      </c>
      <c r="G4" s="285">
        <f>D!D2</f>
        <v>45016</v>
      </c>
      <c r="H4" s="376"/>
      <c r="I4" s="376"/>
      <c r="O4" s="357"/>
      <c r="P4" s="357"/>
    </row>
    <row r="6" spans="2:33" x14ac:dyDescent="0.2">
      <c r="F6" s="97" t="s">
        <v>140</v>
      </c>
      <c r="G6" s="83"/>
      <c r="H6" s="83"/>
      <c r="I6" s="83"/>
      <c r="Q6" s="97" t="s">
        <v>140</v>
      </c>
    </row>
    <row r="7" spans="2:33" ht="32.25" customHeight="1" x14ac:dyDescent="0.2">
      <c r="B7" s="96" t="s">
        <v>291</v>
      </c>
      <c r="C7" s="96"/>
      <c r="F7" s="95" t="s">
        <v>6</v>
      </c>
      <c r="G7" s="96" t="s">
        <v>221</v>
      </c>
      <c r="H7" s="96" t="s">
        <v>306</v>
      </c>
      <c r="I7" s="96" t="s">
        <v>56</v>
      </c>
      <c r="J7" s="96" t="s">
        <v>7</v>
      </c>
      <c r="K7" s="96" t="s">
        <v>141</v>
      </c>
      <c r="L7" s="96" t="s">
        <v>42</v>
      </c>
      <c r="M7" s="97" t="s">
        <v>139</v>
      </c>
      <c r="N7" s="97" t="s">
        <v>225</v>
      </c>
      <c r="O7" s="358"/>
      <c r="P7" s="358"/>
      <c r="Q7" s="95" t="s">
        <v>6</v>
      </c>
      <c r="R7" s="96" t="s">
        <v>141</v>
      </c>
      <c r="S7" s="96" t="s">
        <v>42</v>
      </c>
      <c r="T7" s="96" t="s">
        <v>139</v>
      </c>
      <c r="U7" s="96" t="s">
        <v>225</v>
      </c>
      <c r="V7" s="335"/>
      <c r="X7" s="127" t="s">
        <v>331</v>
      </c>
      <c r="Y7" s="318" t="s">
        <v>41</v>
      </c>
      <c r="Z7" s="319" t="s">
        <v>2</v>
      </c>
      <c r="AA7" s="319" t="s">
        <v>299</v>
      </c>
      <c r="AB7" s="127" t="s">
        <v>42</v>
      </c>
      <c r="AC7" s="127" t="s">
        <v>223</v>
      </c>
      <c r="AD7" s="127" t="s">
        <v>32</v>
      </c>
      <c r="AE7" s="127" t="s">
        <v>43</v>
      </c>
      <c r="AF7" s="127" t="s">
        <v>236</v>
      </c>
      <c r="AG7" s="127" t="s">
        <v>142</v>
      </c>
    </row>
    <row r="8" spans="2:33" ht="12.75" x14ac:dyDescent="0.2">
      <c r="B8" s="354" t="s">
        <v>57</v>
      </c>
      <c r="C8" s="354" t="s">
        <v>309</v>
      </c>
      <c r="F8" s="84" t="s">
        <v>57</v>
      </c>
      <c r="G8" s="89" t="s">
        <v>220</v>
      </c>
      <c r="H8" s="89" t="str">
        <f>VLOOKUP(F8,'5. Geo'!$B$3:$F$26,5,0)</f>
        <v>Asia-China</v>
      </c>
      <c r="I8" s="378">
        <f>VLOOKUP(F8,'5. Geo'!$B$3:$F$26,2,0)</f>
        <v>2019</v>
      </c>
      <c r="J8" s="85">
        <v>43470</v>
      </c>
      <c r="K8" s="93">
        <f>'CF (Equity, Debt)'!E4</f>
        <v>-30</v>
      </c>
      <c r="L8" s="93">
        <f>'CF (Equity, Debt)'!F4</f>
        <v>0</v>
      </c>
      <c r="M8" s="93"/>
      <c r="N8" s="93">
        <f>SUM(K8:M8)</f>
        <v>-30</v>
      </c>
      <c r="O8" s="359"/>
      <c r="P8" s="359">
        <f>IF($C$8=H8,1,0)</f>
        <v>1</v>
      </c>
      <c r="Q8" s="84" t="s">
        <v>57</v>
      </c>
      <c r="R8" s="93">
        <f>$P8*K8</f>
        <v>-30</v>
      </c>
      <c r="S8" s="93">
        <f>$P8*L8</f>
        <v>0</v>
      </c>
      <c r="T8" s="93">
        <f>$P8*M8</f>
        <v>0</v>
      </c>
      <c r="U8" s="93">
        <f>$P8*N8</f>
        <v>-30</v>
      </c>
      <c r="V8" s="301"/>
      <c r="X8" s="301"/>
      <c r="Z8" s="137"/>
      <c r="AB8" s="137"/>
      <c r="AC8" s="137"/>
      <c r="AD8" s="266"/>
      <c r="AE8" s="137"/>
      <c r="AF8" s="137"/>
      <c r="AG8" s="137"/>
    </row>
    <row r="9" spans="2:33" ht="15" x14ac:dyDescent="0.25">
      <c r="B9" s="354" t="s">
        <v>0</v>
      </c>
      <c r="C9" s="354" t="s">
        <v>307</v>
      </c>
      <c r="F9" s="84" t="s">
        <v>57</v>
      </c>
      <c r="G9" s="89" t="s">
        <v>220</v>
      </c>
      <c r="H9" s="89" t="str">
        <f>VLOOKUP(F9,'5. Geo'!$B$3:$F$26,5,0)</f>
        <v>Asia-China</v>
      </c>
      <c r="I9" s="378">
        <f>VLOOKUP(F9,'5. Geo'!$B$3:$F$26,2,0)</f>
        <v>2019</v>
      </c>
      <c r="J9" s="85">
        <v>43724</v>
      </c>
      <c r="K9" s="93">
        <f>'CF (Equity, Debt)'!E5</f>
        <v>-20</v>
      </c>
      <c r="L9" s="93">
        <f>'CF (Equity, Debt)'!F5</f>
        <v>0</v>
      </c>
      <c r="M9" s="93"/>
      <c r="N9" s="93">
        <f t="shared" ref="N9:N72" si="0">SUM(K9:M9)</f>
        <v>-20</v>
      </c>
      <c r="O9" s="359"/>
      <c r="P9" s="359">
        <f t="shared" ref="P9:P72" si="1">IF($C$8=H9,1,0)</f>
        <v>1</v>
      </c>
      <c r="Q9" s="84" t="s">
        <v>57</v>
      </c>
      <c r="R9" s="93">
        <f t="shared" ref="R9:R72" si="2">$P9*K9</f>
        <v>-20</v>
      </c>
      <c r="S9" s="93">
        <f t="shared" ref="S9:S72" si="3">$P9*L9</f>
        <v>0</v>
      </c>
      <c r="T9" s="93">
        <f t="shared" ref="T9:T72" si="4">$P9*M9</f>
        <v>0</v>
      </c>
      <c r="U9" s="93">
        <f t="shared" ref="U9:U72" si="5">$P9*N9</f>
        <v>-20</v>
      </c>
      <c r="X9" s="382">
        <f>SUM(P74:P97)</f>
        <v>8</v>
      </c>
      <c r="Y9" s="88"/>
      <c r="Z9" s="99">
        <f>-SUM(R8:R99)</f>
        <v>1328.8598371999997</v>
      </c>
      <c r="AA9" s="88"/>
      <c r="AB9" s="99">
        <f>SUM(S8:S99)</f>
        <v>1.4717893499999999</v>
      </c>
      <c r="AC9" s="99" t="e">
        <f>SUM(T8:T99)</f>
        <v>#VALUE!</v>
      </c>
      <c r="AD9" s="383">
        <f>XIRR(U8:U110,J8:J110,0.1)</f>
        <v>2.9802322387695314E-9</v>
      </c>
      <c r="AE9" s="203" t="e">
        <f>(AB9+AC9)/Z9</f>
        <v>#VALUE!</v>
      </c>
      <c r="AF9" s="203" t="e">
        <f>AC9/Z9</f>
        <v>#VALUE!</v>
      </c>
      <c r="AG9" s="203">
        <f>AB9/Z9</f>
        <v>1.1075580048390678E-3</v>
      </c>
    </row>
    <row r="10" spans="2:33" ht="12.75" x14ac:dyDescent="0.2">
      <c r="B10" s="354" t="s">
        <v>48</v>
      </c>
      <c r="C10" s="354" t="s">
        <v>311</v>
      </c>
      <c r="F10" s="84" t="s">
        <v>57</v>
      </c>
      <c r="G10" s="89" t="s">
        <v>220</v>
      </c>
      <c r="H10" s="89" t="str">
        <f>VLOOKUP(F10,'5. Geo'!$B$3:$F$26,5,0)</f>
        <v>Asia-China</v>
      </c>
      <c r="I10" s="378">
        <f>VLOOKUP(F10,'5. Geo'!$B$3:$F$26,2,0)</f>
        <v>2019</v>
      </c>
      <c r="J10" s="85">
        <v>43724</v>
      </c>
      <c r="K10" s="93">
        <f>'CF (Equity, Debt)'!E6</f>
        <v>-15</v>
      </c>
      <c r="L10" s="93">
        <f>'CF (Equity, Debt)'!F6</f>
        <v>0</v>
      </c>
      <c r="M10" s="93"/>
      <c r="N10" s="93">
        <f t="shared" si="0"/>
        <v>-15</v>
      </c>
      <c r="O10" s="359"/>
      <c r="P10" s="359">
        <f t="shared" si="1"/>
        <v>1</v>
      </c>
      <c r="Q10" s="84" t="s">
        <v>57</v>
      </c>
      <c r="R10" s="93">
        <f t="shared" si="2"/>
        <v>-15</v>
      </c>
      <c r="S10" s="93">
        <f t="shared" si="3"/>
        <v>0</v>
      </c>
      <c r="T10" s="93">
        <f t="shared" si="4"/>
        <v>0</v>
      </c>
      <c r="U10" s="93">
        <f t="shared" si="5"/>
        <v>-15</v>
      </c>
    </row>
    <row r="11" spans="2:33" ht="12.75" x14ac:dyDescent="0.2">
      <c r="B11" s="354" t="s">
        <v>49</v>
      </c>
      <c r="C11" s="354" t="s">
        <v>312</v>
      </c>
      <c r="F11" s="86" t="s">
        <v>0</v>
      </c>
      <c r="G11" s="90" t="s">
        <v>220</v>
      </c>
      <c r="H11" s="90" t="str">
        <f>VLOOKUP(F11,'5. Geo'!$B$3:$F$26,5,0)</f>
        <v>Asia-China</v>
      </c>
      <c r="I11" s="379">
        <f>VLOOKUP(F11,'5. Geo'!$B$3:$F$26,2,0)</f>
        <v>2019</v>
      </c>
      <c r="J11" s="87">
        <v>43563</v>
      </c>
      <c r="K11" s="94">
        <f>'CF (Equity, Debt)'!E7</f>
        <v>-8</v>
      </c>
      <c r="L11" s="94">
        <f>'CF (Equity, Debt)'!F7</f>
        <v>0</v>
      </c>
      <c r="M11" s="94"/>
      <c r="N11" s="94">
        <f t="shared" si="0"/>
        <v>-8</v>
      </c>
      <c r="O11" s="359"/>
      <c r="P11" s="359">
        <f t="shared" si="1"/>
        <v>1</v>
      </c>
      <c r="Q11" s="86" t="s">
        <v>0</v>
      </c>
      <c r="R11" s="94">
        <f t="shared" si="2"/>
        <v>-8</v>
      </c>
      <c r="S11" s="94">
        <f t="shared" si="3"/>
        <v>0</v>
      </c>
      <c r="T11" s="94">
        <f t="shared" si="4"/>
        <v>0</v>
      </c>
      <c r="U11" s="94">
        <f t="shared" si="5"/>
        <v>-8</v>
      </c>
    </row>
    <row r="12" spans="2:33" ht="12.75" x14ac:dyDescent="0.2">
      <c r="B12" s="354" t="s">
        <v>47</v>
      </c>
      <c r="C12" s="354" t="s">
        <v>310</v>
      </c>
      <c r="F12" s="84" t="s">
        <v>48</v>
      </c>
      <c r="G12" s="89" t="s">
        <v>220</v>
      </c>
      <c r="H12" s="89" t="str">
        <f>VLOOKUP(F12,'5. Geo'!$B$3:$F$26,5,0)</f>
        <v>USA</v>
      </c>
      <c r="I12" s="378">
        <f>VLOOKUP(F12,'5. Geo'!$B$3:$F$26,2,0)</f>
        <v>2019</v>
      </c>
      <c r="J12" s="85">
        <v>43570</v>
      </c>
      <c r="K12" s="93">
        <f>'CF (Equity, Debt)'!E8</f>
        <v>-4.9999980900000001</v>
      </c>
      <c r="L12" s="93">
        <f>'CF (Equity, Debt)'!F8</f>
        <v>0</v>
      </c>
      <c r="M12" s="93"/>
      <c r="N12" s="93">
        <f t="shared" si="0"/>
        <v>-4.9999980900000001</v>
      </c>
      <c r="O12" s="359"/>
      <c r="P12" s="359">
        <f t="shared" si="1"/>
        <v>0</v>
      </c>
      <c r="Q12" s="84" t="s">
        <v>48</v>
      </c>
      <c r="R12" s="93">
        <f t="shared" si="2"/>
        <v>0</v>
      </c>
      <c r="S12" s="93">
        <f t="shared" si="3"/>
        <v>0</v>
      </c>
      <c r="T12" s="93">
        <f t="shared" si="4"/>
        <v>0</v>
      </c>
      <c r="U12" s="93">
        <f t="shared" si="5"/>
        <v>0</v>
      </c>
      <c r="Y12" s="263"/>
      <c r="Z12" s="263"/>
      <c r="AA12" s="286"/>
      <c r="AB12" s="277"/>
      <c r="AC12" s="277"/>
      <c r="AD12" s="277"/>
    </row>
    <row r="13" spans="2:33" ht="12.75" x14ac:dyDescent="0.2">
      <c r="B13" s="354" t="s">
        <v>133</v>
      </c>
      <c r="C13" s="354"/>
      <c r="F13" s="84" t="s">
        <v>48</v>
      </c>
      <c r="G13" s="89" t="s">
        <v>220</v>
      </c>
      <c r="H13" s="89" t="str">
        <f>VLOOKUP(F13,'5. Geo'!$B$3:$F$26,5,0)</f>
        <v>USA</v>
      </c>
      <c r="I13" s="378">
        <f>VLOOKUP(F13,'5. Geo'!$B$3:$F$26,2,0)</f>
        <v>2019</v>
      </c>
      <c r="J13" s="85">
        <v>43915</v>
      </c>
      <c r="K13" s="93">
        <f>'CF (Equity, Debt)'!E9</f>
        <v>-5.0000019099999999</v>
      </c>
      <c r="L13" s="93">
        <f>'CF (Equity, Debt)'!F9</f>
        <v>0</v>
      </c>
      <c r="M13" s="93"/>
      <c r="N13" s="93">
        <f t="shared" si="0"/>
        <v>-5.0000019099999999</v>
      </c>
      <c r="O13" s="359"/>
      <c r="P13" s="359">
        <f t="shared" si="1"/>
        <v>0</v>
      </c>
      <c r="Q13" s="84" t="s">
        <v>48</v>
      </c>
      <c r="R13" s="93">
        <f t="shared" si="2"/>
        <v>0</v>
      </c>
      <c r="S13" s="93">
        <f t="shared" si="3"/>
        <v>0</v>
      </c>
      <c r="T13" s="93">
        <f t="shared" si="4"/>
        <v>0</v>
      </c>
      <c r="U13" s="93">
        <f t="shared" si="5"/>
        <v>0</v>
      </c>
    </row>
    <row r="14" spans="2:33" ht="12.75" x14ac:dyDescent="0.2">
      <c r="B14" s="354" t="s">
        <v>11</v>
      </c>
      <c r="C14" s="354"/>
      <c r="F14" s="86" t="s">
        <v>49</v>
      </c>
      <c r="G14" s="90" t="s">
        <v>220</v>
      </c>
      <c r="H14" s="90" t="str">
        <f>VLOOKUP(F14,'5. Geo'!$B$3:$F$26,5,0)</f>
        <v>Rest of Asia</v>
      </c>
      <c r="I14" s="379">
        <f>VLOOKUP(F14,'5. Geo'!$B$3:$F$26,2,0)</f>
        <v>2020</v>
      </c>
      <c r="J14" s="87">
        <v>43870</v>
      </c>
      <c r="K14" s="94">
        <f>'CF (Equity, Debt)'!E10</f>
        <v>-2.5</v>
      </c>
      <c r="L14" s="94">
        <f>'CF (Equity, Debt)'!F10</f>
        <v>0</v>
      </c>
      <c r="M14" s="94"/>
      <c r="N14" s="94">
        <f t="shared" si="0"/>
        <v>-2.5</v>
      </c>
      <c r="O14" s="359"/>
      <c r="P14" s="359">
        <f t="shared" si="1"/>
        <v>0</v>
      </c>
      <c r="Q14" s="86" t="s">
        <v>49</v>
      </c>
      <c r="R14" s="94">
        <f t="shared" si="2"/>
        <v>0</v>
      </c>
      <c r="S14" s="94">
        <f t="shared" si="3"/>
        <v>0</v>
      </c>
      <c r="T14" s="94">
        <f t="shared" si="4"/>
        <v>0</v>
      </c>
      <c r="U14" s="94">
        <f t="shared" si="5"/>
        <v>0</v>
      </c>
    </row>
    <row r="15" spans="2:33" ht="12.75" x14ac:dyDescent="0.2">
      <c r="B15" s="354" t="s">
        <v>24</v>
      </c>
      <c r="C15" s="354"/>
      <c r="F15" s="84" t="s">
        <v>47</v>
      </c>
      <c r="G15" s="89" t="s">
        <v>220</v>
      </c>
      <c r="H15" s="89" t="str">
        <f>VLOOKUP(F15,'5. Geo'!$B$3:$F$26,5,0)</f>
        <v>USA</v>
      </c>
      <c r="I15" s="378">
        <f>VLOOKUP(F15,'5. Geo'!$B$3:$F$26,2,0)</f>
        <v>2020</v>
      </c>
      <c r="J15" s="85">
        <v>43879</v>
      </c>
      <c r="K15" s="93">
        <f>'CF (Equity, Debt)'!E11</f>
        <v>-20</v>
      </c>
      <c r="L15" s="93">
        <f>'CF (Equity, Debt)'!F11</f>
        <v>0</v>
      </c>
      <c r="M15" s="93"/>
      <c r="N15" s="93">
        <f t="shared" si="0"/>
        <v>-20</v>
      </c>
      <c r="O15" s="359"/>
      <c r="P15" s="359">
        <f t="shared" si="1"/>
        <v>0</v>
      </c>
      <c r="Q15" s="84" t="s">
        <v>47</v>
      </c>
      <c r="R15" s="93">
        <f t="shared" si="2"/>
        <v>0</v>
      </c>
      <c r="S15" s="93">
        <f t="shared" si="3"/>
        <v>0</v>
      </c>
      <c r="T15" s="93">
        <f t="shared" si="4"/>
        <v>0</v>
      </c>
      <c r="U15" s="93">
        <f t="shared" si="5"/>
        <v>0</v>
      </c>
    </row>
    <row r="16" spans="2:33" ht="12.75" x14ac:dyDescent="0.2">
      <c r="B16" s="354" t="s">
        <v>50</v>
      </c>
      <c r="C16" s="354"/>
      <c r="F16" s="84" t="s">
        <v>47</v>
      </c>
      <c r="G16" s="89" t="s">
        <v>220</v>
      </c>
      <c r="H16" s="89" t="str">
        <f>VLOOKUP(F16,'5. Geo'!$B$3:$F$26,5,0)</f>
        <v>USA</v>
      </c>
      <c r="I16" s="378">
        <f>VLOOKUP(F16,'5. Geo'!$B$3:$F$26,2,0)</f>
        <v>2020</v>
      </c>
      <c r="J16" s="85">
        <v>43921</v>
      </c>
      <c r="K16" s="93">
        <f>'CF (Equity, Debt)'!E12</f>
        <v>-30</v>
      </c>
      <c r="L16" s="93">
        <f>'CF (Equity, Debt)'!F12</f>
        <v>0</v>
      </c>
      <c r="M16" s="93"/>
      <c r="N16" s="93">
        <f t="shared" si="0"/>
        <v>-30</v>
      </c>
      <c r="O16" s="359"/>
      <c r="P16" s="359">
        <f t="shared" si="1"/>
        <v>0</v>
      </c>
      <c r="Q16" s="84" t="s">
        <v>47</v>
      </c>
      <c r="R16" s="93">
        <f t="shared" si="2"/>
        <v>0</v>
      </c>
      <c r="S16" s="93">
        <f t="shared" si="3"/>
        <v>0</v>
      </c>
      <c r="T16" s="93">
        <f t="shared" si="4"/>
        <v>0</v>
      </c>
      <c r="U16" s="93">
        <f t="shared" si="5"/>
        <v>0</v>
      </c>
    </row>
    <row r="17" spans="2:21" ht="12.75" x14ac:dyDescent="0.2">
      <c r="B17" s="354" t="s">
        <v>51</v>
      </c>
      <c r="C17" s="354"/>
      <c r="F17" s="84" t="s">
        <v>47</v>
      </c>
      <c r="G17" s="89" t="s">
        <v>220</v>
      </c>
      <c r="H17" s="89" t="str">
        <f>VLOOKUP(F17,'5. Geo'!$B$3:$F$26,5,0)</f>
        <v>USA</v>
      </c>
      <c r="I17" s="378">
        <f>VLOOKUP(F17,'5. Geo'!$B$3:$F$26,2,0)</f>
        <v>2020</v>
      </c>
      <c r="J17" s="85">
        <v>43989</v>
      </c>
      <c r="K17" s="93">
        <f>'CF (Equity, Debt)'!E13</f>
        <v>-30</v>
      </c>
      <c r="L17" s="93">
        <f>'CF (Equity, Debt)'!F13</f>
        <v>0</v>
      </c>
      <c r="M17" s="93"/>
      <c r="N17" s="93">
        <f>SUM(K17:M17)</f>
        <v>-30</v>
      </c>
      <c r="O17" s="359"/>
      <c r="P17" s="359">
        <f t="shared" si="1"/>
        <v>0</v>
      </c>
      <c r="Q17" s="84" t="s">
        <v>47</v>
      </c>
      <c r="R17" s="93">
        <f t="shared" si="2"/>
        <v>0</v>
      </c>
      <c r="S17" s="93">
        <f t="shared" si="3"/>
        <v>0</v>
      </c>
      <c r="T17" s="93">
        <f t="shared" si="4"/>
        <v>0</v>
      </c>
      <c r="U17" s="93">
        <f t="shared" si="5"/>
        <v>0</v>
      </c>
    </row>
    <row r="18" spans="2:21" ht="12.75" x14ac:dyDescent="0.2">
      <c r="B18" s="354" t="s">
        <v>52</v>
      </c>
      <c r="C18" s="354"/>
      <c r="F18" s="84" t="s">
        <v>47</v>
      </c>
      <c r="G18" s="89" t="s">
        <v>220</v>
      </c>
      <c r="H18" s="89" t="str">
        <f>VLOOKUP(F18,'5. Geo'!$B$3:$F$26,5,0)</f>
        <v>USA</v>
      </c>
      <c r="I18" s="378">
        <f>VLOOKUP(F18,'5. Geo'!$B$3:$F$26,2,0)</f>
        <v>2020</v>
      </c>
      <c r="J18" s="85">
        <v>44103</v>
      </c>
      <c r="K18" s="93">
        <f>'CF (Equity, Debt)'!E14</f>
        <v>-10</v>
      </c>
      <c r="L18" s="93">
        <f>'CF (Equity, Debt)'!F14</f>
        <v>0</v>
      </c>
      <c r="M18" s="93"/>
      <c r="N18" s="93">
        <f t="shared" si="0"/>
        <v>-10</v>
      </c>
      <c r="O18" s="359"/>
      <c r="P18" s="359">
        <f t="shared" si="1"/>
        <v>0</v>
      </c>
      <c r="Q18" s="84" t="s">
        <v>47</v>
      </c>
      <c r="R18" s="93">
        <f t="shared" si="2"/>
        <v>0</v>
      </c>
      <c r="S18" s="93">
        <f t="shared" si="3"/>
        <v>0</v>
      </c>
      <c r="T18" s="93">
        <f t="shared" si="4"/>
        <v>0</v>
      </c>
      <c r="U18" s="93">
        <f t="shared" si="5"/>
        <v>0</v>
      </c>
    </row>
    <row r="19" spans="2:21" ht="12.75" x14ac:dyDescent="0.2">
      <c r="B19" s="354" t="s">
        <v>113</v>
      </c>
      <c r="C19" s="354"/>
      <c r="F19" s="86" t="s">
        <v>133</v>
      </c>
      <c r="G19" s="90" t="s">
        <v>220</v>
      </c>
      <c r="H19" s="90" t="str">
        <f>VLOOKUP(F19,'5. Geo'!$B$3:$F$26,5,0)</f>
        <v>Europe</v>
      </c>
      <c r="I19" s="379">
        <f>VLOOKUP(F19,'5. Geo'!$B$3:$F$26,2,0)</f>
        <v>2020</v>
      </c>
      <c r="J19" s="87">
        <v>43968</v>
      </c>
      <c r="K19" s="94">
        <f>'CF (Equity, Debt)'!E15</f>
        <v>-50</v>
      </c>
      <c r="L19" s="94">
        <f>'CF (Equity, Debt)'!F15</f>
        <v>0</v>
      </c>
      <c r="M19" s="94"/>
      <c r="N19" s="94">
        <f t="shared" si="0"/>
        <v>-50</v>
      </c>
      <c r="O19" s="359"/>
      <c r="P19" s="359">
        <f t="shared" si="1"/>
        <v>0</v>
      </c>
      <c r="Q19" s="86" t="s">
        <v>133</v>
      </c>
      <c r="R19" s="94">
        <f t="shared" si="2"/>
        <v>0</v>
      </c>
      <c r="S19" s="94">
        <f t="shared" si="3"/>
        <v>0</v>
      </c>
      <c r="T19" s="94">
        <f t="shared" si="4"/>
        <v>0</v>
      </c>
      <c r="U19" s="94">
        <f t="shared" si="5"/>
        <v>0</v>
      </c>
    </row>
    <row r="20" spans="2:21" ht="12.75" x14ac:dyDescent="0.2">
      <c r="B20" s="354" t="s">
        <v>25</v>
      </c>
      <c r="C20" s="354"/>
      <c r="F20" s="86" t="s">
        <v>133</v>
      </c>
      <c r="G20" s="90" t="s">
        <v>220</v>
      </c>
      <c r="H20" s="90" t="str">
        <f>VLOOKUP(F20,'5. Geo'!$B$3:$F$26,5,0)</f>
        <v>Europe</v>
      </c>
      <c r="I20" s="379">
        <f>VLOOKUP(F20,'5. Geo'!$B$3:$F$26,2,0)</f>
        <v>2020</v>
      </c>
      <c r="J20" s="87">
        <v>44006</v>
      </c>
      <c r="K20" s="94">
        <f>'CF (Equity, Debt)'!E16</f>
        <v>-27.268350856443721</v>
      </c>
      <c r="L20" s="94">
        <f>'CF (Equity, Debt)'!F16</f>
        <v>0</v>
      </c>
      <c r="M20" s="94"/>
      <c r="N20" s="94">
        <f t="shared" si="0"/>
        <v>-27.268350856443721</v>
      </c>
      <c r="O20" s="359"/>
      <c r="P20" s="359">
        <f t="shared" si="1"/>
        <v>0</v>
      </c>
      <c r="Q20" s="86" t="s">
        <v>133</v>
      </c>
      <c r="R20" s="94">
        <f t="shared" si="2"/>
        <v>0</v>
      </c>
      <c r="S20" s="94">
        <f t="shared" si="3"/>
        <v>0</v>
      </c>
      <c r="T20" s="94">
        <f t="shared" si="4"/>
        <v>0</v>
      </c>
      <c r="U20" s="94">
        <f t="shared" si="5"/>
        <v>0</v>
      </c>
    </row>
    <row r="21" spans="2:21" ht="12.75" x14ac:dyDescent="0.2">
      <c r="B21" s="354" t="s">
        <v>134</v>
      </c>
      <c r="C21" s="354"/>
      <c r="F21" s="86" t="s">
        <v>133</v>
      </c>
      <c r="G21" s="90" t="s">
        <v>220</v>
      </c>
      <c r="H21" s="90" t="str">
        <f>VLOOKUP(F21,'5. Geo'!$B$3:$F$26,5,0)</f>
        <v>Europe</v>
      </c>
      <c r="I21" s="379">
        <f>VLOOKUP(F21,'5. Geo'!$B$3:$F$26,2,0)</f>
        <v>2020</v>
      </c>
      <c r="J21" s="87">
        <v>43837</v>
      </c>
      <c r="K21" s="94">
        <f>'CF (Equity, Debt)'!E17</f>
        <v>-18.109441299619355</v>
      </c>
      <c r="L21" s="94">
        <f>'CF (Equity, Debt)'!F17</f>
        <v>0</v>
      </c>
      <c r="M21" s="94"/>
      <c r="N21" s="94">
        <f t="shared" si="0"/>
        <v>-18.109441299619355</v>
      </c>
      <c r="O21" s="359"/>
      <c r="P21" s="359">
        <f t="shared" si="1"/>
        <v>0</v>
      </c>
      <c r="Q21" s="86" t="s">
        <v>133</v>
      </c>
      <c r="R21" s="94">
        <f t="shared" si="2"/>
        <v>0</v>
      </c>
      <c r="S21" s="94">
        <f t="shared" si="3"/>
        <v>0</v>
      </c>
      <c r="T21" s="94">
        <f t="shared" si="4"/>
        <v>0</v>
      </c>
      <c r="U21" s="94">
        <f t="shared" si="5"/>
        <v>0</v>
      </c>
    </row>
    <row r="22" spans="2:21" ht="12.75" x14ac:dyDescent="0.2">
      <c r="B22" s="354" t="s">
        <v>44</v>
      </c>
      <c r="C22" s="354"/>
      <c r="F22" s="86" t="s">
        <v>133</v>
      </c>
      <c r="G22" s="90" t="s">
        <v>220</v>
      </c>
      <c r="H22" s="90" t="str">
        <f>VLOOKUP(F22,'5. Geo'!$B$3:$F$26,5,0)</f>
        <v>Europe</v>
      </c>
      <c r="I22" s="379">
        <f>VLOOKUP(F22,'5. Geo'!$B$3:$F$26,2,0)</f>
        <v>2020</v>
      </c>
      <c r="J22" s="87">
        <v>43990</v>
      </c>
      <c r="K22" s="94">
        <f>'CF (Equity, Debt)'!E18</f>
        <v>-34.851687094159864</v>
      </c>
      <c r="L22" s="94">
        <f>'CF (Equity, Debt)'!F18</f>
        <v>0</v>
      </c>
      <c r="M22" s="94"/>
      <c r="N22" s="94">
        <f t="shared" si="0"/>
        <v>-34.851687094159864</v>
      </c>
      <c r="O22" s="359"/>
      <c r="P22" s="359">
        <f t="shared" si="1"/>
        <v>0</v>
      </c>
      <c r="Q22" s="86" t="s">
        <v>133</v>
      </c>
      <c r="R22" s="94">
        <f t="shared" si="2"/>
        <v>0</v>
      </c>
      <c r="S22" s="94">
        <f t="shared" si="3"/>
        <v>0</v>
      </c>
      <c r="T22" s="94">
        <f t="shared" si="4"/>
        <v>0</v>
      </c>
      <c r="U22" s="94">
        <f t="shared" si="5"/>
        <v>0</v>
      </c>
    </row>
    <row r="23" spans="2:21" ht="12.75" x14ac:dyDescent="0.2">
      <c r="B23" s="354" t="s">
        <v>58</v>
      </c>
      <c r="C23" s="354"/>
      <c r="F23" s="86" t="s">
        <v>133</v>
      </c>
      <c r="G23" s="90" t="s">
        <v>220</v>
      </c>
      <c r="H23" s="90" t="str">
        <f>VLOOKUP(F23,'5. Geo'!$B$3:$F$26,5,0)</f>
        <v>Europe</v>
      </c>
      <c r="I23" s="379">
        <f>VLOOKUP(F23,'5. Geo'!$B$3:$F$26,2,0)</f>
        <v>2020</v>
      </c>
      <c r="J23" s="87">
        <v>44315</v>
      </c>
      <c r="K23" s="94">
        <f>'CF (Equity, Debt)'!E19</f>
        <v>-11.240780424143557</v>
      </c>
      <c r="L23" s="94">
        <f>'CF (Equity, Debt)'!F19</f>
        <v>0</v>
      </c>
      <c r="M23" s="94"/>
      <c r="N23" s="94">
        <f t="shared" si="0"/>
        <v>-11.240780424143557</v>
      </c>
      <c r="O23" s="359"/>
      <c r="P23" s="359">
        <f t="shared" si="1"/>
        <v>0</v>
      </c>
      <c r="Q23" s="86" t="s">
        <v>133</v>
      </c>
      <c r="R23" s="94">
        <f t="shared" si="2"/>
        <v>0</v>
      </c>
      <c r="S23" s="94">
        <f t="shared" si="3"/>
        <v>0</v>
      </c>
      <c r="T23" s="94">
        <f t="shared" si="4"/>
        <v>0</v>
      </c>
      <c r="U23" s="94">
        <f t="shared" si="5"/>
        <v>0</v>
      </c>
    </row>
    <row r="24" spans="2:21" ht="12.75" x14ac:dyDescent="0.2">
      <c r="B24" s="354" t="s">
        <v>0</v>
      </c>
      <c r="C24" s="354"/>
      <c r="F24" s="84" t="s">
        <v>11</v>
      </c>
      <c r="G24" s="89" t="s">
        <v>220</v>
      </c>
      <c r="H24" s="89" t="str">
        <f>VLOOKUP(F24,'5. Geo'!$B$3:$F$26,5,0)</f>
        <v>Asia-China</v>
      </c>
      <c r="I24" s="378">
        <f>VLOOKUP(F24,'5. Geo'!$B$3:$F$26,2,0)</f>
        <v>2020</v>
      </c>
      <c r="J24" s="85">
        <v>44166</v>
      </c>
      <c r="K24" s="93">
        <f>'CF (Equity, Debt)'!E20</f>
        <v>-60</v>
      </c>
      <c r="L24" s="93">
        <f>'CF (Equity, Debt)'!F20</f>
        <v>0</v>
      </c>
      <c r="M24" s="93"/>
      <c r="N24" s="93">
        <f t="shared" si="0"/>
        <v>-60</v>
      </c>
      <c r="O24" s="359"/>
      <c r="P24" s="359">
        <f t="shared" si="1"/>
        <v>1</v>
      </c>
      <c r="Q24" s="84" t="s">
        <v>11</v>
      </c>
      <c r="R24" s="93">
        <f t="shared" si="2"/>
        <v>-60</v>
      </c>
      <c r="S24" s="93">
        <f t="shared" si="3"/>
        <v>0</v>
      </c>
      <c r="T24" s="93">
        <f t="shared" si="4"/>
        <v>0</v>
      </c>
      <c r="U24" s="93">
        <f t="shared" si="5"/>
        <v>-60</v>
      </c>
    </row>
    <row r="25" spans="2:21" ht="12.75" x14ac:dyDescent="0.2">
      <c r="B25" s="354" t="s">
        <v>49</v>
      </c>
      <c r="C25" s="354"/>
      <c r="F25" s="86" t="s">
        <v>24</v>
      </c>
      <c r="G25" s="90" t="s">
        <v>220</v>
      </c>
      <c r="H25" s="90" t="str">
        <f>VLOOKUP(F25,'5. Geo'!$B$3:$F$26,5,0)</f>
        <v>Rest of Asia</v>
      </c>
      <c r="I25" s="379">
        <f>VLOOKUP(F25,'5. Geo'!$B$3:$F$26,2,0)</f>
        <v>2021</v>
      </c>
      <c r="J25" s="87">
        <v>44363</v>
      </c>
      <c r="K25" s="94">
        <f>'CF (Equity, Debt)'!E21</f>
        <v>-20</v>
      </c>
      <c r="L25" s="94">
        <f>'CF (Equity, Debt)'!F21</f>
        <v>0</v>
      </c>
      <c r="M25" s="94"/>
      <c r="N25" s="94">
        <f t="shared" si="0"/>
        <v>-20</v>
      </c>
      <c r="O25" s="359"/>
      <c r="P25" s="359">
        <f t="shared" si="1"/>
        <v>0</v>
      </c>
      <c r="Q25" s="86" t="s">
        <v>24</v>
      </c>
      <c r="R25" s="94">
        <f t="shared" si="2"/>
        <v>0</v>
      </c>
      <c r="S25" s="94">
        <f t="shared" si="3"/>
        <v>0</v>
      </c>
      <c r="T25" s="94">
        <f t="shared" si="4"/>
        <v>0</v>
      </c>
      <c r="U25" s="94">
        <f t="shared" si="5"/>
        <v>0</v>
      </c>
    </row>
    <row r="26" spans="2:21" ht="12.75" x14ac:dyDescent="0.2">
      <c r="B26" s="354" t="s">
        <v>31</v>
      </c>
      <c r="C26" s="354"/>
      <c r="F26" s="84" t="s">
        <v>50</v>
      </c>
      <c r="G26" s="89" t="s">
        <v>220</v>
      </c>
      <c r="H26" s="89" t="str">
        <f>VLOOKUP(F26,'5. Geo'!$B$3:$F$26,5,0)</f>
        <v>USA</v>
      </c>
      <c r="I26" s="378">
        <f>VLOOKUP(F26,'5. Geo'!$B$3:$F$26,2,0)</f>
        <v>2021</v>
      </c>
      <c r="J26" s="85">
        <v>44488</v>
      </c>
      <c r="K26" s="93">
        <f>'CF (Equity, Debt)'!E22</f>
        <v>-39.999983359999995</v>
      </c>
      <c r="L26" s="93">
        <f>'CF (Equity, Debt)'!F22</f>
        <v>0</v>
      </c>
      <c r="M26" s="93"/>
      <c r="N26" s="93">
        <f t="shared" si="0"/>
        <v>-39.999983359999995</v>
      </c>
      <c r="O26" s="359"/>
      <c r="P26" s="359">
        <f t="shared" si="1"/>
        <v>0</v>
      </c>
      <c r="Q26" s="84" t="s">
        <v>50</v>
      </c>
      <c r="R26" s="93">
        <f t="shared" si="2"/>
        <v>0</v>
      </c>
      <c r="S26" s="93">
        <f t="shared" si="3"/>
        <v>0</v>
      </c>
      <c r="T26" s="93">
        <f t="shared" si="4"/>
        <v>0</v>
      </c>
      <c r="U26" s="93">
        <f t="shared" si="5"/>
        <v>0</v>
      </c>
    </row>
    <row r="27" spans="2:21" ht="12.75" x14ac:dyDescent="0.2">
      <c r="B27" s="354" t="s">
        <v>31</v>
      </c>
      <c r="C27" s="354"/>
      <c r="F27" s="86" t="s">
        <v>51</v>
      </c>
      <c r="G27" s="90" t="s">
        <v>220</v>
      </c>
      <c r="H27" s="90" t="str">
        <f>VLOOKUP(F27,'5. Geo'!$B$3:$F$26,5,0)</f>
        <v>USA</v>
      </c>
      <c r="I27" s="379">
        <f>VLOOKUP(F27,'5. Geo'!$B$3:$F$26,2,0)</f>
        <v>2021</v>
      </c>
      <c r="J27" s="87">
        <v>44494</v>
      </c>
      <c r="K27" s="94">
        <f>'CF (Equity, Debt)'!E23</f>
        <v>-3</v>
      </c>
      <c r="L27" s="94">
        <f>'CF (Equity, Debt)'!F23</f>
        <v>0</v>
      </c>
      <c r="M27" s="94"/>
      <c r="N27" s="94">
        <f t="shared" si="0"/>
        <v>-3</v>
      </c>
      <c r="O27" s="359"/>
      <c r="P27" s="359">
        <f t="shared" si="1"/>
        <v>0</v>
      </c>
      <c r="Q27" s="86" t="s">
        <v>51</v>
      </c>
      <c r="R27" s="94">
        <f t="shared" si="2"/>
        <v>0</v>
      </c>
      <c r="S27" s="94">
        <f t="shared" si="3"/>
        <v>0</v>
      </c>
      <c r="T27" s="94">
        <f t="shared" si="4"/>
        <v>0</v>
      </c>
      <c r="U27" s="94">
        <f t="shared" si="5"/>
        <v>0</v>
      </c>
    </row>
    <row r="28" spans="2:21" ht="12.75" x14ac:dyDescent="0.2">
      <c r="B28" s="354" t="s">
        <v>1</v>
      </c>
      <c r="C28" s="354"/>
      <c r="F28" s="84" t="s">
        <v>52</v>
      </c>
      <c r="G28" s="89" t="s">
        <v>220</v>
      </c>
      <c r="H28" s="89" t="str">
        <f>VLOOKUP(F28,'5. Geo'!$B$3:$F$26,5,0)</f>
        <v>Europe</v>
      </c>
      <c r="I28" s="378">
        <f>VLOOKUP(F28,'5. Geo'!$B$3:$F$26,2,0)</f>
        <v>2021</v>
      </c>
      <c r="J28" s="85">
        <v>44550</v>
      </c>
      <c r="K28" s="93">
        <f>'CF (Equity, Debt)'!E24</f>
        <v>-5.0237201984774336</v>
      </c>
      <c r="L28" s="93">
        <f>'CF (Equity, Debt)'!F24</f>
        <v>0</v>
      </c>
      <c r="M28" s="93"/>
      <c r="N28" s="93">
        <f t="shared" si="0"/>
        <v>-5.0237201984774336</v>
      </c>
      <c r="O28" s="359"/>
      <c r="P28" s="359">
        <f t="shared" si="1"/>
        <v>0</v>
      </c>
      <c r="Q28" s="84" t="s">
        <v>52</v>
      </c>
      <c r="R28" s="93">
        <f t="shared" si="2"/>
        <v>0</v>
      </c>
      <c r="S28" s="93">
        <f t="shared" si="3"/>
        <v>0</v>
      </c>
      <c r="T28" s="93">
        <f t="shared" si="4"/>
        <v>0</v>
      </c>
      <c r="U28" s="93">
        <f t="shared" si="5"/>
        <v>0</v>
      </c>
    </row>
    <row r="29" spans="2:21" ht="12.75" x14ac:dyDescent="0.2">
      <c r="B29" s="354" t="s">
        <v>15</v>
      </c>
      <c r="C29" s="354"/>
      <c r="F29" s="86" t="s">
        <v>113</v>
      </c>
      <c r="G29" s="90" t="s">
        <v>220</v>
      </c>
      <c r="H29" s="90" t="str">
        <f>VLOOKUP(F29,'5. Geo'!$B$3:$F$26,5,0)</f>
        <v>Asia-China</v>
      </c>
      <c r="I29" s="379">
        <f>VLOOKUP(F29,'5. Geo'!$B$3:$F$26,2,0)</f>
        <v>2022</v>
      </c>
      <c r="J29" s="87">
        <v>44574</v>
      </c>
      <c r="K29" s="94">
        <f>'CF (Equity, Debt)'!E25</f>
        <v>-493.50095619999996</v>
      </c>
      <c r="L29" s="94">
        <f>'CF (Equity, Debt)'!F25</f>
        <v>0</v>
      </c>
      <c r="M29" s="94"/>
      <c r="N29" s="94">
        <f t="shared" si="0"/>
        <v>-493.50095619999996</v>
      </c>
      <c r="O29" s="359"/>
      <c r="P29" s="359">
        <f t="shared" si="1"/>
        <v>1</v>
      </c>
      <c r="Q29" s="86" t="s">
        <v>113</v>
      </c>
      <c r="R29" s="94">
        <f t="shared" si="2"/>
        <v>-493.50095619999996</v>
      </c>
      <c r="S29" s="94">
        <f t="shared" si="3"/>
        <v>0</v>
      </c>
      <c r="T29" s="94">
        <f t="shared" si="4"/>
        <v>0</v>
      </c>
      <c r="U29" s="94">
        <f t="shared" si="5"/>
        <v>-493.50095619999996</v>
      </c>
    </row>
    <row r="30" spans="2:21" ht="12.75" x14ac:dyDescent="0.2">
      <c r="B30" s="354" t="s">
        <v>237</v>
      </c>
      <c r="C30" s="354"/>
      <c r="F30" s="84" t="s">
        <v>25</v>
      </c>
      <c r="G30" s="89" t="s">
        <v>220</v>
      </c>
      <c r="H30" s="89" t="str">
        <f>VLOOKUP(F30,'5. Geo'!$B$3:$F$26,5,0)</f>
        <v>MiddleEast</v>
      </c>
      <c r="I30" s="378">
        <f>VLOOKUP(F30,'5. Geo'!$B$3:$F$26,2,0)</f>
        <v>2022</v>
      </c>
      <c r="J30" s="85">
        <v>44643</v>
      </c>
      <c r="K30" s="93">
        <f>'CF (Equity, Debt)'!E26</f>
        <v>-200</v>
      </c>
      <c r="L30" s="93">
        <f>'CF (Equity, Debt)'!F26</f>
        <v>0</v>
      </c>
      <c r="M30" s="93"/>
      <c r="N30" s="93">
        <f t="shared" si="0"/>
        <v>-200</v>
      </c>
      <c r="O30" s="359"/>
      <c r="P30" s="359">
        <f t="shared" si="1"/>
        <v>0</v>
      </c>
      <c r="Q30" s="84" t="s">
        <v>25</v>
      </c>
      <c r="R30" s="93">
        <f t="shared" si="2"/>
        <v>0</v>
      </c>
      <c r="S30" s="93">
        <f t="shared" si="3"/>
        <v>0</v>
      </c>
      <c r="T30" s="93">
        <f t="shared" si="4"/>
        <v>0</v>
      </c>
      <c r="U30" s="93">
        <f t="shared" si="5"/>
        <v>0</v>
      </c>
    </row>
    <row r="31" spans="2:21" ht="12.75" x14ac:dyDescent="0.2">
      <c r="B31" s="354"/>
      <c r="C31" s="354"/>
      <c r="F31" s="84" t="s">
        <v>25</v>
      </c>
      <c r="G31" s="89" t="s">
        <v>220</v>
      </c>
      <c r="H31" s="89" t="str">
        <f>VLOOKUP(F31,'5. Geo'!$B$3:$F$26,5,0)</f>
        <v>MiddleEast</v>
      </c>
      <c r="I31" s="378">
        <f>VLOOKUP(F31,'5. Geo'!$B$3:$F$26,2,0)</f>
        <v>2022</v>
      </c>
      <c r="J31" s="85">
        <v>44680</v>
      </c>
      <c r="K31" s="93">
        <f>'CF (Equity, Debt)'!E27</f>
        <v>-100</v>
      </c>
      <c r="L31" s="93">
        <f>'CF (Equity, Debt)'!F27</f>
        <v>0</v>
      </c>
      <c r="M31" s="93"/>
      <c r="N31" s="93">
        <f t="shared" si="0"/>
        <v>-100</v>
      </c>
      <c r="O31" s="359"/>
      <c r="P31" s="359">
        <f t="shared" si="1"/>
        <v>0</v>
      </c>
      <c r="Q31" s="84" t="s">
        <v>25</v>
      </c>
      <c r="R31" s="93">
        <f t="shared" si="2"/>
        <v>0</v>
      </c>
      <c r="S31" s="93">
        <f t="shared" si="3"/>
        <v>0</v>
      </c>
      <c r="T31" s="93">
        <f t="shared" si="4"/>
        <v>0</v>
      </c>
      <c r="U31" s="93">
        <f t="shared" si="5"/>
        <v>0</v>
      </c>
    </row>
    <row r="32" spans="2:21" ht="12.75" x14ac:dyDescent="0.2">
      <c r="B32" s="354"/>
      <c r="C32" s="354"/>
      <c r="F32" s="86" t="s">
        <v>49</v>
      </c>
      <c r="G32" s="90" t="s">
        <v>220</v>
      </c>
      <c r="H32" s="90" t="str">
        <f>VLOOKUP(F32,'5. Geo'!$B$3:$F$26,5,0)</f>
        <v>Rest of Asia</v>
      </c>
      <c r="I32" s="379">
        <f>VLOOKUP(F32,'5. Geo'!$B$3:$F$26,2,0)</f>
        <v>2020</v>
      </c>
      <c r="J32" s="87">
        <v>44691</v>
      </c>
      <c r="K32" s="94">
        <f>'CF (Equity, Debt)'!E28</f>
        <v>0</v>
      </c>
      <c r="L32" s="94">
        <f>'CF (Equity, Debt)'!F28</f>
        <v>5</v>
      </c>
      <c r="M32" s="94"/>
      <c r="N32" s="94">
        <f t="shared" si="0"/>
        <v>5</v>
      </c>
      <c r="O32" s="359"/>
      <c r="P32" s="359">
        <f t="shared" si="1"/>
        <v>0</v>
      </c>
      <c r="Q32" s="86" t="s">
        <v>49</v>
      </c>
      <c r="R32" s="94">
        <f t="shared" si="2"/>
        <v>0</v>
      </c>
      <c r="S32" s="94">
        <f t="shared" si="3"/>
        <v>0</v>
      </c>
      <c r="T32" s="94">
        <f t="shared" si="4"/>
        <v>0</v>
      </c>
      <c r="U32" s="94">
        <f t="shared" si="5"/>
        <v>0</v>
      </c>
    </row>
    <row r="33" spans="2:21" ht="12.75" x14ac:dyDescent="0.2">
      <c r="B33" s="354"/>
      <c r="C33" s="354"/>
      <c r="F33" s="86" t="s">
        <v>134</v>
      </c>
      <c r="G33" s="90" t="s">
        <v>220</v>
      </c>
      <c r="H33" s="90" t="str">
        <f>VLOOKUP(F33,'5. Geo'!$B$3:$F$26,5,0)</f>
        <v>USA</v>
      </c>
      <c r="I33" s="379">
        <f>VLOOKUP(F33,'5. Geo'!$B$3:$F$26,2,0)</f>
        <v>2022</v>
      </c>
      <c r="J33" s="87">
        <v>44712</v>
      </c>
      <c r="K33" s="94">
        <f>'CF (Equity, Debt)'!E29</f>
        <v>-12.5</v>
      </c>
      <c r="L33" s="94">
        <f>'CF (Equity, Debt)'!F29</f>
        <v>0</v>
      </c>
      <c r="M33" s="94"/>
      <c r="N33" s="94">
        <f t="shared" si="0"/>
        <v>-12.5</v>
      </c>
      <c r="O33" s="359"/>
      <c r="P33" s="359">
        <f t="shared" si="1"/>
        <v>0</v>
      </c>
      <c r="Q33" s="86" t="s">
        <v>134</v>
      </c>
      <c r="R33" s="94">
        <f t="shared" si="2"/>
        <v>0</v>
      </c>
      <c r="S33" s="94">
        <f t="shared" si="3"/>
        <v>0</v>
      </c>
      <c r="T33" s="94">
        <f t="shared" si="4"/>
        <v>0</v>
      </c>
      <c r="U33" s="94">
        <f t="shared" si="5"/>
        <v>0</v>
      </c>
    </row>
    <row r="34" spans="2:21" ht="12.75" x14ac:dyDescent="0.2">
      <c r="B34" s="354"/>
      <c r="C34" s="354"/>
      <c r="F34" s="84" t="s">
        <v>44</v>
      </c>
      <c r="G34" s="89" t="s">
        <v>220</v>
      </c>
      <c r="H34" s="89" t="str">
        <f>VLOOKUP(F34,'5. Geo'!$B$3:$F$26,5,0)</f>
        <v>Asia-China</v>
      </c>
      <c r="I34" s="378">
        <f>VLOOKUP(F34,'5. Geo'!$B$3:$F$26,2,0)</f>
        <v>2022</v>
      </c>
      <c r="J34" s="85">
        <v>44769</v>
      </c>
      <c r="K34" s="93">
        <f>'CF (Equity, Debt)'!E30</f>
        <v>-600</v>
      </c>
      <c r="L34" s="93">
        <f>'CF (Equity, Debt)'!F30</f>
        <v>0</v>
      </c>
      <c r="M34" s="93"/>
      <c r="N34" s="93">
        <f t="shared" si="0"/>
        <v>-600</v>
      </c>
      <c r="O34" s="359"/>
      <c r="P34" s="359">
        <f t="shared" si="1"/>
        <v>1</v>
      </c>
      <c r="Q34" s="84" t="s">
        <v>44</v>
      </c>
      <c r="R34" s="93">
        <f t="shared" si="2"/>
        <v>-600</v>
      </c>
      <c r="S34" s="93">
        <f t="shared" si="3"/>
        <v>0</v>
      </c>
      <c r="T34" s="93">
        <f t="shared" si="4"/>
        <v>0</v>
      </c>
      <c r="U34" s="93">
        <f t="shared" si="5"/>
        <v>-600</v>
      </c>
    </row>
    <row r="35" spans="2:21" ht="12.75" x14ac:dyDescent="0.2">
      <c r="B35" s="354"/>
      <c r="C35" s="354"/>
      <c r="F35" s="302" t="s">
        <v>58</v>
      </c>
      <c r="G35" s="303" t="s">
        <v>53</v>
      </c>
      <c r="H35" s="303" t="str">
        <f>VLOOKUP(F35,'5. Geo'!$B$3:$F$26,5,0)</f>
        <v>USA</v>
      </c>
      <c r="I35" s="380">
        <f>VLOOKUP(F35,'5. Geo'!$B$3:$F$26,2,0)</f>
        <v>2019</v>
      </c>
      <c r="J35" s="304">
        <v>43635</v>
      </c>
      <c r="K35" s="305">
        <f>'CF (Equity, Debt)'!E37</f>
        <v>-8</v>
      </c>
      <c r="L35" s="305">
        <f>'CF (Equity, Debt)'!F37</f>
        <v>0</v>
      </c>
      <c r="M35" s="305"/>
      <c r="N35" s="305">
        <f t="shared" si="0"/>
        <v>-8</v>
      </c>
      <c r="O35" s="359"/>
      <c r="P35" s="359">
        <f t="shared" si="1"/>
        <v>0</v>
      </c>
      <c r="Q35" s="302" t="s">
        <v>58</v>
      </c>
      <c r="R35" s="305">
        <f t="shared" si="2"/>
        <v>0</v>
      </c>
      <c r="S35" s="305">
        <f t="shared" si="3"/>
        <v>0</v>
      </c>
      <c r="T35" s="305">
        <f t="shared" si="4"/>
        <v>0</v>
      </c>
      <c r="U35" s="305">
        <f t="shared" si="5"/>
        <v>0</v>
      </c>
    </row>
    <row r="36" spans="2:21" ht="12.75" x14ac:dyDescent="0.2">
      <c r="B36" s="354"/>
      <c r="C36" s="354"/>
      <c r="F36" s="302" t="s">
        <v>0</v>
      </c>
      <c r="G36" s="303" t="s">
        <v>53</v>
      </c>
      <c r="H36" s="303" t="str">
        <f>VLOOKUP(F36,'5. Geo'!$B$3:$F$26,5,0)</f>
        <v>Asia-China</v>
      </c>
      <c r="I36" s="380">
        <f>VLOOKUP(F36,'5. Geo'!$B$3:$F$26,2,0)</f>
        <v>2019</v>
      </c>
      <c r="J36" s="304">
        <v>44293</v>
      </c>
      <c r="K36" s="305">
        <f>'CF (Equity, Debt)'!E38</f>
        <v>-2.3539819999999998</v>
      </c>
      <c r="L36" s="305">
        <f>'CF (Equity, Debt)'!F38</f>
        <v>0</v>
      </c>
      <c r="M36" s="305"/>
      <c r="N36" s="305">
        <f t="shared" si="0"/>
        <v>-2.3539819999999998</v>
      </c>
      <c r="O36" s="359"/>
      <c r="P36" s="359">
        <f t="shared" si="1"/>
        <v>1</v>
      </c>
      <c r="Q36" s="302" t="s">
        <v>0</v>
      </c>
      <c r="R36" s="305">
        <f t="shared" si="2"/>
        <v>-2.3539819999999998</v>
      </c>
      <c r="S36" s="305">
        <f t="shared" si="3"/>
        <v>0</v>
      </c>
      <c r="T36" s="305">
        <f t="shared" si="4"/>
        <v>0</v>
      </c>
      <c r="U36" s="305">
        <f t="shared" si="5"/>
        <v>-2.3539819999999998</v>
      </c>
    </row>
    <row r="37" spans="2:21" ht="12.75" x14ac:dyDescent="0.2">
      <c r="B37" s="354"/>
      <c r="C37" s="354"/>
      <c r="F37" s="302" t="s">
        <v>49</v>
      </c>
      <c r="G37" s="303" t="s">
        <v>53</v>
      </c>
      <c r="H37" s="303" t="str">
        <f>VLOOKUP(F37,'5. Geo'!$B$3:$F$26,5,0)</f>
        <v>Rest of Asia</v>
      </c>
      <c r="I37" s="380">
        <f>VLOOKUP(F37,'5. Geo'!$B$3:$F$26,2,0)</f>
        <v>2020</v>
      </c>
      <c r="J37" s="304">
        <v>44384</v>
      </c>
      <c r="K37" s="305">
        <f>'CF (Equity, Debt)'!E39</f>
        <v>-0.41176499999999999</v>
      </c>
      <c r="L37" s="305">
        <f>'CF (Equity, Debt)'!F39</f>
        <v>0</v>
      </c>
      <c r="M37" s="305"/>
      <c r="N37" s="305">
        <f t="shared" si="0"/>
        <v>-0.41176499999999999</v>
      </c>
      <c r="O37" s="359"/>
      <c r="P37" s="359">
        <f t="shared" si="1"/>
        <v>0</v>
      </c>
      <c r="Q37" s="302" t="s">
        <v>49</v>
      </c>
      <c r="R37" s="305">
        <f t="shared" si="2"/>
        <v>0</v>
      </c>
      <c r="S37" s="305">
        <f t="shared" si="3"/>
        <v>0</v>
      </c>
      <c r="T37" s="305">
        <f t="shared" si="4"/>
        <v>0</v>
      </c>
      <c r="U37" s="305">
        <f t="shared" si="5"/>
        <v>0</v>
      </c>
    </row>
    <row r="38" spans="2:21" ht="12.75" x14ac:dyDescent="0.2">
      <c r="B38" s="354"/>
      <c r="C38" s="354"/>
      <c r="F38" s="302" t="s">
        <v>15</v>
      </c>
      <c r="G38" s="303" t="s">
        <v>63</v>
      </c>
      <c r="H38" s="303" t="str">
        <f>VLOOKUP(F38,'5. Geo'!$B$3:$F$26,5,0)</f>
        <v>Asia-China</v>
      </c>
      <c r="I38" s="380">
        <f>VLOOKUP(F38,'5. Geo'!$B$3:$F$26,2,0)</f>
        <v>2020</v>
      </c>
      <c r="J38" s="303" t="s">
        <v>16</v>
      </c>
      <c r="K38" s="305">
        <f>'CF (Funds)'!D3</f>
        <v>-10.5</v>
      </c>
      <c r="L38" s="305">
        <f>'CF (Funds)'!E3</f>
        <v>0</v>
      </c>
      <c r="M38" s="305"/>
      <c r="N38" s="305">
        <f t="shared" si="0"/>
        <v>-10.5</v>
      </c>
      <c r="O38" s="359"/>
      <c r="P38" s="359">
        <f t="shared" si="1"/>
        <v>1</v>
      </c>
      <c r="Q38" s="302" t="s">
        <v>15</v>
      </c>
      <c r="R38" s="305">
        <f t="shared" si="2"/>
        <v>-10.5</v>
      </c>
      <c r="S38" s="305">
        <f t="shared" si="3"/>
        <v>0</v>
      </c>
      <c r="T38" s="305">
        <f t="shared" si="4"/>
        <v>0</v>
      </c>
      <c r="U38" s="305">
        <f t="shared" si="5"/>
        <v>-10.5</v>
      </c>
    </row>
    <row r="39" spans="2:21" ht="12.75" x14ac:dyDescent="0.2">
      <c r="B39" s="354"/>
      <c r="C39" s="354"/>
      <c r="F39" s="302" t="s">
        <v>15</v>
      </c>
      <c r="G39" s="303" t="s">
        <v>63</v>
      </c>
      <c r="H39" s="303" t="str">
        <f>VLOOKUP(F39,'5. Geo'!$B$3:$F$26,5,0)</f>
        <v>Asia-China</v>
      </c>
      <c r="I39" s="380">
        <f>VLOOKUP(F39,'5. Geo'!$B$3:$F$26,2,0)</f>
        <v>2020</v>
      </c>
      <c r="J39" s="304">
        <v>44238</v>
      </c>
      <c r="K39" s="305">
        <f>'CF (Funds)'!D4</f>
        <v>4.2140269999999997</v>
      </c>
      <c r="L39" s="305">
        <f>'CF (Funds)'!E4</f>
        <v>0</v>
      </c>
      <c r="M39" s="305"/>
      <c r="N39" s="305">
        <f t="shared" si="0"/>
        <v>4.2140269999999997</v>
      </c>
      <c r="O39" s="359"/>
      <c r="P39" s="359">
        <f t="shared" si="1"/>
        <v>1</v>
      </c>
      <c r="Q39" s="302" t="s">
        <v>15</v>
      </c>
      <c r="R39" s="305">
        <f t="shared" si="2"/>
        <v>4.2140269999999997</v>
      </c>
      <c r="S39" s="305">
        <f t="shared" si="3"/>
        <v>0</v>
      </c>
      <c r="T39" s="305">
        <f t="shared" si="4"/>
        <v>0</v>
      </c>
      <c r="U39" s="305">
        <f t="shared" si="5"/>
        <v>4.2140269999999997</v>
      </c>
    </row>
    <row r="40" spans="2:21" ht="12.75" x14ac:dyDescent="0.2">
      <c r="B40" s="354"/>
      <c r="C40" s="354"/>
      <c r="F40" s="302" t="s">
        <v>15</v>
      </c>
      <c r="G40" s="303" t="s">
        <v>63</v>
      </c>
      <c r="H40" s="303" t="str">
        <f>VLOOKUP(F40,'5. Geo'!$B$3:$F$26,5,0)</f>
        <v>Asia-China</v>
      </c>
      <c r="I40" s="380">
        <f>VLOOKUP(F40,'5. Geo'!$B$3:$F$26,2,0)</f>
        <v>2020</v>
      </c>
      <c r="J40" s="304">
        <v>44238</v>
      </c>
      <c r="K40" s="305">
        <f>'CF (Funds)'!D5</f>
        <v>0</v>
      </c>
      <c r="L40" s="305">
        <f>'CF (Funds)'!E5</f>
        <v>5.0448349999999996E-2</v>
      </c>
      <c r="M40" s="305"/>
      <c r="N40" s="305">
        <f t="shared" si="0"/>
        <v>5.0448349999999996E-2</v>
      </c>
      <c r="O40" s="359"/>
      <c r="P40" s="359">
        <f t="shared" si="1"/>
        <v>1</v>
      </c>
      <c r="Q40" s="302" t="s">
        <v>15</v>
      </c>
      <c r="R40" s="305">
        <f t="shared" si="2"/>
        <v>0</v>
      </c>
      <c r="S40" s="305">
        <f t="shared" si="3"/>
        <v>5.0448349999999996E-2</v>
      </c>
      <c r="T40" s="305">
        <f t="shared" si="4"/>
        <v>0</v>
      </c>
      <c r="U40" s="305">
        <f t="shared" si="5"/>
        <v>5.0448349999999996E-2</v>
      </c>
    </row>
    <row r="41" spans="2:21" ht="12.75" x14ac:dyDescent="0.2">
      <c r="B41" s="354"/>
      <c r="C41" s="354"/>
      <c r="F41" s="302" t="s">
        <v>15</v>
      </c>
      <c r="G41" s="303" t="s">
        <v>63</v>
      </c>
      <c r="H41" s="303" t="str">
        <f>VLOOKUP(F41,'5. Geo'!$B$3:$F$26,5,0)</f>
        <v>Asia-China</v>
      </c>
      <c r="I41" s="380">
        <f>VLOOKUP(F41,'5. Geo'!$B$3:$F$26,2,0)</f>
        <v>2020</v>
      </c>
      <c r="J41" s="304">
        <v>44285</v>
      </c>
      <c r="K41" s="305">
        <f>'CF (Funds)'!D6</f>
        <v>-6.4337459999999993</v>
      </c>
      <c r="L41" s="305">
        <f>'CF (Funds)'!E6</f>
        <v>0</v>
      </c>
      <c r="M41" s="305"/>
      <c r="N41" s="305">
        <f t="shared" si="0"/>
        <v>-6.4337459999999993</v>
      </c>
      <c r="O41" s="359"/>
      <c r="P41" s="359">
        <f t="shared" si="1"/>
        <v>1</v>
      </c>
      <c r="Q41" s="302" t="s">
        <v>15</v>
      </c>
      <c r="R41" s="305">
        <f t="shared" si="2"/>
        <v>-6.4337459999999993</v>
      </c>
      <c r="S41" s="305">
        <f t="shared" si="3"/>
        <v>0</v>
      </c>
      <c r="T41" s="305">
        <f t="shared" si="4"/>
        <v>0</v>
      </c>
      <c r="U41" s="305">
        <f t="shared" si="5"/>
        <v>-6.4337459999999993</v>
      </c>
    </row>
    <row r="42" spans="2:21" ht="12.75" x14ac:dyDescent="0.2">
      <c r="F42" s="302" t="s">
        <v>15</v>
      </c>
      <c r="G42" s="303" t="s">
        <v>63</v>
      </c>
      <c r="H42" s="303" t="str">
        <f>VLOOKUP(F42,'5. Geo'!$B$3:$F$26,5,0)</f>
        <v>Asia-China</v>
      </c>
      <c r="I42" s="380">
        <f>VLOOKUP(F42,'5. Geo'!$B$3:$F$26,2,0)</f>
        <v>2020</v>
      </c>
      <c r="J42" s="304">
        <v>44269</v>
      </c>
      <c r="K42" s="305">
        <f>'CF (Funds)'!D7</f>
        <v>1.1352073899999999</v>
      </c>
      <c r="L42" s="305">
        <f>'CF (Funds)'!E7</f>
        <v>0</v>
      </c>
      <c r="M42" s="305"/>
      <c r="N42" s="305">
        <f t="shared" si="0"/>
        <v>1.1352073899999999</v>
      </c>
      <c r="O42" s="359"/>
      <c r="P42" s="359">
        <f t="shared" si="1"/>
        <v>1</v>
      </c>
      <c r="Q42" s="302" t="s">
        <v>15</v>
      </c>
      <c r="R42" s="305">
        <f t="shared" si="2"/>
        <v>1.1352073899999999</v>
      </c>
      <c r="S42" s="305">
        <f t="shared" si="3"/>
        <v>0</v>
      </c>
      <c r="T42" s="305">
        <f t="shared" si="4"/>
        <v>0</v>
      </c>
      <c r="U42" s="305">
        <f t="shared" si="5"/>
        <v>1.1352073899999999</v>
      </c>
    </row>
    <row r="43" spans="2:21" ht="12.75" x14ac:dyDescent="0.2">
      <c r="F43" s="302" t="s">
        <v>15</v>
      </c>
      <c r="G43" s="303" t="s">
        <v>63</v>
      </c>
      <c r="H43" s="303" t="str">
        <f>VLOOKUP(F43,'5. Geo'!$B$3:$F$26,5,0)</f>
        <v>Asia-China</v>
      </c>
      <c r="I43" s="380">
        <f>VLOOKUP(F43,'5. Geo'!$B$3:$F$26,2,0)</f>
        <v>2020</v>
      </c>
      <c r="J43" s="304">
        <v>44269</v>
      </c>
      <c r="K43" s="305">
        <f>'CF (Funds)'!D8</f>
        <v>0</v>
      </c>
      <c r="L43" s="305">
        <f>'CF (Funds)'!E8</f>
        <v>2.5899999999999999E-2</v>
      </c>
      <c r="M43" s="305"/>
      <c r="N43" s="305">
        <f t="shared" si="0"/>
        <v>2.5899999999999999E-2</v>
      </c>
      <c r="O43" s="359"/>
      <c r="P43" s="359">
        <f t="shared" si="1"/>
        <v>1</v>
      </c>
      <c r="Q43" s="302" t="s">
        <v>15</v>
      </c>
      <c r="R43" s="305">
        <f t="shared" si="2"/>
        <v>0</v>
      </c>
      <c r="S43" s="305">
        <f t="shared" si="3"/>
        <v>2.5899999999999999E-2</v>
      </c>
      <c r="T43" s="305">
        <f t="shared" si="4"/>
        <v>0</v>
      </c>
      <c r="U43" s="305">
        <f t="shared" si="5"/>
        <v>2.5899999999999999E-2</v>
      </c>
    </row>
    <row r="44" spans="2:21" ht="12.75" x14ac:dyDescent="0.2">
      <c r="F44" s="302" t="s">
        <v>15</v>
      </c>
      <c r="G44" s="303" t="s">
        <v>63</v>
      </c>
      <c r="H44" s="303" t="str">
        <f>VLOOKUP(F44,'5. Geo'!$B$3:$F$26,5,0)</f>
        <v>Asia-China</v>
      </c>
      <c r="I44" s="380">
        <f>VLOOKUP(F44,'5. Geo'!$B$3:$F$26,2,0)</f>
        <v>2020</v>
      </c>
      <c r="J44" s="304">
        <v>44483</v>
      </c>
      <c r="K44" s="305">
        <f>'CF (Funds)'!D9</f>
        <v>-7.5671379999999999</v>
      </c>
      <c r="L44" s="305">
        <f>'CF (Funds)'!E9</f>
        <v>0</v>
      </c>
      <c r="M44" s="305"/>
      <c r="N44" s="305">
        <f t="shared" si="0"/>
        <v>-7.5671379999999999</v>
      </c>
      <c r="O44" s="359"/>
      <c r="P44" s="359">
        <f t="shared" si="1"/>
        <v>1</v>
      </c>
      <c r="Q44" s="302" t="s">
        <v>15</v>
      </c>
      <c r="R44" s="305">
        <f t="shared" si="2"/>
        <v>-7.5671379999999999</v>
      </c>
      <c r="S44" s="305">
        <f t="shared" si="3"/>
        <v>0</v>
      </c>
      <c r="T44" s="305">
        <f t="shared" si="4"/>
        <v>0</v>
      </c>
      <c r="U44" s="305">
        <f t="shared" si="5"/>
        <v>-7.5671379999999999</v>
      </c>
    </row>
    <row r="45" spans="2:21" ht="12.75" x14ac:dyDescent="0.2">
      <c r="F45" s="302" t="s">
        <v>15</v>
      </c>
      <c r="G45" s="303" t="s">
        <v>63</v>
      </c>
      <c r="H45" s="303" t="str">
        <f>VLOOKUP(F45,'5. Geo'!$B$3:$F$26,5,0)</f>
        <v>Asia-China</v>
      </c>
      <c r="I45" s="380">
        <f>VLOOKUP(F45,'5. Geo'!$B$3:$F$26,2,0)</f>
        <v>2020</v>
      </c>
      <c r="J45" s="304">
        <v>44554</v>
      </c>
      <c r="K45" s="305">
        <f>'CF (Funds)'!D10</f>
        <v>-7.3850159999999994</v>
      </c>
      <c r="L45" s="305">
        <f>'CF (Funds)'!E10</f>
        <v>0</v>
      </c>
      <c r="M45" s="305"/>
      <c r="N45" s="305">
        <f t="shared" si="0"/>
        <v>-7.3850159999999994</v>
      </c>
      <c r="O45" s="359"/>
      <c r="P45" s="359">
        <f t="shared" si="1"/>
        <v>1</v>
      </c>
      <c r="Q45" s="302" t="s">
        <v>15</v>
      </c>
      <c r="R45" s="305">
        <f t="shared" si="2"/>
        <v>-7.3850159999999994</v>
      </c>
      <c r="S45" s="305">
        <f t="shared" si="3"/>
        <v>0</v>
      </c>
      <c r="T45" s="305">
        <f t="shared" si="4"/>
        <v>0</v>
      </c>
      <c r="U45" s="305">
        <f t="shared" si="5"/>
        <v>-7.3850159999999994</v>
      </c>
    </row>
    <row r="46" spans="2:21" ht="12.75" x14ac:dyDescent="0.2">
      <c r="F46" s="302" t="s">
        <v>15</v>
      </c>
      <c r="G46" s="303" t="s">
        <v>63</v>
      </c>
      <c r="H46" s="303" t="str">
        <f>VLOOKUP(F46,'5. Geo'!$B$3:$F$26,5,0)</f>
        <v>Asia-China</v>
      </c>
      <c r="I46" s="380">
        <f>VLOOKUP(F46,'5. Geo'!$B$3:$F$26,2,0)</f>
        <v>2020</v>
      </c>
      <c r="J46" s="304">
        <v>44554</v>
      </c>
      <c r="K46" s="305">
        <f>'CF (Funds)'!D11</f>
        <v>4.0733456099999996</v>
      </c>
      <c r="L46" s="305">
        <f>'CF (Funds)'!E11</f>
        <v>0</v>
      </c>
      <c r="M46" s="305"/>
      <c r="N46" s="305">
        <f t="shared" si="0"/>
        <v>4.0733456099999996</v>
      </c>
      <c r="O46" s="359"/>
      <c r="P46" s="359">
        <f t="shared" si="1"/>
        <v>1</v>
      </c>
      <c r="Q46" s="302" t="s">
        <v>15</v>
      </c>
      <c r="R46" s="305">
        <f t="shared" si="2"/>
        <v>4.0733456099999996</v>
      </c>
      <c r="S46" s="305">
        <f t="shared" si="3"/>
        <v>0</v>
      </c>
      <c r="T46" s="305">
        <f t="shared" si="4"/>
        <v>0</v>
      </c>
      <c r="U46" s="305">
        <f t="shared" si="5"/>
        <v>4.0733456099999996</v>
      </c>
    </row>
    <row r="47" spans="2:21" ht="12.75" x14ac:dyDescent="0.2">
      <c r="F47" s="302" t="s">
        <v>15</v>
      </c>
      <c r="G47" s="303" t="s">
        <v>63</v>
      </c>
      <c r="H47" s="303" t="str">
        <f>VLOOKUP(F47,'5. Geo'!$B$3:$F$26,5,0)</f>
        <v>Asia-China</v>
      </c>
      <c r="I47" s="380">
        <f>VLOOKUP(F47,'5. Geo'!$B$3:$F$26,2,0)</f>
        <v>2020</v>
      </c>
      <c r="J47" s="304">
        <v>44554</v>
      </c>
      <c r="K47" s="305">
        <f>'CF (Funds)'!D12</f>
        <v>0</v>
      </c>
      <c r="L47" s="305">
        <f>'CF (Funds)'!E12</f>
        <v>0.13969399999999998</v>
      </c>
      <c r="M47" s="305"/>
      <c r="N47" s="305">
        <f t="shared" si="0"/>
        <v>0.13969399999999998</v>
      </c>
      <c r="O47" s="359"/>
      <c r="P47" s="359">
        <f t="shared" si="1"/>
        <v>1</v>
      </c>
      <c r="Q47" s="302" t="s">
        <v>15</v>
      </c>
      <c r="R47" s="305">
        <f t="shared" si="2"/>
        <v>0</v>
      </c>
      <c r="S47" s="305">
        <f t="shared" si="3"/>
        <v>0.13969399999999998</v>
      </c>
      <c r="T47" s="305">
        <f t="shared" si="4"/>
        <v>0</v>
      </c>
      <c r="U47" s="305">
        <f t="shared" si="5"/>
        <v>0.13969399999999998</v>
      </c>
    </row>
    <row r="48" spans="2:21" ht="12.75" x14ac:dyDescent="0.2">
      <c r="F48" s="302" t="s">
        <v>15</v>
      </c>
      <c r="G48" s="303" t="s">
        <v>63</v>
      </c>
      <c r="H48" s="303" t="str">
        <f>VLOOKUP(F48,'5. Geo'!$B$3:$F$26,5,0)</f>
        <v>Asia-China</v>
      </c>
      <c r="I48" s="380">
        <f>VLOOKUP(F48,'5. Geo'!$B$3:$F$26,2,0)</f>
        <v>2020</v>
      </c>
      <c r="J48" s="304">
        <v>44703</v>
      </c>
      <c r="K48" s="305">
        <f>'CF (Funds)'!D13</f>
        <v>5.6730739999999997</v>
      </c>
      <c r="L48" s="305">
        <f>'CF (Funds)'!E13</f>
        <v>0</v>
      </c>
      <c r="M48" s="305"/>
      <c r="N48" s="305">
        <f t="shared" si="0"/>
        <v>5.6730739999999997</v>
      </c>
      <c r="O48" s="359"/>
      <c r="P48" s="359">
        <f t="shared" si="1"/>
        <v>1</v>
      </c>
      <c r="Q48" s="302" t="s">
        <v>15</v>
      </c>
      <c r="R48" s="305">
        <f t="shared" si="2"/>
        <v>5.6730739999999997</v>
      </c>
      <c r="S48" s="305">
        <f t="shared" si="3"/>
        <v>0</v>
      </c>
      <c r="T48" s="305">
        <f t="shared" si="4"/>
        <v>0</v>
      </c>
      <c r="U48" s="305">
        <f t="shared" si="5"/>
        <v>5.6730739999999997</v>
      </c>
    </row>
    <row r="49" spans="6:21" ht="12.75" x14ac:dyDescent="0.2">
      <c r="F49" s="302" t="s">
        <v>15</v>
      </c>
      <c r="G49" s="303" t="s">
        <v>63</v>
      </c>
      <c r="H49" s="303" t="str">
        <f>VLOOKUP(F49,'5. Geo'!$B$3:$F$26,5,0)</f>
        <v>Asia-China</v>
      </c>
      <c r="I49" s="380">
        <f>VLOOKUP(F49,'5. Geo'!$B$3:$F$26,2,0)</f>
        <v>2020</v>
      </c>
      <c r="J49" s="304">
        <v>44703</v>
      </c>
      <c r="K49" s="305">
        <f>'CF (Funds)'!D14</f>
        <v>0</v>
      </c>
      <c r="L49" s="305">
        <f>'CF (Funds)'!E14</f>
        <v>0.22778599999999999</v>
      </c>
      <c r="M49" s="305"/>
      <c r="N49" s="305">
        <f t="shared" si="0"/>
        <v>0.22778599999999999</v>
      </c>
      <c r="O49" s="359"/>
      <c r="P49" s="359">
        <f t="shared" si="1"/>
        <v>1</v>
      </c>
      <c r="Q49" s="302" t="s">
        <v>15</v>
      </c>
      <c r="R49" s="305">
        <f t="shared" si="2"/>
        <v>0</v>
      </c>
      <c r="S49" s="305">
        <f t="shared" si="3"/>
        <v>0.22778599999999999</v>
      </c>
      <c r="T49" s="305">
        <f t="shared" si="4"/>
        <v>0</v>
      </c>
      <c r="U49" s="305">
        <f t="shared" si="5"/>
        <v>0.22778599999999999</v>
      </c>
    </row>
    <row r="50" spans="6:21" ht="12.75" x14ac:dyDescent="0.2">
      <c r="F50" s="306" t="s">
        <v>1</v>
      </c>
      <c r="G50" s="307" t="s">
        <v>63</v>
      </c>
      <c r="H50" s="307" t="str">
        <f>VLOOKUP(F50,'5. Geo'!$B$3:$F$26,5,0)</f>
        <v>Asia-China</v>
      </c>
      <c r="I50" s="381">
        <f>VLOOKUP(F50,'5. Geo'!$B$3:$F$26,2,0)</f>
        <v>2020</v>
      </c>
      <c r="J50" s="308" t="s">
        <v>22</v>
      </c>
      <c r="K50" s="309">
        <f>'CF (Funds)'!D17</f>
        <v>-3</v>
      </c>
      <c r="L50" s="309">
        <f>'CF (Funds)'!E17</f>
        <v>0</v>
      </c>
      <c r="M50" s="309"/>
      <c r="N50" s="309">
        <f t="shared" si="0"/>
        <v>-3</v>
      </c>
      <c r="O50" s="359"/>
      <c r="P50" s="359">
        <f t="shared" si="1"/>
        <v>1</v>
      </c>
      <c r="Q50" s="306" t="s">
        <v>1</v>
      </c>
      <c r="R50" s="309">
        <f t="shared" si="2"/>
        <v>-3</v>
      </c>
      <c r="S50" s="309">
        <f t="shared" si="3"/>
        <v>0</v>
      </c>
      <c r="T50" s="309">
        <f t="shared" si="4"/>
        <v>0</v>
      </c>
      <c r="U50" s="309">
        <f t="shared" si="5"/>
        <v>-3</v>
      </c>
    </row>
    <row r="51" spans="6:21" ht="12.75" x14ac:dyDescent="0.2">
      <c r="F51" s="306" t="s">
        <v>1</v>
      </c>
      <c r="G51" s="307" t="s">
        <v>63</v>
      </c>
      <c r="H51" s="307" t="str">
        <f>VLOOKUP(F51,'5. Geo'!$B$3:$F$26,5,0)</f>
        <v>Asia-China</v>
      </c>
      <c r="I51" s="381">
        <f>VLOOKUP(F51,'5. Geo'!$B$3:$F$26,2,0)</f>
        <v>2020</v>
      </c>
      <c r="J51" s="308">
        <v>43983</v>
      </c>
      <c r="K51" s="309">
        <f>'CF (Funds)'!D18</f>
        <v>-4.4849999999999994</v>
      </c>
      <c r="L51" s="309">
        <f>'CF (Funds)'!E18</f>
        <v>0</v>
      </c>
      <c r="M51" s="309"/>
      <c r="N51" s="309">
        <f t="shared" si="0"/>
        <v>-4.4849999999999994</v>
      </c>
      <c r="O51" s="359"/>
      <c r="P51" s="359">
        <f t="shared" si="1"/>
        <v>1</v>
      </c>
      <c r="Q51" s="306" t="s">
        <v>1</v>
      </c>
      <c r="R51" s="309">
        <f t="shared" si="2"/>
        <v>-4.4849999999999994</v>
      </c>
      <c r="S51" s="309">
        <f t="shared" si="3"/>
        <v>0</v>
      </c>
      <c r="T51" s="309">
        <f t="shared" si="4"/>
        <v>0</v>
      </c>
      <c r="U51" s="309">
        <f t="shared" si="5"/>
        <v>-4.4849999999999994</v>
      </c>
    </row>
    <row r="52" spans="6:21" ht="12.75" x14ac:dyDescent="0.2">
      <c r="F52" s="306" t="s">
        <v>1</v>
      </c>
      <c r="G52" s="307" t="s">
        <v>63</v>
      </c>
      <c r="H52" s="307" t="str">
        <f>VLOOKUP(F52,'5. Geo'!$B$3:$F$26,5,0)</f>
        <v>Asia-China</v>
      </c>
      <c r="I52" s="381">
        <f>VLOOKUP(F52,'5. Geo'!$B$3:$F$26,2,0)</f>
        <v>2020</v>
      </c>
      <c r="J52" s="308" t="s">
        <v>10</v>
      </c>
      <c r="K52" s="309">
        <f>'CF (Funds)'!D19</f>
        <v>-9.5097500000000004</v>
      </c>
      <c r="L52" s="309">
        <f>'CF (Funds)'!E19</f>
        <v>0</v>
      </c>
      <c r="M52" s="309"/>
      <c r="N52" s="309">
        <f t="shared" si="0"/>
        <v>-9.5097500000000004</v>
      </c>
      <c r="O52" s="359"/>
      <c r="P52" s="359">
        <f t="shared" si="1"/>
        <v>1</v>
      </c>
      <c r="Q52" s="306" t="s">
        <v>1</v>
      </c>
      <c r="R52" s="309">
        <f t="shared" si="2"/>
        <v>-9.5097500000000004</v>
      </c>
      <c r="S52" s="309">
        <f t="shared" si="3"/>
        <v>0</v>
      </c>
      <c r="T52" s="309">
        <f t="shared" si="4"/>
        <v>0</v>
      </c>
      <c r="U52" s="309">
        <f t="shared" si="5"/>
        <v>-9.5097500000000004</v>
      </c>
    </row>
    <row r="53" spans="6:21" ht="12.75" x14ac:dyDescent="0.2">
      <c r="F53" s="306" t="s">
        <v>1</v>
      </c>
      <c r="G53" s="307" t="s">
        <v>63</v>
      </c>
      <c r="H53" s="307" t="str">
        <f>VLOOKUP(F53,'5. Geo'!$B$3:$F$26,5,0)</f>
        <v>Asia-China</v>
      </c>
      <c r="I53" s="381">
        <f>VLOOKUP(F53,'5. Geo'!$B$3:$F$26,2,0)</f>
        <v>2020</v>
      </c>
      <c r="J53" s="308" t="s">
        <v>23</v>
      </c>
      <c r="K53" s="309">
        <f>'CF (Funds)'!D20</f>
        <v>-41.3</v>
      </c>
      <c r="L53" s="309">
        <f>'CF (Funds)'!E20</f>
        <v>0</v>
      </c>
      <c r="M53" s="309"/>
      <c r="N53" s="309">
        <f t="shared" si="0"/>
        <v>-41.3</v>
      </c>
      <c r="O53" s="359"/>
      <c r="P53" s="359">
        <f t="shared" si="1"/>
        <v>1</v>
      </c>
      <c r="Q53" s="306" t="s">
        <v>1</v>
      </c>
      <c r="R53" s="309">
        <f t="shared" si="2"/>
        <v>-41.3</v>
      </c>
      <c r="S53" s="309">
        <f t="shared" si="3"/>
        <v>0</v>
      </c>
      <c r="T53" s="309">
        <f t="shared" si="4"/>
        <v>0</v>
      </c>
      <c r="U53" s="309">
        <f t="shared" si="5"/>
        <v>-41.3</v>
      </c>
    </row>
    <row r="54" spans="6:21" ht="12.75" x14ac:dyDescent="0.2">
      <c r="F54" s="306" t="s">
        <v>1</v>
      </c>
      <c r="G54" s="307" t="s">
        <v>63</v>
      </c>
      <c r="H54" s="307" t="str">
        <f>VLOOKUP(F54,'5. Geo'!$B$3:$F$26,5,0)</f>
        <v>Asia-China</v>
      </c>
      <c r="I54" s="381">
        <f>VLOOKUP(F54,'5. Geo'!$B$3:$F$26,2,0)</f>
        <v>2020</v>
      </c>
      <c r="J54" s="308" t="s">
        <v>160</v>
      </c>
      <c r="K54" s="309">
        <f>'CF (Funds)'!D21</f>
        <v>9.9499999999999993</v>
      </c>
      <c r="L54" s="309">
        <f>'CF (Funds)'!E21</f>
        <v>0</v>
      </c>
      <c r="M54" s="309"/>
      <c r="N54" s="309">
        <f t="shared" si="0"/>
        <v>9.9499999999999993</v>
      </c>
      <c r="O54" s="359"/>
      <c r="P54" s="359">
        <f t="shared" si="1"/>
        <v>1</v>
      </c>
      <c r="Q54" s="306" t="s">
        <v>1</v>
      </c>
      <c r="R54" s="309">
        <f t="shared" si="2"/>
        <v>9.9499999999999993</v>
      </c>
      <c r="S54" s="309">
        <f t="shared" si="3"/>
        <v>0</v>
      </c>
      <c r="T54" s="309">
        <f t="shared" si="4"/>
        <v>0</v>
      </c>
      <c r="U54" s="309">
        <f t="shared" si="5"/>
        <v>9.9499999999999993</v>
      </c>
    </row>
    <row r="55" spans="6:21" ht="12.75" x14ac:dyDescent="0.2">
      <c r="F55" s="306" t="s">
        <v>1</v>
      </c>
      <c r="G55" s="307" t="s">
        <v>63</v>
      </c>
      <c r="H55" s="307" t="str">
        <f>VLOOKUP(F55,'5. Geo'!$B$3:$F$26,5,0)</f>
        <v>Asia-China</v>
      </c>
      <c r="I55" s="381">
        <f>VLOOKUP(F55,'5. Geo'!$B$3:$F$26,2,0)</f>
        <v>2020</v>
      </c>
      <c r="J55" s="308" t="s">
        <v>160</v>
      </c>
      <c r="K55" s="309">
        <f>'CF (Funds)'!D22</f>
        <v>-10.455</v>
      </c>
      <c r="L55" s="309">
        <f>'CF (Funds)'!E22</f>
        <v>0</v>
      </c>
      <c r="M55" s="309"/>
      <c r="N55" s="309">
        <f t="shared" si="0"/>
        <v>-10.455</v>
      </c>
      <c r="O55" s="359"/>
      <c r="P55" s="359">
        <f t="shared" si="1"/>
        <v>1</v>
      </c>
      <c r="Q55" s="306" t="s">
        <v>1</v>
      </c>
      <c r="R55" s="309">
        <f t="shared" si="2"/>
        <v>-10.455</v>
      </c>
      <c r="S55" s="309">
        <f t="shared" si="3"/>
        <v>0</v>
      </c>
      <c r="T55" s="309">
        <f t="shared" si="4"/>
        <v>0</v>
      </c>
      <c r="U55" s="309">
        <f t="shared" si="5"/>
        <v>-10.455</v>
      </c>
    </row>
    <row r="56" spans="6:21" ht="12.75" x14ac:dyDescent="0.2">
      <c r="F56" s="306" t="s">
        <v>1</v>
      </c>
      <c r="G56" s="307" t="s">
        <v>63</v>
      </c>
      <c r="H56" s="307" t="str">
        <f>VLOOKUP(F56,'5. Geo'!$B$3:$F$26,5,0)</f>
        <v>Asia-China</v>
      </c>
      <c r="I56" s="381">
        <f>VLOOKUP(F56,'5. Geo'!$B$3:$F$26,2,0)</f>
        <v>2020</v>
      </c>
      <c r="J56" s="308" t="s">
        <v>26</v>
      </c>
      <c r="K56" s="309">
        <f>'CF (Funds)'!D23</f>
        <v>4.9749999999999996</v>
      </c>
      <c r="L56" s="309">
        <f>'CF (Funds)'!E23</f>
        <v>0</v>
      </c>
      <c r="M56" s="309"/>
      <c r="N56" s="309">
        <f t="shared" si="0"/>
        <v>4.9749999999999996</v>
      </c>
      <c r="O56" s="359"/>
      <c r="P56" s="359">
        <f t="shared" si="1"/>
        <v>1</v>
      </c>
      <c r="Q56" s="306" t="s">
        <v>1</v>
      </c>
      <c r="R56" s="309">
        <f t="shared" si="2"/>
        <v>4.9749999999999996</v>
      </c>
      <c r="S56" s="309">
        <f t="shared" si="3"/>
        <v>0</v>
      </c>
      <c r="T56" s="309">
        <f t="shared" si="4"/>
        <v>0</v>
      </c>
      <c r="U56" s="309">
        <f t="shared" si="5"/>
        <v>4.9749999999999996</v>
      </c>
    </row>
    <row r="57" spans="6:21" ht="12.75" x14ac:dyDescent="0.2">
      <c r="F57" s="306" t="s">
        <v>1</v>
      </c>
      <c r="G57" s="307" t="s">
        <v>63</v>
      </c>
      <c r="H57" s="307" t="str">
        <f>VLOOKUP(F57,'5. Geo'!$B$3:$F$26,5,0)</f>
        <v>Asia-China</v>
      </c>
      <c r="I57" s="381">
        <f>VLOOKUP(F57,'5. Geo'!$B$3:$F$26,2,0)</f>
        <v>2020</v>
      </c>
      <c r="J57" s="308" t="s">
        <v>26</v>
      </c>
      <c r="K57" s="309">
        <f>'CF (Funds)'!D24</f>
        <v>-3.4522930000000001</v>
      </c>
      <c r="L57" s="309">
        <f>'CF (Funds)'!E24</f>
        <v>0</v>
      </c>
      <c r="M57" s="309"/>
      <c r="N57" s="309">
        <f t="shared" si="0"/>
        <v>-3.4522930000000001</v>
      </c>
      <c r="O57" s="359"/>
      <c r="P57" s="359">
        <f t="shared" si="1"/>
        <v>1</v>
      </c>
      <c r="Q57" s="306" t="s">
        <v>1</v>
      </c>
      <c r="R57" s="309">
        <f t="shared" si="2"/>
        <v>-3.4522930000000001</v>
      </c>
      <c r="S57" s="309">
        <f t="shared" si="3"/>
        <v>0</v>
      </c>
      <c r="T57" s="309">
        <f t="shared" si="4"/>
        <v>0</v>
      </c>
      <c r="U57" s="309">
        <f t="shared" si="5"/>
        <v>-3.4522930000000001</v>
      </c>
    </row>
    <row r="58" spans="6:21" ht="12.75" x14ac:dyDescent="0.2">
      <c r="F58" s="306" t="s">
        <v>1</v>
      </c>
      <c r="G58" s="307" t="s">
        <v>63</v>
      </c>
      <c r="H58" s="307" t="str">
        <f>VLOOKUP(F58,'5. Geo'!$B$3:$F$26,5,0)</f>
        <v>Asia-China</v>
      </c>
      <c r="I58" s="381">
        <f>VLOOKUP(F58,'5. Geo'!$B$3:$F$26,2,0)</f>
        <v>2020</v>
      </c>
      <c r="J58" s="308" t="s">
        <v>26</v>
      </c>
      <c r="K58" s="309">
        <f>'CF (Funds)'!D25</f>
        <v>0</v>
      </c>
      <c r="L58" s="309">
        <f>'CF (Funds)'!E25</f>
        <v>0.58290199999999992</v>
      </c>
      <c r="M58" s="309"/>
      <c r="N58" s="309">
        <f t="shared" si="0"/>
        <v>0.58290199999999992</v>
      </c>
      <c r="O58" s="359"/>
      <c r="P58" s="359">
        <f t="shared" si="1"/>
        <v>1</v>
      </c>
      <c r="Q58" s="306" t="s">
        <v>1</v>
      </c>
      <c r="R58" s="309">
        <f t="shared" si="2"/>
        <v>0</v>
      </c>
      <c r="S58" s="309">
        <f t="shared" si="3"/>
        <v>0.58290199999999992</v>
      </c>
      <c r="T58" s="309">
        <f t="shared" si="4"/>
        <v>0</v>
      </c>
      <c r="U58" s="309">
        <f t="shared" si="5"/>
        <v>0.58290199999999992</v>
      </c>
    </row>
    <row r="59" spans="6:21" ht="12.75" x14ac:dyDescent="0.2">
      <c r="F59" s="306" t="s">
        <v>1</v>
      </c>
      <c r="G59" s="307" t="s">
        <v>63</v>
      </c>
      <c r="H59" s="307" t="str">
        <f>VLOOKUP(F59,'5. Geo'!$B$3:$F$26,5,0)</f>
        <v>Asia-China</v>
      </c>
      <c r="I59" s="381">
        <f>VLOOKUP(F59,'5. Geo'!$B$3:$F$26,2,0)</f>
        <v>2020</v>
      </c>
      <c r="J59" s="308">
        <v>44370</v>
      </c>
      <c r="K59" s="309">
        <f>'CF (Funds)'!D26</f>
        <v>-5.97</v>
      </c>
      <c r="L59" s="309">
        <f>'CF (Funds)'!E26</f>
        <v>0</v>
      </c>
      <c r="M59" s="309"/>
      <c r="N59" s="309">
        <f t="shared" si="0"/>
        <v>-5.97</v>
      </c>
      <c r="O59" s="359"/>
      <c r="P59" s="359">
        <f t="shared" si="1"/>
        <v>1</v>
      </c>
      <c r="Q59" s="306" t="s">
        <v>1</v>
      </c>
      <c r="R59" s="309">
        <f t="shared" si="2"/>
        <v>-5.97</v>
      </c>
      <c r="S59" s="309">
        <f t="shared" si="3"/>
        <v>0</v>
      </c>
      <c r="T59" s="309">
        <f t="shared" si="4"/>
        <v>0</v>
      </c>
      <c r="U59" s="309">
        <f t="shared" si="5"/>
        <v>-5.97</v>
      </c>
    </row>
    <row r="60" spans="6:21" ht="12.75" x14ac:dyDescent="0.2">
      <c r="F60" s="306" t="s">
        <v>1</v>
      </c>
      <c r="G60" s="307" t="s">
        <v>63</v>
      </c>
      <c r="H60" s="307" t="str">
        <f>VLOOKUP(F60,'5. Geo'!$B$3:$F$26,5,0)</f>
        <v>Asia-China</v>
      </c>
      <c r="I60" s="381">
        <f>VLOOKUP(F60,'5. Geo'!$B$3:$F$26,2,0)</f>
        <v>2020</v>
      </c>
      <c r="J60" s="308">
        <v>44400</v>
      </c>
      <c r="K60" s="309">
        <f>'CF (Funds)'!D27</f>
        <v>-0.75</v>
      </c>
      <c r="L60" s="309">
        <f>'CF (Funds)'!E27</f>
        <v>0</v>
      </c>
      <c r="M60" s="309"/>
      <c r="N60" s="309">
        <f t="shared" si="0"/>
        <v>-0.75</v>
      </c>
      <c r="O60" s="359"/>
      <c r="P60" s="359">
        <f t="shared" si="1"/>
        <v>1</v>
      </c>
      <c r="Q60" s="306" t="s">
        <v>1</v>
      </c>
      <c r="R60" s="309">
        <f t="shared" si="2"/>
        <v>-0.75</v>
      </c>
      <c r="S60" s="309">
        <f t="shared" si="3"/>
        <v>0</v>
      </c>
      <c r="T60" s="309">
        <f t="shared" si="4"/>
        <v>0</v>
      </c>
      <c r="U60" s="309">
        <f t="shared" si="5"/>
        <v>-0.75</v>
      </c>
    </row>
    <row r="61" spans="6:21" ht="12.75" x14ac:dyDescent="0.2">
      <c r="F61" s="306" t="s">
        <v>1</v>
      </c>
      <c r="G61" s="307" t="s">
        <v>63</v>
      </c>
      <c r="H61" s="307" t="str">
        <f>VLOOKUP(F61,'5. Geo'!$B$3:$F$26,5,0)</f>
        <v>Asia-China</v>
      </c>
      <c r="I61" s="381">
        <f>VLOOKUP(F61,'5. Geo'!$B$3:$F$26,2,0)</f>
        <v>2020</v>
      </c>
      <c r="J61" s="308">
        <v>44400</v>
      </c>
      <c r="K61" s="309">
        <f>'CF (Funds)'!D28</f>
        <v>0</v>
      </c>
      <c r="L61" s="309">
        <f>'CF (Funds)'!E28</f>
        <v>0.44505899999999998</v>
      </c>
      <c r="M61" s="309"/>
      <c r="N61" s="309">
        <f t="shared" si="0"/>
        <v>0.44505899999999998</v>
      </c>
      <c r="O61" s="359"/>
      <c r="P61" s="359">
        <f t="shared" si="1"/>
        <v>1</v>
      </c>
      <c r="Q61" s="306" t="s">
        <v>1</v>
      </c>
      <c r="R61" s="309">
        <f t="shared" si="2"/>
        <v>0</v>
      </c>
      <c r="S61" s="309">
        <f t="shared" si="3"/>
        <v>0.44505899999999998</v>
      </c>
      <c r="T61" s="309">
        <f t="shared" si="4"/>
        <v>0</v>
      </c>
      <c r="U61" s="309">
        <f t="shared" si="5"/>
        <v>0.44505899999999998</v>
      </c>
    </row>
    <row r="62" spans="6:21" ht="12.75" x14ac:dyDescent="0.2">
      <c r="F62" s="306" t="s">
        <v>1</v>
      </c>
      <c r="G62" s="307" t="s">
        <v>63</v>
      </c>
      <c r="H62" s="307" t="str">
        <f>VLOOKUP(F62,'5. Geo'!$B$3:$F$26,5,0)</f>
        <v>Asia-China</v>
      </c>
      <c r="I62" s="381">
        <f>VLOOKUP(F62,'5. Geo'!$B$3:$F$26,2,0)</f>
        <v>2020</v>
      </c>
      <c r="J62" s="308">
        <v>44554</v>
      </c>
      <c r="K62" s="309">
        <f>'CF (Funds)'!D29</f>
        <v>1.7823899999999999</v>
      </c>
      <c r="L62" s="309">
        <f>'CF (Funds)'!E29</f>
        <v>0</v>
      </c>
      <c r="M62" s="309"/>
      <c r="N62" s="309">
        <f t="shared" si="0"/>
        <v>1.7823899999999999</v>
      </c>
      <c r="O62" s="359"/>
      <c r="P62" s="359">
        <f t="shared" si="1"/>
        <v>1</v>
      </c>
      <c r="Q62" s="306" t="s">
        <v>1</v>
      </c>
      <c r="R62" s="309">
        <f t="shared" si="2"/>
        <v>1.7823899999999999</v>
      </c>
      <c r="S62" s="309">
        <f t="shared" si="3"/>
        <v>0</v>
      </c>
      <c r="T62" s="309">
        <f t="shared" si="4"/>
        <v>0</v>
      </c>
      <c r="U62" s="309">
        <f t="shared" si="5"/>
        <v>1.7823899999999999</v>
      </c>
    </row>
    <row r="63" spans="6:21" ht="12.75" x14ac:dyDescent="0.2">
      <c r="F63" s="306" t="s">
        <v>1</v>
      </c>
      <c r="G63" s="307" t="s">
        <v>63</v>
      </c>
      <c r="H63" s="307" t="str">
        <f>VLOOKUP(F63,'5. Geo'!$B$3:$F$26,5,0)</f>
        <v>Asia-China</v>
      </c>
      <c r="I63" s="381">
        <f>VLOOKUP(F63,'5. Geo'!$B$3:$F$26,2,0)</f>
        <v>2020</v>
      </c>
      <c r="J63" s="308">
        <v>44676</v>
      </c>
      <c r="K63" s="309">
        <f>'CF (Funds)'!D30</f>
        <v>-21</v>
      </c>
      <c r="L63" s="309">
        <f>'CF (Funds)'!E30</f>
        <v>0</v>
      </c>
      <c r="M63" s="309"/>
      <c r="N63" s="309">
        <f t="shared" si="0"/>
        <v>-21</v>
      </c>
      <c r="O63" s="359"/>
      <c r="P63" s="359">
        <f t="shared" si="1"/>
        <v>1</v>
      </c>
      <c r="Q63" s="306" t="s">
        <v>1</v>
      </c>
      <c r="R63" s="309">
        <f t="shared" si="2"/>
        <v>-21</v>
      </c>
      <c r="S63" s="309">
        <f t="shared" si="3"/>
        <v>0</v>
      </c>
      <c r="T63" s="309">
        <f t="shared" si="4"/>
        <v>0</v>
      </c>
      <c r="U63" s="309">
        <f t="shared" si="5"/>
        <v>-21</v>
      </c>
    </row>
    <row r="64" spans="6:21" ht="12.75" x14ac:dyDescent="0.2">
      <c r="F64" s="302" t="s">
        <v>174</v>
      </c>
      <c r="G64" s="303" t="s">
        <v>63</v>
      </c>
      <c r="H64" s="303" t="str">
        <f>VLOOKUP(F64,'5. Geo'!$B$3:$F$26,5,0)</f>
        <v>Europe</v>
      </c>
      <c r="I64" s="380">
        <f>VLOOKUP(F64,'5. Geo'!$B$3:$F$26,2,0)</f>
        <v>2020</v>
      </c>
      <c r="J64" s="304">
        <v>44087</v>
      </c>
      <c r="K64" s="305">
        <f>'CF (Funds)'!D31</f>
        <v>-20.917552997000001</v>
      </c>
      <c r="L64" s="310">
        <f>'CF (Funds)'!E31</f>
        <v>0</v>
      </c>
      <c r="M64" s="305"/>
      <c r="N64" s="305">
        <f t="shared" si="0"/>
        <v>-20.917552997000001</v>
      </c>
      <c r="O64" s="359"/>
      <c r="P64" s="359">
        <f t="shared" si="1"/>
        <v>0</v>
      </c>
      <c r="Q64" s="302" t="s">
        <v>174</v>
      </c>
      <c r="R64" s="310">
        <f t="shared" si="2"/>
        <v>0</v>
      </c>
      <c r="S64" s="310">
        <f t="shared" si="3"/>
        <v>0</v>
      </c>
      <c r="T64" s="310">
        <f t="shared" si="4"/>
        <v>0</v>
      </c>
      <c r="U64" s="310">
        <f t="shared" si="5"/>
        <v>0</v>
      </c>
    </row>
    <row r="65" spans="6:21" ht="12.75" x14ac:dyDescent="0.2">
      <c r="F65" s="302" t="s">
        <v>174</v>
      </c>
      <c r="G65" s="303" t="s">
        <v>63</v>
      </c>
      <c r="H65" s="303" t="str">
        <f>VLOOKUP(F65,'5. Geo'!$B$3:$F$26,5,0)</f>
        <v>Europe</v>
      </c>
      <c r="I65" s="380">
        <f>VLOOKUP(F65,'5. Geo'!$B$3:$F$26,2,0)</f>
        <v>2020</v>
      </c>
      <c r="J65" s="304">
        <v>44287</v>
      </c>
      <c r="K65" s="305">
        <f>'CF (Funds)'!D32</f>
        <v>-0.21103182000000001</v>
      </c>
      <c r="L65" s="310">
        <f>'CF (Funds)'!E32</f>
        <v>0</v>
      </c>
      <c r="M65" s="305"/>
      <c r="N65" s="305">
        <f t="shared" si="0"/>
        <v>-0.21103182000000001</v>
      </c>
      <c r="O65" s="359"/>
      <c r="P65" s="359">
        <f t="shared" si="1"/>
        <v>0</v>
      </c>
      <c r="Q65" s="302" t="s">
        <v>174</v>
      </c>
      <c r="R65" s="310">
        <f t="shared" si="2"/>
        <v>0</v>
      </c>
      <c r="S65" s="310">
        <f t="shared" si="3"/>
        <v>0</v>
      </c>
      <c r="T65" s="310">
        <f t="shared" si="4"/>
        <v>0</v>
      </c>
      <c r="U65" s="310">
        <f t="shared" si="5"/>
        <v>0</v>
      </c>
    </row>
    <row r="66" spans="6:21" ht="12.75" x14ac:dyDescent="0.2">
      <c r="F66" s="302" t="s">
        <v>174</v>
      </c>
      <c r="G66" s="303" t="s">
        <v>63</v>
      </c>
      <c r="H66" s="303" t="str">
        <f>VLOOKUP(F66,'5. Geo'!$B$3:$F$26,5,0)</f>
        <v>Europe</v>
      </c>
      <c r="I66" s="380">
        <f>VLOOKUP(F66,'5. Geo'!$B$3:$F$26,2,0)</f>
        <v>2020</v>
      </c>
      <c r="J66" s="304">
        <v>44442</v>
      </c>
      <c r="K66" s="305">
        <f>'CF (Funds)'!D33</f>
        <v>-0.23965473139999999</v>
      </c>
      <c r="L66" s="310">
        <f>'CF (Funds)'!E33</f>
        <v>0</v>
      </c>
      <c r="M66" s="305"/>
      <c r="N66" s="305">
        <f t="shared" si="0"/>
        <v>-0.23965473139999999</v>
      </c>
      <c r="O66" s="359"/>
      <c r="P66" s="359">
        <f t="shared" si="1"/>
        <v>0</v>
      </c>
      <c r="Q66" s="302" t="s">
        <v>174</v>
      </c>
      <c r="R66" s="310">
        <f t="shared" si="2"/>
        <v>0</v>
      </c>
      <c r="S66" s="310">
        <f t="shared" si="3"/>
        <v>0</v>
      </c>
      <c r="T66" s="310">
        <f t="shared" si="4"/>
        <v>0</v>
      </c>
      <c r="U66" s="310">
        <f t="shared" si="5"/>
        <v>0</v>
      </c>
    </row>
    <row r="67" spans="6:21" ht="12.75" x14ac:dyDescent="0.2">
      <c r="F67" s="302" t="s">
        <v>174</v>
      </c>
      <c r="G67" s="303" t="s">
        <v>63</v>
      </c>
      <c r="H67" s="303" t="str">
        <f>VLOOKUP(F67,'5. Geo'!$B$3:$F$26,5,0)</f>
        <v>Europe</v>
      </c>
      <c r="I67" s="380">
        <f>VLOOKUP(F67,'5. Geo'!$B$3:$F$26,2,0)</f>
        <v>2020</v>
      </c>
      <c r="J67" s="304">
        <v>44623</v>
      </c>
      <c r="K67" s="305">
        <f>'CF (Funds)'!D34</f>
        <v>-0.25893584940000003</v>
      </c>
      <c r="L67" s="310">
        <f>'CF (Funds)'!E34</f>
        <v>0</v>
      </c>
      <c r="M67" s="305"/>
      <c r="N67" s="305">
        <f t="shared" si="0"/>
        <v>-0.25893584940000003</v>
      </c>
      <c r="O67" s="359"/>
      <c r="P67" s="359">
        <f t="shared" si="1"/>
        <v>0</v>
      </c>
      <c r="Q67" s="302" t="s">
        <v>174</v>
      </c>
      <c r="R67" s="310">
        <f t="shared" si="2"/>
        <v>0</v>
      </c>
      <c r="S67" s="310">
        <f t="shared" si="3"/>
        <v>0</v>
      </c>
      <c r="T67" s="310">
        <f t="shared" si="4"/>
        <v>0</v>
      </c>
      <c r="U67" s="310">
        <f t="shared" si="5"/>
        <v>0</v>
      </c>
    </row>
    <row r="68" spans="6:21" ht="12.75" x14ac:dyDescent="0.2">
      <c r="F68" s="302" t="s">
        <v>174</v>
      </c>
      <c r="G68" s="303" t="s">
        <v>63</v>
      </c>
      <c r="H68" s="303" t="str">
        <f>VLOOKUP(F68,'5. Geo'!$B$3:$F$26,5,0)</f>
        <v>Europe</v>
      </c>
      <c r="I68" s="380">
        <f>VLOOKUP(F68,'5. Geo'!$B$3:$F$26,2,0)</f>
        <v>2020</v>
      </c>
      <c r="J68" s="304">
        <v>44784</v>
      </c>
      <c r="K68" s="305">
        <f>'CF (Funds)'!D35</f>
        <v>1.5224656599999999E-2</v>
      </c>
      <c r="L68" s="310">
        <f>'CF (Funds)'!E35</f>
        <v>0</v>
      </c>
      <c r="M68" s="305"/>
      <c r="N68" s="305">
        <f t="shared" si="0"/>
        <v>1.5224656599999999E-2</v>
      </c>
      <c r="O68" s="359"/>
      <c r="P68" s="359">
        <f t="shared" si="1"/>
        <v>0</v>
      </c>
      <c r="Q68" s="302" t="s">
        <v>174</v>
      </c>
      <c r="R68" s="310">
        <f t="shared" si="2"/>
        <v>0</v>
      </c>
      <c r="S68" s="310">
        <f t="shared" si="3"/>
        <v>0</v>
      </c>
      <c r="T68" s="310">
        <f t="shared" si="4"/>
        <v>0</v>
      </c>
      <c r="U68" s="310">
        <f t="shared" si="5"/>
        <v>0</v>
      </c>
    </row>
    <row r="69" spans="6:21" ht="12.75" x14ac:dyDescent="0.2">
      <c r="F69" s="302" t="s">
        <v>156</v>
      </c>
      <c r="G69" s="303" t="s">
        <v>63</v>
      </c>
      <c r="H69" s="303" t="str">
        <f>VLOOKUP(F69,'5. Geo'!$B$3:$F$26,5,0)</f>
        <v>Europe</v>
      </c>
      <c r="I69" s="380">
        <f>VLOOKUP(F69,'5. Geo'!$B$3:$F$26,2,0)</f>
        <v>2020</v>
      </c>
      <c r="J69" s="304">
        <v>44087</v>
      </c>
      <c r="K69" s="305">
        <f>'CF (Funds)'!D38</f>
        <v>-2.7058823529411762</v>
      </c>
      <c r="L69" s="310">
        <f>'CF (Funds)'!E38</f>
        <v>0</v>
      </c>
      <c r="M69" s="305"/>
      <c r="N69" s="305">
        <f t="shared" si="0"/>
        <v>-2.7058823529411762</v>
      </c>
      <c r="O69" s="359"/>
      <c r="P69" s="359">
        <f t="shared" si="1"/>
        <v>0</v>
      </c>
      <c r="Q69" s="302" t="s">
        <v>156</v>
      </c>
      <c r="R69" s="310">
        <f t="shared" si="2"/>
        <v>0</v>
      </c>
      <c r="S69" s="310">
        <f t="shared" si="3"/>
        <v>0</v>
      </c>
      <c r="T69" s="310">
        <f t="shared" si="4"/>
        <v>0</v>
      </c>
      <c r="U69" s="310">
        <f t="shared" si="5"/>
        <v>0</v>
      </c>
    </row>
    <row r="70" spans="6:21" ht="12.75" x14ac:dyDescent="0.2">
      <c r="F70" s="306" t="s">
        <v>237</v>
      </c>
      <c r="G70" s="307" t="s">
        <v>63</v>
      </c>
      <c r="H70" s="307" t="str">
        <f>VLOOKUP(F70,'5. Geo'!$B$3:$F$26,5,0)</f>
        <v>USA</v>
      </c>
      <c r="I70" s="381">
        <f>VLOOKUP(F70,'5. Geo'!$B$3:$F$26,2,0)</f>
        <v>2021</v>
      </c>
      <c r="J70" s="308">
        <v>44540</v>
      </c>
      <c r="K70" s="309">
        <f>'CF (Funds)'!D39</f>
        <v>-2.8053124999999999</v>
      </c>
      <c r="L70" s="309">
        <f>'CF (Funds)'!E39</f>
        <v>0</v>
      </c>
      <c r="M70" s="309"/>
      <c r="N70" s="309">
        <f t="shared" si="0"/>
        <v>-2.8053124999999999</v>
      </c>
      <c r="O70" s="359"/>
      <c r="P70" s="359">
        <f t="shared" si="1"/>
        <v>0</v>
      </c>
      <c r="Q70" s="306" t="s">
        <v>237</v>
      </c>
      <c r="R70" s="309">
        <f t="shared" si="2"/>
        <v>0</v>
      </c>
      <c r="S70" s="309">
        <f t="shared" si="3"/>
        <v>0</v>
      </c>
      <c r="T70" s="309">
        <f t="shared" si="4"/>
        <v>0</v>
      </c>
      <c r="U70" s="309">
        <f t="shared" si="5"/>
        <v>0</v>
      </c>
    </row>
    <row r="71" spans="6:21" ht="12.75" x14ac:dyDescent="0.2">
      <c r="F71" s="306" t="s">
        <v>237</v>
      </c>
      <c r="G71" s="307" t="s">
        <v>63</v>
      </c>
      <c r="H71" s="307" t="str">
        <f>VLOOKUP(F71,'5. Geo'!$B$3:$F$26,5,0)</f>
        <v>USA</v>
      </c>
      <c r="I71" s="381">
        <f>VLOOKUP(F71,'5. Geo'!$B$3:$F$26,2,0)</f>
        <v>2021</v>
      </c>
      <c r="J71" s="308">
        <v>44602</v>
      </c>
      <c r="K71" s="309">
        <f>'CF (Funds)'!D40</f>
        <v>-3.4074999999999998</v>
      </c>
      <c r="L71" s="309">
        <f>'CF (Funds)'!E40</f>
        <v>0</v>
      </c>
      <c r="M71" s="309"/>
      <c r="N71" s="309">
        <f t="shared" si="0"/>
        <v>-3.4074999999999998</v>
      </c>
      <c r="O71" s="359"/>
      <c r="P71" s="359">
        <f t="shared" si="1"/>
        <v>0</v>
      </c>
      <c r="Q71" s="306" t="s">
        <v>237</v>
      </c>
      <c r="R71" s="309">
        <f t="shared" si="2"/>
        <v>0</v>
      </c>
      <c r="S71" s="309">
        <f t="shared" si="3"/>
        <v>0</v>
      </c>
      <c r="T71" s="309">
        <f t="shared" si="4"/>
        <v>0</v>
      </c>
      <c r="U71" s="309">
        <f t="shared" si="5"/>
        <v>0</v>
      </c>
    </row>
    <row r="72" spans="6:21" ht="12.75" x14ac:dyDescent="0.2">
      <c r="F72" s="306" t="s">
        <v>237</v>
      </c>
      <c r="G72" s="307" t="s">
        <v>63</v>
      </c>
      <c r="H72" s="307" t="str">
        <f>VLOOKUP(F72,'5. Geo'!$B$3:$F$26,5,0)</f>
        <v>USA</v>
      </c>
      <c r="I72" s="381">
        <f>VLOOKUP(F72,'5. Geo'!$B$3:$F$26,2,0)</f>
        <v>2021</v>
      </c>
      <c r="J72" s="308">
        <v>44683</v>
      </c>
      <c r="K72" s="309">
        <f>'CF (Funds)'!D41</f>
        <v>-1.0257749999999999</v>
      </c>
      <c r="L72" s="309">
        <f>'CF (Funds)'!E41</f>
        <v>0</v>
      </c>
      <c r="M72" s="309"/>
      <c r="N72" s="309">
        <f t="shared" si="0"/>
        <v>-1.0257749999999999</v>
      </c>
      <c r="O72" s="359"/>
      <c r="P72" s="359">
        <f t="shared" si="1"/>
        <v>0</v>
      </c>
      <c r="Q72" s="306" t="s">
        <v>237</v>
      </c>
      <c r="R72" s="309">
        <f t="shared" si="2"/>
        <v>0</v>
      </c>
      <c r="S72" s="309">
        <f t="shared" si="3"/>
        <v>0</v>
      </c>
      <c r="T72" s="309">
        <f t="shared" si="4"/>
        <v>0</v>
      </c>
      <c r="U72" s="309">
        <f t="shared" si="5"/>
        <v>0</v>
      </c>
    </row>
    <row r="73" spans="6:21" ht="12.75" x14ac:dyDescent="0.2">
      <c r="F73" s="306" t="s">
        <v>237</v>
      </c>
      <c r="G73" s="307" t="s">
        <v>63</v>
      </c>
      <c r="H73" s="307" t="str">
        <f>VLOOKUP(F73,'5. Geo'!$B$3:$F$26,5,0)</f>
        <v>USA</v>
      </c>
      <c r="I73" s="381">
        <f>VLOOKUP(F73,'5. Geo'!$B$3:$F$26,2,0)</f>
        <v>2021</v>
      </c>
      <c r="J73" s="308">
        <v>44707</v>
      </c>
      <c r="K73" s="309">
        <f>'CF (Funds)'!D42</f>
        <v>-3.3882749999999997</v>
      </c>
      <c r="L73" s="309">
        <f>'CF (Funds)'!E42</f>
        <v>0</v>
      </c>
      <c r="M73" s="309"/>
      <c r="N73" s="309">
        <f t="shared" ref="N73:N96" si="6">SUM(K73:M73)</f>
        <v>-3.3882749999999997</v>
      </c>
      <c r="O73" s="359"/>
      <c r="P73" s="359">
        <f t="shared" ref="P73:P96" si="7">IF($C$8=H73,1,0)</f>
        <v>0</v>
      </c>
      <c r="Q73" s="306" t="s">
        <v>237</v>
      </c>
      <c r="R73" s="309">
        <f t="shared" ref="R73:R96" si="8">$P73*K73</f>
        <v>0</v>
      </c>
      <c r="S73" s="309">
        <f t="shared" ref="S73:S96" si="9">$P73*L73</f>
        <v>0</v>
      </c>
      <c r="T73" s="309">
        <f t="shared" ref="T73:T96" si="10">$P73*M73</f>
        <v>0</v>
      </c>
      <c r="U73" s="309">
        <f t="shared" ref="U73:U96" si="11">$P73*N73</f>
        <v>0</v>
      </c>
    </row>
    <row r="74" spans="6:21" ht="12.75" x14ac:dyDescent="0.2">
      <c r="F74" s="302" t="s">
        <v>57</v>
      </c>
      <c r="G74" s="303"/>
      <c r="H74" s="303" t="str">
        <f>VLOOKUP(F74,'5. Geo'!$B$3:$F$26,5,0)</f>
        <v>Asia-China</v>
      </c>
      <c r="I74" s="380">
        <f>VLOOKUP(F74,'5. Geo'!$B$3:$F$26,2,0)</f>
        <v>2019</v>
      </c>
      <c r="J74" s="304">
        <f>$G$4</f>
        <v>45016</v>
      </c>
      <c r="K74" s="305"/>
      <c r="L74" s="305"/>
      <c r="M74" s="305" t="str">
        <f>VLOOKUP(F74,NAV!$B$9:$E$41,3,0)</f>
        <v>C+ Prefs</v>
      </c>
      <c r="N74" s="305">
        <f t="shared" si="6"/>
        <v>0</v>
      </c>
      <c r="O74" s="359"/>
      <c r="P74" s="359">
        <f t="shared" si="7"/>
        <v>1</v>
      </c>
      <c r="Q74" s="302" t="s">
        <v>57</v>
      </c>
      <c r="R74" s="305">
        <f t="shared" si="8"/>
        <v>0</v>
      </c>
      <c r="S74" s="305">
        <f t="shared" si="9"/>
        <v>0</v>
      </c>
      <c r="T74" s="305" t="e">
        <f t="shared" si="10"/>
        <v>#VALUE!</v>
      </c>
      <c r="U74" s="305">
        <f t="shared" si="11"/>
        <v>0</v>
      </c>
    </row>
    <row r="75" spans="6:21" ht="12.75" x14ac:dyDescent="0.2">
      <c r="F75" s="302" t="s">
        <v>0</v>
      </c>
      <c r="G75" s="303"/>
      <c r="H75" s="303" t="str">
        <f>VLOOKUP(F75,'5. Geo'!$B$3:$F$26,5,0)</f>
        <v>Asia-China</v>
      </c>
      <c r="I75" s="380">
        <f>VLOOKUP(F75,'5. Geo'!$B$3:$F$26,2,0)</f>
        <v>2019</v>
      </c>
      <c r="J75" s="304">
        <f t="shared" ref="J75:J96" si="12">$G$4</f>
        <v>45016</v>
      </c>
      <c r="K75" s="305"/>
      <c r="L75" s="305"/>
      <c r="M75" s="305" t="str">
        <f>VLOOKUP(F75,NAV!$B$9:$E$41,3,0)</f>
        <v>B Prefs</v>
      </c>
      <c r="N75" s="305">
        <f t="shared" si="6"/>
        <v>0</v>
      </c>
      <c r="O75" s="359"/>
      <c r="P75" s="359">
        <f t="shared" si="7"/>
        <v>1</v>
      </c>
      <c r="Q75" s="302" t="s">
        <v>0</v>
      </c>
      <c r="R75" s="305">
        <f t="shared" si="8"/>
        <v>0</v>
      </c>
      <c r="S75" s="305">
        <f t="shared" si="9"/>
        <v>0</v>
      </c>
      <c r="T75" s="305" t="e">
        <f t="shared" si="10"/>
        <v>#VALUE!</v>
      </c>
      <c r="U75" s="305">
        <f t="shared" si="11"/>
        <v>0</v>
      </c>
    </row>
    <row r="76" spans="6:21" ht="12.75" x14ac:dyDescent="0.2">
      <c r="F76" s="302" t="s">
        <v>48</v>
      </c>
      <c r="G76" s="303"/>
      <c r="H76" s="303" t="str">
        <f>VLOOKUP(F76,'5. Geo'!$B$3:$F$26,5,0)</f>
        <v>USA</v>
      </c>
      <c r="I76" s="380">
        <f>VLOOKUP(F76,'5. Geo'!$B$3:$F$26,2,0)</f>
        <v>2019</v>
      </c>
      <c r="J76" s="304">
        <f t="shared" si="12"/>
        <v>45016</v>
      </c>
      <c r="K76" s="305"/>
      <c r="L76" s="305"/>
      <c r="M76" s="305" t="str">
        <f>VLOOKUP(F76,NAV!$B$9:$E$41,3,0)</f>
        <v>B-1,2 Prefs</v>
      </c>
      <c r="N76" s="305">
        <f t="shared" si="6"/>
        <v>0</v>
      </c>
      <c r="O76" s="359"/>
      <c r="P76" s="359">
        <f t="shared" si="7"/>
        <v>0</v>
      </c>
      <c r="Q76" s="302" t="s">
        <v>48</v>
      </c>
      <c r="R76" s="305">
        <f t="shared" si="8"/>
        <v>0</v>
      </c>
      <c r="S76" s="305">
        <f t="shared" si="9"/>
        <v>0</v>
      </c>
      <c r="T76" s="305" t="e">
        <f t="shared" si="10"/>
        <v>#VALUE!</v>
      </c>
      <c r="U76" s="305">
        <f t="shared" si="11"/>
        <v>0</v>
      </c>
    </row>
    <row r="77" spans="6:21" ht="12.75" x14ac:dyDescent="0.2">
      <c r="F77" s="302" t="s">
        <v>49</v>
      </c>
      <c r="G77" s="303"/>
      <c r="H77" s="303" t="str">
        <f>VLOOKUP(F77,'5. Geo'!$B$3:$F$26,5,0)</f>
        <v>Rest of Asia</v>
      </c>
      <c r="I77" s="380">
        <f>VLOOKUP(F77,'5. Geo'!$B$3:$F$26,2,0)</f>
        <v>2020</v>
      </c>
      <c r="J77" s="304">
        <f t="shared" si="12"/>
        <v>45016</v>
      </c>
      <c r="K77" s="305"/>
      <c r="L77" s="305"/>
      <c r="M77" s="305" t="str">
        <f>VLOOKUP(F77,NAV!$B$9:$E$41,3,0)</f>
        <v>Convertible Note</v>
      </c>
      <c r="N77" s="305">
        <f t="shared" si="6"/>
        <v>0</v>
      </c>
      <c r="O77" s="359"/>
      <c r="P77" s="359">
        <f t="shared" si="7"/>
        <v>0</v>
      </c>
      <c r="Q77" s="302" t="s">
        <v>49</v>
      </c>
      <c r="R77" s="305">
        <f t="shared" si="8"/>
        <v>0</v>
      </c>
      <c r="S77" s="305">
        <f t="shared" si="9"/>
        <v>0</v>
      </c>
      <c r="T77" s="305" t="e">
        <f t="shared" si="10"/>
        <v>#VALUE!</v>
      </c>
      <c r="U77" s="305">
        <f t="shared" si="11"/>
        <v>0</v>
      </c>
    </row>
    <row r="78" spans="6:21" ht="12.75" x14ac:dyDescent="0.2">
      <c r="F78" s="302" t="s">
        <v>47</v>
      </c>
      <c r="G78" s="303"/>
      <c r="H78" s="303" t="str">
        <f>VLOOKUP(F78,'5. Geo'!$B$3:$F$26,5,0)</f>
        <v>USA</v>
      </c>
      <c r="I78" s="380">
        <f>VLOOKUP(F78,'5. Geo'!$B$3:$F$26,2,0)</f>
        <v>2020</v>
      </c>
      <c r="J78" s="304">
        <f t="shared" si="12"/>
        <v>45016</v>
      </c>
      <c r="K78" s="305"/>
      <c r="L78" s="305"/>
      <c r="M78" s="305" t="str">
        <f>VLOOKUP(F78,NAV!$B$9:$E$41,3,0)</f>
        <v>C Prefs</v>
      </c>
      <c r="N78" s="305">
        <f t="shared" si="6"/>
        <v>0</v>
      </c>
      <c r="O78" s="359"/>
      <c r="P78" s="359">
        <f t="shared" si="7"/>
        <v>0</v>
      </c>
      <c r="Q78" s="302" t="s">
        <v>47</v>
      </c>
      <c r="R78" s="305">
        <f t="shared" si="8"/>
        <v>0</v>
      </c>
      <c r="S78" s="305">
        <f t="shared" si="9"/>
        <v>0</v>
      </c>
      <c r="T78" s="305" t="e">
        <f t="shared" si="10"/>
        <v>#VALUE!</v>
      </c>
      <c r="U78" s="305">
        <f t="shared" si="11"/>
        <v>0</v>
      </c>
    </row>
    <row r="79" spans="6:21" ht="12.75" x14ac:dyDescent="0.2">
      <c r="F79" s="302" t="s">
        <v>133</v>
      </c>
      <c r="G79" s="303"/>
      <c r="H79" s="303" t="str">
        <f>VLOOKUP(F79,'5. Geo'!$B$3:$F$26,5,0)</f>
        <v>Europe</v>
      </c>
      <c r="I79" s="380">
        <f>VLOOKUP(F79,'5. Geo'!$B$3:$F$26,2,0)</f>
        <v>2020</v>
      </c>
      <c r="J79" s="304">
        <f t="shared" si="12"/>
        <v>45016</v>
      </c>
      <c r="K79" s="305"/>
      <c r="L79" s="305"/>
      <c r="M79" s="305" t="str">
        <f>VLOOKUP(F79,NAV!$B$9:$E$41,3,0)</f>
        <v>Ordinary Shares</v>
      </c>
      <c r="N79" s="305">
        <f t="shared" si="6"/>
        <v>0</v>
      </c>
      <c r="O79" s="359"/>
      <c r="P79" s="359">
        <f t="shared" si="7"/>
        <v>0</v>
      </c>
      <c r="Q79" s="302" t="s">
        <v>133</v>
      </c>
      <c r="R79" s="305">
        <f t="shared" si="8"/>
        <v>0</v>
      </c>
      <c r="S79" s="305">
        <f t="shared" si="9"/>
        <v>0</v>
      </c>
      <c r="T79" s="305" t="e">
        <f t="shared" si="10"/>
        <v>#VALUE!</v>
      </c>
      <c r="U79" s="305">
        <f t="shared" si="11"/>
        <v>0</v>
      </c>
    </row>
    <row r="80" spans="6:21" ht="12.75" x14ac:dyDescent="0.2">
      <c r="F80" s="302" t="s">
        <v>11</v>
      </c>
      <c r="G80" s="303"/>
      <c r="H80" s="303" t="str">
        <f>VLOOKUP(F80,'5. Geo'!$B$3:$F$26,5,0)</f>
        <v>Asia-China</v>
      </c>
      <c r="I80" s="380">
        <f>VLOOKUP(F80,'5. Geo'!$B$3:$F$26,2,0)</f>
        <v>2020</v>
      </c>
      <c r="J80" s="304">
        <f t="shared" si="12"/>
        <v>45016</v>
      </c>
      <c r="K80" s="305"/>
      <c r="L80" s="305"/>
      <c r="M80" s="305" t="str">
        <f>VLOOKUP(F80,NAV!$B$9:$E$41,3,0)</f>
        <v>Registered Capital</v>
      </c>
      <c r="N80" s="305">
        <f t="shared" si="6"/>
        <v>0</v>
      </c>
      <c r="O80" s="359"/>
      <c r="P80" s="359">
        <f t="shared" si="7"/>
        <v>1</v>
      </c>
      <c r="Q80" s="302" t="s">
        <v>11</v>
      </c>
      <c r="R80" s="305">
        <f t="shared" si="8"/>
        <v>0</v>
      </c>
      <c r="S80" s="305">
        <f t="shared" si="9"/>
        <v>0</v>
      </c>
      <c r="T80" s="305" t="e">
        <f t="shared" si="10"/>
        <v>#VALUE!</v>
      </c>
      <c r="U80" s="305">
        <f t="shared" si="11"/>
        <v>0</v>
      </c>
    </row>
    <row r="81" spans="6:21" ht="12.75" x14ac:dyDescent="0.2">
      <c r="F81" s="302" t="s">
        <v>24</v>
      </c>
      <c r="G81" s="303"/>
      <c r="H81" s="303" t="str">
        <f>VLOOKUP(F81,'5. Geo'!$B$3:$F$26,5,0)</f>
        <v>Rest of Asia</v>
      </c>
      <c r="I81" s="380">
        <f>VLOOKUP(F81,'5. Geo'!$B$3:$F$26,2,0)</f>
        <v>2021</v>
      </c>
      <c r="J81" s="304">
        <f t="shared" si="12"/>
        <v>45016</v>
      </c>
      <c r="K81" s="305"/>
      <c r="L81" s="305"/>
      <c r="M81" s="305" t="str">
        <f>VLOOKUP(F81,NAV!$B$9:$E$41,3,0)</f>
        <v>A (Ordinary Shares)</v>
      </c>
      <c r="N81" s="305">
        <f t="shared" si="6"/>
        <v>0</v>
      </c>
      <c r="O81" s="359"/>
      <c r="P81" s="359">
        <f t="shared" si="7"/>
        <v>0</v>
      </c>
      <c r="Q81" s="302" t="s">
        <v>24</v>
      </c>
      <c r="R81" s="305">
        <f t="shared" si="8"/>
        <v>0</v>
      </c>
      <c r="S81" s="305">
        <f t="shared" si="9"/>
        <v>0</v>
      </c>
      <c r="T81" s="305" t="e">
        <f t="shared" si="10"/>
        <v>#VALUE!</v>
      </c>
      <c r="U81" s="305">
        <f t="shared" si="11"/>
        <v>0</v>
      </c>
    </row>
    <row r="82" spans="6:21" ht="12.75" x14ac:dyDescent="0.2">
      <c r="F82" s="302" t="s">
        <v>50</v>
      </c>
      <c r="G82" s="303"/>
      <c r="H82" s="303" t="str">
        <f>VLOOKUP(F82,'5. Geo'!$B$3:$F$26,5,0)</f>
        <v>USA</v>
      </c>
      <c r="I82" s="380">
        <f>VLOOKUP(F82,'5. Geo'!$B$3:$F$26,2,0)</f>
        <v>2021</v>
      </c>
      <c r="J82" s="304">
        <f t="shared" si="12"/>
        <v>45016</v>
      </c>
      <c r="K82" s="305"/>
      <c r="L82" s="305"/>
      <c r="M82" s="305" t="str">
        <f>VLOOKUP(F82,NAV!$B$9:$E$41,3,0)</f>
        <v>F Prefs</v>
      </c>
      <c r="N82" s="305">
        <f t="shared" si="6"/>
        <v>0</v>
      </c>
      <c r="O82" s="359"/>
      <c r="P82" s="359">
        <f t="shared" si="7"/>
        <v>0</v>
      </c>
      <c r="Q82" s="302" t="s">
        <v>50</v>
      </c>
      <c r="R82" s="305">
        <f t="shared" si="8"/>
        <v>0</v>
      </c>
      <c r="S82" s="305">
        <f t="shared" si="9"/>
        <v>0</v>
      </c>
      <c r="T82" s="305" t="e">
        <f t="shared" si="10"/>
        <v>#VALUE!</v>
      </c>
      <c r="U82" s="305">
        <f t="shared" si="11"/>
        <v>0</v>
      </c>
    </row>
    <row r="83" spans="6:21" ht="12.75" x14ac:dyDescent="0.2">
      <c r="F83" s="302" t="s">
        <v>51</v>
      </c>
      <c r="G83" s="303"/>
      <c r="H83" s="303" t="str">
        <f>VLOOKUP(F83,'5. Geo'!$B$3:$F$26,5,0)</f>
        <v>USA</v>
      </c>
      <c r="I83" s="380">
        <f>VLOOKUP(F83,'5. Geo'!$B$3:$F$26,2,0)</f>
        <v>2021</v>
      </c>
      <c r="J83" s="304">
        <f t="shared" si="12"/>
        <v>45016</v>
      </c>
      <c r="K83" s="305"/>
      <c r="L83" s="305"/>
      <c r="M83" s="305" t="str">
        <f>VLOOKUP(F83,NAV!$B$9:$E$41,3,0)</f>
        <v>A Pref Units</v>
      </c>
      <c r="N83" s="305">
        <f t="shared" si="6"/>
        <v>0</v>
      </c>
      <c r="O83" s="359"/>
      <c r="P83" s="359">
        <f t="shared" si="7"/>
        <v>0</v>
      </c>
      <c r="Q83" s="302" t="s">
        <v>51</v>
      </c>
      <c r="R83" s="305">
        <f t="shared" si="8"/>
        <v>0</v>
      </c>
      <c r="S83" s="305">
        <f t="shared" si="9"/>
        <v>0</v>
      </c>
      <c r="T83" s="305" t="e">
        <f t="shared" si="10"/>
        <v>#VALUE!</v>
      </c>
      <c r="U83" s="305">
        <f t="shared" si="11"/>
        <v>0</v>
      </c>
    </row>
    <row r="84" spans="6:21" ht="12.75" x14ac:dyDescent="0.2">
      <c r="F84" s="302" t="s">
        <v>52</v>
      </c>
      <c r="G84" s="303"/>
      <c r="H84" s="303" t="str">
        <f>VLOOKUP(F84,'5. Geo'!$B$3:$F$26,5,0)</f>
        <v>Europe</v>
      </c>
      <c r="I84" s="380">
        <f>VLOOKUP(F84,'5. Geo'!$B$3:$F$26,2,0)</f>
        <v>2021</v>
      </c>
      <c r="J84" s="304">
        <f t="shared" si="12"/>
        <v>45016</v>
      </c>
      <c r="K84" s="305"/>
      <c r="L84" s="305"/>
      <c r="M84" s="305" t="str">
        <f>VLOOKUP(F84,NAV!$B$9:$E$41,3,0)</f>
        <v xml:space="preserve">B Prefs </v>
      </c>
      <c r="N84" s="305">
        <f t="shared" si="6"/>
        <v>0</v>
      </c>
      <c r="O84" s="359"/>
      <c r="P84" s="359">
        <f t="shared" si="7"/>
        <v>0</v>
      </c>
      <c r="Q84" s="302" t="s">
        <v>52</v>
      </c>
      <c r="R84" s="305">
        <f t="shared" si="8"/>
        <v>0</v>
      </c>
      <c r="S84" s="305">
        <f t="shared" si="9"/>
        <v>0</v>
      </c>
      <c r="T84" s="305" t="e">
        <f t="shared" si="10"/>
        <v>#VALUE!</v>
      </c>
      <c r="U84" s="305">
        <f t="shared" si="11"/>
        <v>0</v>
      </c>
    </row>
    <row r="85" spans="6:21" ht="12.75" x14ac:dyDescent="0.2">
      <c r="F85" s="302" t="s">
        <v>113</v>
      </c>
      <c r="G85" s="303"/>
      <c r="H85" s="303" t="str">
        <f>VLOOKUP(F85,'5. Geo'!$B$3:$F$26,5,0)</f>
        <v>Asia-China</v>
      </c>
      <c r="I85" s="380">
        <f>VLOOKUP(F85,'5. Geo'!$B$3:$F$26,2,0)</f>
        <v>2022</v>
      </c>
      <c r="J85" s="304">
        <f t="shared" si="12"/>
        <v>45016</v>
      </c>
      <c r="K85" s="305"/>
      <c r="L85" s="305"/>
      <c r="M85" s="305" t="str">
        <f>VLOOKUP(F85,NAV!$B$9:$E$41,3,0)</f>
        <v>Equity-TBC</v>
      </c>
      <c r="N85" s="305">
        <f t="shared" si="6"/>
        <v>0</v>
      </c>
      <c r="O85" s="359"/>
      <c r="P85" s="359">
        <f t="shared" si="7"/>
        <v>1</v>
      </c>
      <c r="Q85" s="302" t="s">
        <v>113</v>
      </c>
      <c r="R85" s="305">
        <f t="shared" si="8"/>
        <v>0</v>
      </c>
      <c r="S85" s="305">
        <f t="shared" si="9"/>
        <v>0</v>
      </c>
      <c r="T85" s="305" t="e">
        <f t="shared" si="10"/>
        <v>#VALUE!</v>
      </c>
      <c r="U85" s="305">
        <f t="shared" si="11"/>
        <v>0</v>
      </c>
    </row>
    <row r="86" spans="6:21" ht="12.75" x14ac:dyDescent="0.2">
      <c r="F86" s="302" t="s">
        <v>25</v>
      </c>
      <c r="G86" s="303"/>
      <c r="H86" s="303" t="str">
        <f>VLOOKUP(F86,'5. Geo'!$B$3:$F$26,5,0)</f>
        <v>MiddleEast</v>
      </c>
      <c r="I86" s="380">
        <f>VLOOKUP(F86,'5. Geo'!$B$3:$F$26,2,0)</f>
        <v>2022</v>
      </c>
      <c r="J86" s="304">
        <f t="shared" si="12"/>
        <v>45016</v>
      </c>
      <c r="K86" s="305"/>
      <c r="L86" s="305"/>
      <c r="M86" s="305" t="str">
        <f>VLOOKUP(F86,NAV!$B$9:$E$41,3,0)</f>
        <v>Equity-TBC</v>
      </c>
      <c r="N86" s="305">
        <f t="shared" si="6"/>
        <v>0</v>
      </c>
      <c r="O86" s="359"/>
      <c r="P86" s="359">
        <f t="shared" si="7"/>
        <v>0</v>
      </c>
      <c r="Q86" s="302" t="s">
        <v>25</v>
      </c>
      <c r="R86" s="305">
        <f t="shared" si="8"/>
        <v>0</v>
      </c>
      <c r="S86" s="305">
        <f t="shared" si="9"/>
        <v>0</v>
      </c>
      <c r="T86" s="305" t="e">
        <f t="shared" si="10"/>
        <v>#VALUE!</v>
      </c>
      <c r="U86" s="305">
        <f t="shared" si="11"/>
        <v>0</v>
      </c>
    </row>
    <row r="87" spans="6:21" ht="12.75" x14ac:dyDescent="0.2">
      <c r="F87" s="302" t="s">
        <v>134</v>
      </c>
      <c r="G87" s="303"/>
      <c r="H87" s="303" t="str">
        <f>VLOOKUP(F87,'5. Geo'!$B$3:$F$26,5,0)</f>
        <v>USA</v>
      </c>
      <c r="I87" s="380">
        <f>VLOOKUP(F87,'5. Geo'!$B$3:$F$26,2,0)</f>
        <v>2022</v>
      </c>
      <c r="J87" s="304">
        <f t="shared" si="12"/>
        <v>45016</v>
      </c>
      <c r="K87" s="305"/>
      <c r="L87" s="305"/>
      <c r="M87" s="305" t="str">
        <f>VLOOKUP(F87,NAV!$B$9:$E$41,3,0)</f>
        <v>Ordinary Shares</v>
      </c>
      <c r="N87" s="305">
        <f t="shared" si="6"/>
        <v>0</v>
      </c>
      <c r="O87" s="359"/>
      <c r="P87" s="359">
        <f t="shared" si="7"/>
        <v>0</v>
      </c>
      <c r="Q87" s="302" t="s">
        <v>134</v>
      </c>
      <c r="R87" s="305">
        <f t="shared" si="8"/>
        <v>0</v>
      </c>
      <c r="S87" s="305">
        <f t="shared" si="9"/>
        <v>0</v>
      </c>
      <c r="T87" s="305" t="e">
        <f t="shared" si="10"/>
        <v>#VALUE!</v>
      </c>
      <c r="U87" s="305">
        <f t="shared" si="11"/>
        <v>0</v>
      </c>
    </row>
    <row r="88" spans="6:21" ht="12.75" x14ac:dyDescent="0.2">
      <c r="F88" s="302" t="s">
        <v>44</v>
      </c>
      <c r="G88" s="303"/>
      <c r="H88" s="303" t="str">
        <f>VLOOKUP(F88,'5. Geo'!$B$3:$F$26,5,0)</f>
        <v>Asia-China</v>
      </c>
      <c r="I88" s="380">
        <f>VLOOKUP(F88,'5. Geo'!$B$3:$F$26,2,0)</f>
        <v>2022</v>
      </c>
      <c r="J88" s="304">
        <f t="shared" si="12"/>
        <v>45016</v>
      </c>
      <c r="K88" s="305"/>
      <c r="L88" s="305"/>
      <c r="M88" s="305" t="str">
        <f>VLOOKUP(F88,NAV!$B$9:$E$41,3,0)</f>
        <v>Equity-TBC</v>
      </c>
      <c r="N88" s="305">
        <f t="shared" si="6"/>
        <v>0</v>
      </c>
      <c r="O88" s="359"/>
      <c r="P88" s="359">
        <f t="shared" si="7"/>
        <v>1</v>
      </c>
      <c r="Q88" s="302" t="s">
        <v>44</v>
      </c>
      <c r="R88" s="305">
        <f t="shared" si="8"/>
        <v>0</v>
      </c>
      <c r="S88" s="305">
        <f t="shared" si="9"/>
        <v>0</v>
      </c>
      <c r="T88" s="305" t="e">
        <f t="shared" si="10"/>
        <v>#VALUE!</v>
      </c>
      <c r="U88" s="305">
        <f t="shared" si="11"/>
        <v>0</v>
      </c>
    </row>
    <row r="89" spans="6:21" ht="12.75" x14ac:dyDescent="0.2">
      <c r="F89" s="302" t="s">
        <v>58</v>
      </c>
      <c r="G89" s="303"/>
      <c r="H89" s="303" t="str">
        <f>VLOOKUP(F89,'5. Geo'!$B$3:$F$26,5,0)</f>
        <v>USA</v>
      </c>
      <c r="I89" s="380">
        <f>VLOOKUP(F89,'5. Geo'!$B$3:$F$26,2,0)</f>
        <v>2019</v>
      </c>
      <c r="J89" s="304">
        <f t="shared" si="12"/>
        <v>45016</v>
      </c>
      <c r="K89" s="305"/>
      <c r="L89" s="305"/>
      <c r="M89" s="305" t="str">
        <f>VLOOKUP(F89,NAV!$B$9:$E$41,3,0)</f>
        <v>Promissory Note</v>
      </c>
      <c r="N89" s="305">
        <f t="shared" si="6"/>
        <v>0</v>
      </c>
      <c r="O89" s="359"/>
      <c r="P89" s="359">
        <f t="shared" si="7"/>
        <v>0</v>
      </c>
      <c r="Q89" s="302" t="s">
        <v>58</v>
      </c>
      <c r="R89" s="305">
        <f t="shared" si="8"/>
        <v>0</v>
      </c>
      <c r="S89" s="305">
        <f t="shared" si="9"/>
        <v>0</v>
      </c>
      <c r="T89" s="305" t="e">
        <f t="shared" si="10"/>
        <v>#VALUE!</v>
      </c>
      <c r="U89" s="305">
        <f t="shared" si="11"/>
        <v>0</v>
      </c>
    </row>
    <row r="90" spans="6:21" ht="12.75" x14ac:dyDescent="0.2">
      <c r="F90" s="302" t="s">
        <v>0</v>
      </c>
      <c r="G90" s="303"/>
      <c r="H90" s="303" t="str">
        <f>VLOOKUP(F90,'5. Geo'!$B$3:$F$26,5,0)</f>
        <v>Asia-China</v>
      </c>
      <c r="I90" s="380">
        <f>VLOOKUP(F90,'5. Geo'!$B$3:$F$26,2,0)</f>
        <v>2019</v>
      </c>
      <c r="J90" s="304">
        <f t="shared" si="12"/>
        <v>45016</v>
      </c>
      <c r="K90" s="305"/>
      <c r="L90" s="305"/>
      <c r="M90" s="305" t="str">
        <f>VLOOKUP(F90,NAV!$B$9:$E$41,3,0)</f>
        <v>B Prefs</v>
      </c>
      <c r="N90" s="305">
        <f t="shared" si="6"/>
        <v>0</v>
      </c>
      <c r="O90" s="359"/>
      <c r="P90" s="359">
        <f t="shared" si="7"/>
        <v>1</v>
      </c>
      <c r="Q90" s="302" t="s">
        <v>0</v>
      </c>
      <c r="R90" s="305">
        <f t="shared" si="8"/>
        <v>0</v>
      </c>
      <c r="S90" s="305">
        <f t="shared" si="9"/>
        <v>0</v>
      </c>
      <c r="T90" s="305" t="e">
        <f t="shared" si="10"/>
        <v>#VALUE!</v>
      </c>
      <c r="U90" s="305">
        <f t="shared" si="11"/>
        <v>0</v>
      </c>
    </row>
    <row r="91" spans="6:21" ht="12.75" x14ac:dyDescent="0.2">
      <c r="F91" s="302" t="s">
        <v>49</v>
      </c>
      <c r="G91" s="303"/>
      <c r="H91" s="303" t="str">
        <f>VLOOKUP(F91,'5. Geo'!$B$3:$F$26,5,0)</f>
        <v>Rest of Asia</v>
      </c>
      <c r="I91" s="380">
        <f>VLOOKUP(F91,'5. Geo'!$B$3:$F$26,2,0)</f>
        <v>2020</v>
      </c>
      <c r="J91" s="304">
        <f t="shared" si="12"/>
        <v>45016</v>
      </c>
      <c r="K91" s="305"/>
      <c r="L91" s="305"/>
      <c r="M91" s="305" t="str">
        <f>VLOOKUP(F91,NAV!$B$9:$E$41,3,0)</f>
        <v>Convertible Note</v>
      </c>
      <c r="N91" s="305">
        <f t="shared" si="6"/>
        <v>0</v>
      </c>
      <c r="O91" s="359"/>
      <c r="P91" s="359">
        <f t="shared" si="7"/>
        <v>0</v>
      </c>
      <c r="Q91" s="302" t="s">
        <v>49</v>
      </c>
      <c r="R91" s="305">
        <f t="shared" si="8"/>
        <v>0</v>
      </c>
      <c r="S91" s="305">
        <f t="shared" si="9"/>
        <v>0</v>
      </c>
      <c r="T91" s="305" t="e">
        <f t="shared" si="10"/>
        <v>#VALUE!</v>
      </c>
      <c r="U91" s="305">
        <f t="shared" si="11"/>
        <v>0</v>
      </c>
    </row>
    <row r="92" spans="6:21" ht="12.75" x14ac:dyDescent="0.2">
      <c r="F92" s="302" t="s">
        <v>174</v>
      </c>
      <c r="G92" s="303"/>
      <c r="H92" s="303" t="str">
        <f>VLOOKUP(F92,'5. Geo'!$B$3:$F$26,5,0)</f>
        <v>Europe</v>
      </c>
      <c r="I92" s="380">
        <f>VLOOKUP(F92,'5. Geo'!$B$3:$F$26,2,0)</f>
        <v>2020</v>
      </c>
      <c r="J92" s="304">
        <f t="shared" si="12"/>
        <v>45016</v>
      </c>
      <c r="K92" s="305"/>
      <c r="L92" s="305"/>
      <c r="M92" s="305" t="str">
        <f>VLOOKUP(F92,NAV!$B$9:$E$41,3,0)</f>
        <v xml:space="preserve">LP </v>
      </c>
      <c r="N92" s="305">
        <f t="shared" si="6"/>
        <v>0</v>
      </c>
      <c r="O92" s="359"/>
      <c r="P92" s="359">
        <f t="shared" si="7"/>
        <v>0</v>
      </c>
      <c r="Q92" s="302" t="s">
        <v>31</v>
      </c>
      <c r="R92" s="305">
        <f t="shared" si="8"/>
        <v>0</v>
      </c>
      <c r="S92" s="305">
        <f t="shared" si="9"/>
        <v>0</v>
      </c>
      <c r="T92" s="305" t="e">
        <f t="shared" si="10"/>
        <v>#VALUE!</v>
      </c>
      <c r="U92" s="305">
        <f t="shared" si="11"/>
        <v>0</v>
      </c>
    </row>
    <row r="93" spans="6:21" ht="12.75" x14ac:dyDescent="0.2">
      <c r="F93" s="302" t="s">
        <v>156</v>
      </c>
      <c r="G93" s="303"/>
      <c r="H93" s="303" t="str">
        <f>VLOOKUP(F93,'5. Geo'!$B$3:$F$26,5,0)</f>
        <v>Europe</v>
      </c>
      <c r="I93" s="380">
        <f>VLOOKUP(F93,'5. Geo'!$B$3:$F$26,2,0)</f>
        <v>2020</v>
      </c>
      <c r="J93" s="304">
        <f t="shared" si="12"/>
        <v>45016</v>
      </c>
      <c r="K93" s="305"/>
      <c r="L93" s="305"/>
      <c r="M93" s="305" t="str">
        <f>VLOOKUP(F93,NAV!$B$9:$E$41,3,0)</f>
        <v>GP</v>
      </c>
      <c r="N93" s="305">
        <f t="shared" si="6"/>
        <v>0</v>
      </c>
      <c r="O93" s="359"/>
      <c r="P93" s="359">
        <f t="shared" si="7"/>
        <v>0</v>
      </c>
      <c r="Q93" s="302" t="s">
        <v>31</v>
      </c>
      <c r="R93" s="305">
        <f t="shared" si="8"/>
        <v>0</v>
      </c>
      <c r="S93" s="305">
        <f t="shared" si="9"/>
        <v>0</v>
      </c>
      <c r="T93" s="305" t="e">
        <f t="shared" si="10"/>
        <v>#VALUE!</v>
      </c>
      <c r="U93" s="305">
        <f t="shared" si="11"/>
        <v>0</v>
      </c>
    </row>
    <row r="94" spans="6:21" ht="12.75" x14ac:dyDescent="0.2">
      <c r="F94" s="302" t="s">
        <v>1</v>
      </c>
      <c r="G94" s="303"/>
      <c r="H94" s="303" t="str">
        <f>VLOOKUP(F94,'5. Geo'!$B$3:$F$26,5,0)</f>
        <v>Asia-China</v>
      </c>
      <c r="I94" s="380">
        <f>VLOOKUP(F94,'5. Geo'!$B$3:$F$26,2,0)</f>
        <v>2020</v>
      </c>
      <c r="J94" s="304">
        <f t="shared" si="12"/>
        <v>45016</v>
      </c>
      <c r="K94" s="305"/>
      <c r="L94" s="305"/>
      <c r="M94" s="305" t="str">
        <f>VLOOKUP(F94,NAV!$B$9:$E$41,3,0)</f>
        <v xml:space="preserve">LP </v>
      </c>
      <c r="N94" s="305">
        <f t="shared" si="6"/>
        <v>0</v>
      </c>
      <c r="O94" s="359"/>
      <c r="P94" s="359">
        <f t="shared" si="7"/>
        <v>1</v>
      </c>
      <c r="Q94" s="302" t="s">
        <v>1</v>
      </c>
      <c r="R94" s="305">
        <f t="shared" si="8"/>
        <v>0</v>
      </c>
      <c r="S94" s="305">
        <f t="shared" si="9"/>
        <v>0</v>
      </c>
      <c r="T94" s="305" t="e">
        <f t="shared" si="10"/>
        <v>#VALUE!</v>
      </c>
      <c r="U94" s="305">
        <f t="shared" si="11"/>
        <v>0</v>
      </c>
    </row>
    <row r="95" spans="6:21" ht="12.75" x14ac:dyDescent="0.2">
      <c r="F95" s="302" t="s">
        <v>15</v>
      </c>
      <c r="G95" s="303"/>
      <c r="H95" s="303" t="str">
        <f>VLOOKUP(F95,'5. Geo'!$B$3:$F$26,5,0)</f>
        <v>Asia-China</v>
      </c>
      <c r="I95" s="380">
        <f>VLOOKUP(F95,'5. Geo'!$B$3:$F$26,2,0)</f>
        <v>2020</v>
      </c>
      <c r="J95" s="304">
        <f t="shared" si="12"/>
        <v>45016</v>
      </c>
      <c r="K95" s="305"/>
      <c r="L95" s="305"/>
      <c r="M95" s="305" t="str">
        <f>VLOOKUP(F95,NAV!$B$9:$E$41,3,0)</f>
        <v xml:space="preserve">LP </v>
      </c>
      <c r="N95" s="305">
        <f t="shared" si="6"/>
        <v>0</v>
      </c>
      <c r="O95" s="359"/>
      <c r="P95" s="359">
        <f t="shared" si="7"/>
        <v>1</v>
      </c>
      <c r="Q95" s="302" t="s">
        <v>15</v>
      </c>
      <c r="R95" s="305">
        <f t="shared" si="8"/>
        <v>0</v>
      </c>
      <c r="S95" s="305">
        <f t="shared" si="9"/>
        <v>0</v>
      </c>
      <c r="T95" s="305" t="e">
        <f t="shared" si="10"/>
        <v>#VALUE!</v>
      </c>
      <c r="U95" s="305">
        <f t="shared" si="11"/>
        <v>0</v>
      </c>
    </row>
    <row r="96" spans="6:21" ht="12.75" x14ac:dyDescent="0.2">
      <c r="F96" s="302" t="s">
        <v>237</v>
      </c>
      <c r="G96" s="303"/>
      <c r="H96" s="303" t="str">
        <f>VLOOKUP(F96,'5. Geo'!$B$3:$F$26,5,0)</f>
        <v>USA</v>
      </c>
      <c r="I96" s="380">
        <f>VLOOKUP(F96,'5. Geo'!$B$3:$F$26,2,0)</f>
        <v>2021</v>
      </c>
      <c r="J96" s="304">
        <f t="shared" si="12"/>
        <v>45016</v>
      </c>
      <c r="K96" s="305"/>
      <c r="L96" s="305"/>
      <c r="M96" s="305" t="str">
        <f>VLOOKUP(F96,NAV!$B$9:$E$41,3,0)</f>
        <v xml:space="preserve">LP </v>
      </c>
      <c r="N96" s="305">
        <f t="shared" si="6"/>
        <v>0</v>
      </c>
      <c r="O96" s="359"/>
      <c r="P96" s="359">
        <f t="shared" si="7"/>
        <v>0</v>
      </c>
      <c r="Q96" s="302" t="s">
        <v>237</v>
      </c>
      <c r="R96" s="305">
        <f t="shared" si="8"/>
        <v>0</v>
      </c>
      <c r="S96" s="305">
        <f t="shared" si="9"/>
        <v>0</v>
      </c>
      <c r="T96" s="305" t="e">
        <f t="shared" si="10"/>
        <v>#VALUE!</v>
      </c>
      <c r="U96" s="305">
        <f t="shared" si="11"/>
        <v>0</v>
      </c>
    </row>
  </sheetData>
  <pageMargins left="0.7" right="0.7" top="0.75" bottom="0.75" header="0.3" footer="0.3"/>
  <pageSetup paperSize="9" orientation="portrait" verticalDpi="0" r:id="rId1"/>
  <ignoredErrors>
    <ignoredError sqref="N8:N17 N18:N96" formulaRange="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8924-F322-4BDB-B724-E39256CF374B}">
  <sheetPr>
    <tabColor theme="4" tint="-0.499984740745262"/>
  </sheetPr>
  <dimension ref="B2:X73"/>
  <sheetViews>
    <sheetView zoomScale="85" zoomScaleNormal="85" workbookViewId="0">
      <pane xSplit="3" ySplit="21" topLeftCell="D22" activePane="bottomRight" state="frozen"/>
      <selection activeCell="O33" sqref="O33"/>
      <selection pane="topRight" activeCell="O33" sqref="O33"/>
      <selection pane="bottomLeft" activeCell="O33" sqref="O33"/>
      <selection pane="bottomRight" activeCell="O33" sqref="O33"/>
    </sheetView>
  </sheetViews>
  <sheetFormatPr defaultRowHeight="12" x14ac:dyDescent="0.2"/>
  <cols>
    <col min="1" max="1" width="5" style="83" customWidth="1"/>
    <col min="2" max="2" width="9.140625" style="83"/>
    <col min="3" max="3" width="25.5703125" style="83" bestFit="1" customWidth="1"/>
    <col min="4" max="4" width="16.5703125" style="83" customWidth="1"/>
    <col min="5" max="6" width="13.7109375" style="83" customWidth="1"/>
    <col min="7" max="7" width="17.28515625" style="83" bestFit="1" customWidth="1"/>
    <col min="8" max="9" width="28.5703125" style="88" customWidth="1"/>
    <col min="10" max="12" width="21.28515625" style="88" customWidth="1"/>
    <col min="13" max="13" width="9.140625" style="83"/>
    <col min="14" max="14" width="13.5703125" style="83" bestFit="1" customWidth="1"/>
    <col min="15" max="15" width="16" style="83" customWidth="1"/>
    <col min="16" max="16" width="20.42578125" style="83" customWidth="1"/>
    <col min="17" max="21" width="17" style="83" customWidth="1"/>
    <col min="22" max="26" width="14.28515625" style="83" customWidth="1"/>
    <col min="27" max="16384" width="9.140625" style="83"/>
  </cols>
  <sheetData>
    <row r="2" spans="2:12" s="164" customFormat="1" ht="43.5" customHeight="1" x14ac:dyDescent="0.45">
      <c r="B2" s="345" t="s">
        <v>289</v>
      </c>
      <c r="C2" s="346"/>
      <c r="D2" s="346"/>
      <c r="E2" s="346"/>
      <c r="F2" s="353"/>
      <c r="G2" s="353"/>
      <c r="H2" s="353"/>
      <c r="I2" s="353"/>
      <c r="J2" s="347"/>
      <c r="K2" s="348"/>
      <c r="L2" s="347"/>
    </row>
    <row r="3" spans="2:12" ht="15" x14ac:dyDescent="0.25">
      <c r="C3" s="92" t="s">
        <v>273</v>
      </c>
    </row>
    <row r="4" spans="2:12" ht="15" x14ac:dyDescent="0.25">
      <c r="C4" s="92"/>
    </row>
    <row r="5" spans="2:12" ht="15" x14ac:dyDescent="0.25">
      <c r="C5" s="92"/>
    </row>
    <row r="6" spans="2:12" ht="15" x14ac:dyDescent="0.25">
      <c r="C6" s="92"/>
    </row>
    <row r="8" spans="2:12" x14ac:dyDescent="0.2">
      <c r="C8" s="97" t="s">
        <v>140</v>
      </c>
      <c r="H8" s="328" t="s">
        <v>276</v>
      </c>
      <c r="I8" s="328" t="s">
        <v>275</v>
      </c>
      <c r="J8" s="328"/>
      <c r="K8" s="328"/>
      <c r="L8" s="328"/>
    </row>
    <row r="9" spans="2:12" s="98" customFormat="1" x14ac:dyDescent="0.2">
      <c r="C9" s="95" t="s">
        <v>6</v>
      </c>
      <c r="D9" s="96" t="s">
        <v>7</v>
      </c>
      <c r="E9" s="96" t="s">
        <v>141</v>
      </c>
      <c r="F9" s="96" t="s">
        <v>42</v>
      </c>
      <c r="G9" s="97" t="s">
        <v>139</v>
      </c>
      <c r="H9" s="96" t="s">
        <v>24</v>
      </c>
      <c r="I9" s="96" t="s">
        <v>57</v>
      </c>
      <c r="J9" s="96"/>
      <c r="K9" s="96"/>
      <c r="L9" s="96"/>
    </row>
    <row r="10" spans="2:12" s="98" customFormat="1" x14ac:dyDescent="0.2">
      <c r="C10" s="95"/>
      <c r="D10" s="96"/>
      <c r="E10" s="96"/>
      <c r="F10" s="96"/>
      <c r="G10" s="97"/>
      <c r="H10" s="96" t="s">
        <v>50</v>
      </c>
      <c r="I10" s="96" t="s">
        <v>0</v>
      </c>
      <c r="J10" s="96"/>
      <c r="K10" s="96"/>
      <c r="L10" s="96"/>
    </row>
    <row r="11" spans="2:12" s="98" customFormat="1" x14ac:dyDescent="0.2">
      <c r="C11" s="95"/>
      <c r="D11" s="96"/>
      <c r="E11" s="96"/>
      <c r="F11" s="96"/>
      <c r="G11" s="97"/>
      <c r="H11" s="96" t="s">
        <v>113</v>
      </c>
      <c r="I11" s="96" t="s">
        <v>48</v>
      </c>
      <c r="J11" s="96"/>
      <c r="K11" s="96"/>
      <c r="L11" s="96"/>
    </row>
    <row r="12" spans="2:12" s="98" customFormat="1" x14ac:dyDescent="0.2">
      <c r="C12" s="95"/>
      <c r="D12" s="96"/>
      <c r="E12" s="96"/>
      <c r="F12" s="96"/>
      <c r="G12" s="97"/>
      <c r="H12" s="96" t="s">
        <v>25</v>
      </c>
      <c r="I12" s="96" t="s">
        <v>49</v>
      </c>
      <c r="J12" s="96"/>
      <c r="K12" s="96"/>
      <c r="L12" s="96"/>
    </row>
    <row r="13" spans="2:12" s="98" customFormat="1" x14ac:dyDescent="0.2">
      <c r="C13" s="95"/>
      <c r="D13" s="96"/>
      <c r="E13" s="96"/>
      <c r="F13" s="96"/>
      <c r="G13" s="97"/>
      <c r="H13" s="96" t="s">
        <v>134</v>
      </c>
      <c r="I13" s="96" t="s">
        <v>47</v>
      </c>
      <c r="J13" s="96"/>
      <c r="K13" s="96"/>
      <c r="L13" s="96"/>
    </row>
    <row r="14" spans="2:12" s="98" customFormat="1" x14ac:dyDescent="0.2">
      <c r="C14" s="95"/>
      <c r="D14" s="96"/>
      <c r="E14" s="96"/>
      <c r="F14" s="96"/>
      <c r="G14" s="97"/>
      <c r="H14" s="96" t="s">
        <v>44</v>
      </c>
      <c r="I14" s="96" t="s">
        <v>133</v>
      </c>
      <c r="J14" s="96"/>
      <c r="K14" s="96"/>
      <c r="L14" s="96"/>
    </row>
    <row r="15" spans="2:12" s="98" customFormat="1" x14ac:dyDescent="0.2">
      <c r="C15" s="95"/>
      <c r="D15" s="96"/>
      <c r="E15" s="96"/>
      <c r="F15" s="96"/>
      <c r="G15" s="97"/>
      <c r="H15" s="96"/>
      <c r="I15" s="96" t="s">
        <v>11</v>
      </c>
      <c r="J15" s="96"/>
      <c r="K15" s="96"/>
      <c r="L15" s="96"/>
    </row>
    <row r="16" spans="2:12" s="98" customFormat="1" x14ac:dyDescent="0.2">
      <c r="C16" s="95"/>
      <c r="D16" s="96"/>
      <c r="E16" s="96"/>
      <c r="F16" s="96"/>
      <c r="G16" s="97"/>
      <c r="H16" s="96"/>
      <c r="I16" s="96" t="s">
        <v>51</v>
      </c>
      <c r="J16" s="96"/>
      <c r="K16" s="96"/>
      <c r="L16" s="96"/>
    </row>
    <row r="17" spans="3:24" s="98" customFormat="1" x14ac:dyDescent="0.2">
      <c r="C17" s="95"/>
      <c r="D17" s="96"/>
      <c r="E17" s="96"/>
      <c r="F17" s="96"/>
      <c r="G17" s="97"/>
      <c r="H17" s="96"/>
      <c r="I17" s="96" t="s">
        <v>52</v>
      </c>
      <c r="J17" s="96"/>
      <c r="K17" s="96"/>
      <c r="L17" s="96"/>
    </row>
    <row r="18" spans="3:24" s="98" customFormat="1" x14ac:dyDescent="0.2">
      <c r="C18" s="95"/>
      <c r="D18" s="96"/>
      <c r="E18" s="96"/>
      <c r="F18" s="96"/>
      <c r="G18" s="97"/>
      <c r="H18" s="96"/>
      <c r="I18" s="96"/>
      <c r="J18" s="96"/>
      <c r="K18" s="96"/>
      <c r="L18" s="96"/>
    </row>
    <row r="19" spans="3:24" s="98" customFormat="1" x14ac:dyDescent="0.2"/>
    <row r="21" spans="3:24" ht="25.5" x14ac:dyDescent="0.25">
      <c r="C21" s="95"/>
      <c r="D21" s="96"/>
      <c r="E21" s="96"/>
      <c r="F21" s="96"/>
      <c r="G21" s="97"/>
      <c r="H21" s="96"/>
      <c r="I21" s="96" t="s">
        <v>141</v>
      </c>
      <c r="J21" s="96" t="s">
        <v>277</v>
      </c>
      <c r="K21" s="96" t="s">
        <v>139</v>
      </c>
      <c r="L21" s="96" t="s">
        <v>225</v>
      </c>
      <c r="N21" s="317"/>
      <c r="O21" s="318" t="s">
        <v>247</v>
      </c>
      <c r="P21" s="318" t="s">
        <v>41</v>
      </c>
      <c r="Q21" s="319" t="s">
        <v>2</v>
      </c>
      <c r="R21" s="319" t="s">
        <v>60</v>
      </c>
      <c r="S21" s="319" t="s">
        <v>42</v>
      </c>
      <c r="T21" s="319" t="s">
        <v>223</v>
      </c>
      <c r="U21" s="319" t="s">
        <v>32</v>
      </c>
      <c r="V21" s="319" t="s">
        <v>43</v>
      </c>
      <c r="W21" s="319" t="s">
        <v>236</v>
      </c>
      <c r="X21" s="319" t="s">
        <v>142</v>
      </c>
    </row>
    <row r="22" spans="3:24" ht="15" x14ac:dyDescent="0.25">
      <c r="C22" s="84" t="str">
        <f>'CF (Equity, Debt)'!C4</f>
        <v>Jollychic Holding Limited</v>
      </c>
      <c r="D22" s="85">
        <f>'CF (Equity, Debt)'!D4</f>
        <v>43470</v>
      </c>
      <c r="E22" s="93">
        <f>'CF (Equity, Debt)'!E4</f>
        <v>-30</v>
      </c>
      <c r="F22" s="93"/>
      <c r="I22" s="93">
        <f>IF(ISERROR(VLOOKUP($C22,$I$9:$I$18,1,0)),0,1)*E22</f>
        <v>-30</v>
      </c>
      <c r="J22" s="93">
        <f>IF(ISERROR(VLOOKUP($C22,$I$9:$I$18,1,0)),0,1)*F22</f>
        <v>0</v>
      </c>
      <c r="K22" s="93">
        <f>IF(ISERROR(VLOOKUP($C22,$I$9:$I$18,1,0)),0,1)*G22</f>
        <v>0</v>
      </c>
      <c r="L22" s="93">
        <f>SUM(I22:K22)</f>
        <v>-30</v>
      </c>
      <c r="N22" s="317"/>
      <c r="O22" s="177"/>
      <c r="P22" s="177"/>
      <c r="Q22" s="177"/>
      <c r="R22" s="177"/>
      <c r="S22" s="177"/>
      <c r="T22" s="177"/>
      <c r="U22" s="177"/>
      <c r="V22" s="177"/>
      <c r="W22" s="177"/>
      <c r="X22" s="177"/>
    </row>
    <row r="23" spans="3:24" ht="15" x14ac:dyDescent="0.25">
      <c r="C23" s="84" t="str">
        <f>'CF (Equity, Debt)'!C5</f>
        <v>Jollychic Holding Limited</v>
      </c>
      <c r="D23" s="85">
        <f>'CF (Equity, Debt)'!D5</f>
        <v>43724</v>
      </c>
      <c r="E23" s="93">
        <f>'CF (Equity, Debt)'!E5</f>
        <v>-20</v>
      </c>
      <c r="F23" s="93"/>
      <c r="I23" s="93">
        <f t="shared" ref="I23:I64" si="0">IF(ISERROR(VLOOKUP($C23,$I$9:$I$18,1,0)),0,1)*E23</f>
        <v>-20</v>
      </c>
      <c r="J23" s="93">
        <f t="shared" ref="J23:J64" si="1">IF(ISERROR(VLOOKUP($C23,$I$9:$I$18,1,0)),0,1)*F23</f>
        <v>0</v>
      </c>
      <c r="K23" s="93">
        <f t="shared" ref="K23:K64" si="2">IF(ISERROR(VLOOKUP($C23,$I$9:$I$18,1,0)),0,1)*G23</f>
        <v>0</v>
      </c>
      <c r="L23" s="93">
        <f t="shared" ref="L23:L64" si="3">SUM(I23:K23)</f>
        <v>-20</v>
      </c>
      <c r="N23" s="324"/>
      <c r="O23" s="177">
        <f>COUNTIF(I9:I17,"*")</f>
        <v>9</v>
      </c>
      <c r="P23" s="329">
        <f>Q23</f>
        <v>379.99397987284391</v>
      </c>
      <c r="Q23" s="329">
        <f>-SUM(I22:I64)</f>
        <v>379.99397987284391</v>
      </c>
      <c r="R23" s="331">
        <f>P23-Q23</f>
        <v>0</v>
      </c>
      <c r="S23" s="329">
        <f>SUM(J22:J64)</f>
        <v>5</v>
      </c>
      <c r="T23" s="329" t="e">
        <f>SUM(K22:K64)</f>
        <v>#VALUE!</v>
      </c>
      <c r="U23" s="332" t="e">
        <f>J70</f>
        <v>#VALUE!</v>
      </c>
      <c r="V23" s="333" t="e">
        <f>J71</f>
        <v>#VALUE!</v>
      </c>
      <c r="W23" s="333" t="e">
        <f>J72</f>
        <v>#VALUE!</v>
      </c>
      <c r="X23" s="333">
        <f>J73</f>
        <v>1.3158103193300939E-2</v>
      </c>
    </row>
    <row r="24" spans="3:24" x14ac:dyDescent="0.2">
      <c r="C24" s="84" t="str">
        <f>'CF (Equity, Debt)'!C6</f>
        <v>Jollychic Holding Limited</v>
      </c>
      <c r="D24" s="85">
        <f>'CF (Equity, Debt)'!D6</f>
        <v>43724</v>
      </c>
      <c r="E24" s="93">
        <f>'CF (Equity, Debt)'!E6</f>
        <v>-15</v>
      </c>
      <c r="F24" s="93"/>
      <c r="I24" s="93">
        <f t="shared" si="0"/>
        <v>-15</v>
      </c>
      <c r="J24" s="93">
        <f t="shared" si="1"/>
        <v>0</v>
      </c>
      <c r="K24" s="93">
        <f t="shared" si="2"/>
        <v>0</v>
      </c>
      <c r="L24" s="93">
        <f t="shared" si="3"/>
        <v>-15</v>
      </c>
    </row>
    <row r="25" spans="3:24" x14ac:dyDescent="0.2">
      <c r="C25" s="86" t="str">
        <f>'CF (Equity, Debt)'!C7</f>
        <v>Mena Mobile Inc</v>
      </c>
      <c r="D25" s="87">
        <f>'CF (Equity, Debt)'!D7</f>
        <v>43563</v>
      </c>
      <c r="E25" s="94">
        <f>'CF (Equity, Debt)'!E7</f>
        <v>-8</v>
      </c>
      <c r="F25" s="94"/>
      <c r="I25" s="93">
        <f t="shared" si="0"/>
        <v>-8</v>
      </c>
      <c r="J25" s="93">
        <f t="shared" si="1"/>
        <v>0</v>
      </c>
      <c r="K25" s="93">
        <f t="shared" si="2"/>
        <v>0</v>
      </c>
      <c r="L25" s="93">
        <f t="shared" si="3"/>
        <v>-8</v>
      </c>
    </row>
    <row r="26" spans="3:24" x14ac:dyDescent="0.2">
      <c r="C26" s="84" t="str">
        <f>'CF (Equity, Debt)'!C8</f>
        <v>Flyr Inc</v>
      </c>
      <c r="D26" s="85">
        <f>'CF (Equity, Debt)'!D8</f>
        <v>43570</v>
      </c>
      <c r="E26" s="93">
        <f>'CF (Equity, Debt)'!E8</f>
        <v>-4.9999980900000001</v>
      </c>
      <c r="F26" s="93"/>
      <c r="H26" s="83"/>
      <c r="I26" s="93">
        <f t="shared" si="0"/>
        <v>-4.9999980900000001</v>
      </c>
      <c r="J26" s="93">
        <f t="shared" si="1"/>
        <v>0</v>
      </c>
      <c r="K26" s="93">
        <f t="shared" si="2"/>
        <v>0</v>
      </c>
      <c r="L26" s="93">
        <f t="shared" si="3"/>
        <v>-4.9999980900000001</v>
      </c>
    </row>
    <row r="27" spans="3:24" x14ac:dyDescent="0.2">
      <c r="C27" s="84" t="str">
        <f>'CF (Equity, Debt)'!C9</f>
        <v>Flyr Inc</v>
      </c>
      <c r="D27" s="85">
        <f>'CF (Equity, Debt)'!D9</f>
        <v>43915</v>
      </c>
      <c r="E27" s="93">
        <f>'CF (Equity, Debt)'!E9</f>
        <v>-5.0000019099999999</v>
      </c>
      <c r="F27" s="93"/>
      <c r="H27" s="83"/>
      <c r="I27" s="93">
        <f t="shared" si="0"/>
        <v>-5.0000019099999999</v>
      </c>
      <c r="J27" s="93">
        <f t="shared" si="1"/>
        <v>0</v>
      </c>
      <c r="K27" s="93">
        <f t="shared" si="2"/>
        <v>0</v>
      </c>
      <c r="L27" s="93">
        <f t="shared" si="3"/>
        <v>-5.0000019099999999</v>
      </c>
    </row>
    <row r="28" spans="3:24" x14ac:dyDescent="0.2">
      <c r="C28" s="86" t="str">
        <f>'CF (Equity, Debt)'!C10</f>
        <v xml:space="preserve">Esyasoft Holding </v>
      </c>
      <c r="D28" s="87">
        <f>'CF (Equity, Debt)'!D10</f>
        <v>43870</v>
      </c>
      <c r="E28" s="94">
        <f>'CF (Equity, Debt)'!E10</f>
        <v>-2.5</v>
      </c>
      <c r="F28" s="94"/>
      <c r="I28" s="93">
        <f t="shared" si="0"/>
        <v>-2.5</v>
      </c>
      <c r="J28" s="93">
        <f t="shared" si="1"/>
        <v>0</v>
      </c>
      <c r="K28" s="93">
        <f t="shared" si="2"/>
        <v>0</v>
      </c>
      <c r="L28" s="93">
        <f t="shared" si="3"/>
        <v>-2.5</v>
      </c>
    </row>
    <row r="29" spans="3:24" x14ac:dyDescent="0.2">
      <c r="C29" s="84" t="str">
        <f>'CF (Equity, Debt)'!C11</f>
        <v>Beyond Limits</v>
      </c>
      <c r="D29" s="85">
        <f>'CF (Equity, Debt)'!D11</f>
        <v>43879</v>
      </c>
      <c r="E29" s="93">
        <f>'CF (Equity, Debt)'!E11</f>
        <v>-20</v>
      </c>
      <c r="F29" s="93"/>
      <c r="I29" s="93">
        <f t="shared" si="0"/>
        <v>-20</v>
      </c>
      <c r="J29" s="93">
        <f t="shared" si="1"/>
        <v>0</v>
      </c>
      <c r="K29" s="93">
        <f t="shared" si="2"/>
        <v>0</v>
      </c>
      <c r="L29" s="93">
        <f t="shared" si="3"/>
        <v>-20</v>
      </c>
    </row>
    <row r="30" spans="3:24" x14ac:dyDescent="0.2">
      <c r="C30" s="84" t="str">
        <f>'CF (Equity, Debt)'!C12</f>
        <v>Beyond Limits</v>
      </c>
      <c r="D30" s="85">
        <f>'CF (Equity, Debt)'!D12</f>
        <v>43921</v>
      </c>
      <c r="E30" s="93">
        <f>'CF (Equity, Debt)'!E12</f>
        <v>-30</v>
      </c>
      <c r="F30" s="93"/>
      <c r="I30" s="93">
        <f t="shared" si="0"/>
        <v>-30</v>
      </c>
      <c r="J30" s="93">
        <f t="shared" si="1"/>
        <v>0</v>
      </c>
      <c r="K30" s="93">
        <f t="shared" si="2"/>
        <v>0</v>
      </c>
      <c r="L30" s="93">
        <f t="shared" si="3"/>
        <v>-30</v>
      </c>
    </row>
    <row r="31" spans="3:24" x14ac:dyDescent="0.2">
      <c r="C31" s="84" t="str">
        <f>'CF (Equity, Debt)'!C13</f>
        <v>Beyond Limits</v>
      </c>
      <c r="D31" s="85">
        <f>'CF (Equity, Debt)'!D13</f>
        <v>43989</v>
      </c>
      <c r="E31" s="93">
        <f>'CF (Equity, Debt)'!E13</f>
        <v>-30</v>
      </c>
      <c r="F31" s="93"/>
      <c r="I31" s="93">
        <f t="shared" si="0"/>
        <v>-30</v>
      </c>
      <c r="J31" s="93">
        <f t="shared" si="1"/>
        <v>0</v>
      </c>
      <c r="K31" s="93">
        <f t="shared" si="2"/>
        <v>0</v>
      </c>
      <c r="L31" s="93">
        <f t="shared" si="3"/>
        <v>-30</v>
      </c>
    </row>
    <row r="32" spans="3:24" s="88" customFormat="1" x14ac:dyDescent="0.2">
      <c r="C32" s="84" t="str">
        <f>'CF (Equity, Debt)'!C14</f>
        <v>Beyond Limits</v>
      </c>
      <c r="D32" s="85">
        <f>'CF (Equity, Debt)'!D14</f>
        <v>44103</v>
      </c>
      <c r="E32" s="93">
        <f>'CF (Equity, Debt)'!E14</f>
        <v>-10</v>
      </c>
      <c r="F32" s="93"/>
      <c r="G32" s="83"/>
      <c r="I32" s="93">
        <f t="shared" si="0"/>
        <v>-10</v>
      </c>
      <c r="J32" s="93">
        <f t="shared" si="1"/>
        <v>0</v>
      </c>
      <c r="K32" s="93">
        <f t="shared" si="2"/>
        <v>0</v>
      </c>
      <c r="L32" s="93">
        <f t="shared" si="3"/>
        <v>-10</v>
      </c>
    </row>
    <row r="33" spans="3:12" s="88" customFormat="1" x14ac:dyDescent="0.2">
      <c r="C33" s="86" t="str">
        <f>'CF (Equity, Debt)'!C15</f>
        <v>ONT plc</v>
      </c>
      <c r="D33" s="87">
        <f>'CF (Equity, Debt)'!D15</f>
        <v>43968</v>
      </c>
      <c r="E33" s="94">
        <f>'CF (Equity, Debt)'!E15</f>
        <v>-50</v>
      </c>
      <c r="F33" s="94"/>
      <c r="G33" s="83"/>
      <c r="I33" s="93">
        <f t="shared" si="0"/>
        <v>-50</v>
      </c>
      <c r="J33" s="93">
        <f t="shared" si="1"/>
        <v>0</v>
      </c>
      <c r="K33" s="93">
        <f t="shared" si="2"/>
        <v>0</v>
      </c>
      <c r="L33" s="93">
        <f t="shared" si="3"/>
        <v>-50</v>
      </c>
    </row>
    <row r="34" spans="3:12" s="88" customFormat="1" x14ac:dyDescent="0.2">
      <c r="C34" s="86" t="str">
        <f>'CF (Equity, Debt)'!C16</f>
        <v>ONT plc</v>
      </c>
      <c r="D34" s="87">
        <f>'CF (Equity, Debt)'!D16</f>
        <v>44006</v>
      </c>
      <c r="E34" s="94">
        <f>'CF (Equity, Debt)'!E16</f>
        <v>-27.268350856443721</v>
      </c>
      <c r="F34" s="94"/>
      <c r="G34" s="83"/>
      <c r="I34" s="93">
        <f t="shared" si="0"/>
        <v>-27.268350856443721</v>
      </c>
      <c r="J34" s="93">
        <f t="shared" si="1"/>
        <v>0</v>
      </c>
      <c r="K34" s="93">
        <f t="shared" si="2"/>
        <v>0</v>
      </c>
      <c r="L34" s="93">
        <f t="shared" si="3"/>
        <v>-27.268350856443721</v>
      </c>
    </row>
    <row r="35" spans="3:12" s="88" customFormat="1" x14ac:dyDescent="0.2">
      <c r="C35" s="86" t="str">
        <f>'CF (Equity, Debt)'!C17</f>
        <v>ONT plc</v>
      </c>
      <c r="D35" s="87">
        <f>'CF (Equity, Debt)'!D17</f>
        <v>43837</v>
      </c>
      <c r="E35" s="94">
        <f>'CF (Equity, Debt)'!E17</f>
        <v>-18.109441299619355</v>
      </c>
      <c r="F35" s="94"/>
      <c r="G35" s="83"/>
      <c r="I35" s="93">
        <f t="shared" si="0"/>
        <v>-18.109441299619355</v>
      </c>
      <c r="J35" s="93">
        <f t="shared" si="1"/>
        <v>0</v>
      </c>
      <c r="K35" s="93">
        <f t="shared" si="2"/>
        <v>0</v>
      </c>
      <c r="L35" s="93">
        <f t="shared" si="3"/>
        <v>-18.109441299619355</v>
      </c>
    </row>
    <row r="36" spans="3:12" s="88" customFormat="1" x14ac:dyDescent="0.2">
      <c r="C36" s="86" t="str">
        <f>'CF (Equity, Debt)'!C18</f>
        <v>ONT plc</v>
      </c>
      <c r="D36" s="87">
        <f>'CF (Equity, Debt)'!D18</f>
        <v>43990</v>
      </c>
      <c r="E36" s="94">
        <f>'CF (Equity, Debt)'!E18</f>
        <v>-34.851687094159864</v>
      </c>
      <c r="F36" s="94"/>
      <c r="G36" s="83"/>
      <c r="I36" s="93">
        <f t="shared" si="0"/>
        <v>-34.851687094159864</v>
      </c>
      <c r="J36" s="93">
        <f t="shared" si="1"/>
        <v>0</v>
      </c>
      <c r="K36" s="93">
        <f t="shared" si="2"/>
        <v>0</v>
      </c>
      <c r="L36" s="93">
        <f t="shared" si="3"/>
        <v>-34.851687094159864</v>
      </c>
    </row>
    <row r="37" spans="3:12" s="88" customFormat="1" x14ac:dyDescent="0.2">
      <c r="C37" s="86" t="str">
        <f>'CF (Equity, Debt)'!C19</f>
        <v>ONT plc</v>
      </c>
      <c r="D37" s="87">
        <f>'CF (Equity, Debt)'!D19</f>
        <v>44315</v>
      </c>
      <c r="E37" s="94">
        <f>'CF (Equity, Debt)'!E19</f>
        <v>-11.240780424143557</v>
      </c>
      <c r="F37" s="94"/>
      <c r="G37" s="83"/>
      <c r="I37" s="93">
        <f t="shared" si="0"/>
        <v>-11.240780424143557</v>
      </c>
      <c r="J37" s="93">
        <f t="shared" si="1"/>
        <v>0</v>
      </c>
      <c r="K37" s="93">
        <f t="shared" si="2"/>
        <v>0</v>
      </c>
      <c r="L37" s="93">
        <f t="shared" si="3"/>
        <v>-11.240780424143557</v>
      </c>
    </row>
    <row r="38" spans="3:12" s="88" customFormat="1" x14ac:dyDescent="0.2">
      <c r="C38" s="84" t="str">
        <f>'CF (Equity, Debt)'!C20</f>
        <v>Heygears</v>
      </c>
      <c r="D38" s="85">
        <f>'CF (Equity, Debt)'!D20</f>
        <v>44166</v>
      </c>
      <c r="E38" s="93">
        <f>'CF (Equity, Debt)'!E20</f>
        <v>-60</v>
      </c>
      <c r="F38" s="93"/>
      <c r="G38" s="83"/>
      <c r="I38" s="93">
        <f t="shared" si="0"/>
        <v>-60</v>
      </c>
      <c r="J38" s="93">
        <f t="shared" si="1"/>
        <v>0</v>
      </c>
      <c r="K38" s="93">
        <f t="shared" si="2"/>
        <v>0</v>
      </c>
      <c r="L38" s="93">
        <f t="shared" si="3"/>
        <v>-60</v>
      </c>
    </row>
    <row r="39" spans="3:12" s="88" customFormat="1" x14ac:dyDescent="0.2">
      <c r="C39" s="86" t="str">
        <f>'CF (Equity, Debt)'!C21</f>
        <v>Jysan Technologies</v>
      </c>
      <c r="D39" s="87">
        <f>'CF (Equity, Debt)'!D21</f>
        <v>44363</v>
      </c>
      <c r="E39" s="94">
        <f>'CF (Equity, Debt)'!E21</f>
        <v>-20</v>
      </c>
      <c r="F39" s="94"/>
      <c r="G39" s="83"/>
      <c r="H39" s="94">
        <f>E39</f>
        <v>-20</v>
      </c>
      <c r="I39" s="93">
        <f t="shared" si="0"/>
        <v>0</v>
      </c>
      <c r="J39" s="93">
        <f t="shared" si="1"/>
        <v>0</v>
      </c>
      <c r="K39" s="93">
        <f t="shared" si="2"/>
        <v>0</v>
      </c>
      <c r="L39" s="93">
        <f t="shared" si="3"/>
        <v>0</v>
      </c>
    </row>
    <row r="40" spans="3:12" s="88" customFormat="1" x14ac:dyDescent="0.2">
      <c r="C40" s="84" t="str">
        <f>'CF (Equity, Debt)'!C22</f>
        <v>Cerebras Systems Inc</v>
      </c>
      <c r="D40" s="85">
        <f>'CF (Equity, Debt)'!D22</f>
        <v>44488</v>
      </c>
      <c r="E40" s="93">
        <f>'CF (Equity, Debt)'!E22</f>
        <v>-39.999983359999995</v>
      </c>
      <c r="F40" s="93"/>
      <c r="G40" s="83"/>
      <c r="H40" s="93">
        <f>E40</f>
        <v>-39.999983359999995</v>
      </c>
      <c r="I40" s="93">
        <f t="shared" si="0"/>
        <v>0</v>
      </c>
      <c r="J40" s="93">
        <f t="shared" si="1"/>
        <v>0</v>
      </c>
      <c r="K40" s="93">
        <f t="shared" si="2"/>
        <v>0</v>
      </c>
      <c r="L40" s="93">
        <f t="shared" si="3"/>
        <v>0</v>
      </c>
    </row>
    <row r="41" spans="3:12" s="88" customFormat="1" x14ac:dyDescent="0.2">
      <c r="C41" s="86" t="str">
        <f>'CF (Equity, Debt)'!C23</f>
        <v>Endless Studios LLC</v>
      </c>
      <c r="D41" s="87">
        <f>'CF (Equity, Debt)'!D23</f>
        <v>44494</v>
      </c>
      <c r="E41" s="94">
        <f>'CF (Equity, Debt)'!E23</f>
        <v>-3</v>
      </c>
      <c r="F41" s="94"/>
      <c r="G41" s="83"/>
      <c r="H41" s="93"/>
      <c r="I41" s="93">
        <f t="shared" si="0"/>
        <v>-3</v>
      </c>
      <c r="J41" s="93">
        <f t="shared" si="1"/>
        <v>0</v>
      </c>
      <c r="K41" s="93">
        <f t="shared" si="2"/>
        <v>0</v>
      </c>
      <c r="L41" s="93">
        <f>SUM(I41:K41)</f>
        <v>-3</v>
      </c>
    </row>
    <row r="42" spans="3:12" s="88" customFormat="1" x14ac:dyDescent="0.2">
      <c r="C42" s="84" t="str">
        <f>'CF (Equity, Debt)'!C24</f>
        <v>Instadeep Limited</v>
      </c>
      <c r="D42" s="85">
        <f>'CF (Equity, Debt)'!D24</f>
        <v>44550</v>
      </c>
      <c r="E42" s="93">
        <f>'CF (Equity, Debt)'!E24</f>
        <v>-5.0237201984774336</v>
      </c>
      <c r="F42" s="93"/>
      <c r="G42" s="83"/>
      <c r="H42" s="93"/>
      <c r="I42" s="93">
        <f t="shared" si="0"/>
        <v>-5.0237201984774336</v>
      </c>
      <c r="J42" s="93">
        <f t="shared" si="1"/>
        <v>0</v>
      </c>
      <c r="K42" s="93">
        <f t="shared" si="2"/>
        <v>0</v>
      </c>
      <c r="L42" s="93">
        <f>SUM(I42:K42)</f>
        <v>-5.0237201984774336</v>
      </c>
    </row>
    <row r="43" spans="3:12" s="88" customFormat="1" x14ac:dyDescent="0.2">
      <c r="C43" s="86" t="str">
        <f>'CF (Equity, Debt)'!C25</f>
        <v>X-fusion</v>
      </c>
      <c r="D43" s="87">
        <f>'CF (Equity, Debt)'!D25</f>
        <v>44574</v>
      </c>
      <c r="E43" s="94">
        <f>'CF (Equity, Debt)'!E25</f>
        <v>-493.50095619999996</v>
      </c>
      <c r="F43" s="94"/>
      <c r="G43" s="83"/>
      <c r="H43" s="94">
        <f>E43</f>
        <v>-493.50095619999996</v>
      </c>
      <c r="I43" s="93">
        <f t="shared" si="0"/>
        <v>0</v>
      </c>
      <c r="J43" s="93">
        <f t="shared" si="1"/>
        <v>0</v>
      </c>
      <c r="K43" s="93">
        <f t="shared" si="2"/>
        <v>0</v>
      </c>
      <c r="L43" s="93">
        <f t="shared" si="3"/>
        <v>0</v>
      </c>
    </row>
    <row r="44" spans="3:12" s="88" customFormat="1" x14ac:dyDescent="0.2">
      <c r="C44" s="84" t="str">
        <f>'CF (Equity, Debt)'!C26</f>
        <v>DriveNets</v>
      </c>
      <c r="D44" s="85">
        <f>'CF (Equity, Debt)'!D26</f>
        <v>44643</v>
      </c>
      <c r="E44" s="93">
        <f>'CF (Equity, Debt)'!E26</f>
        <v>-200</v>
      </c>
      <c r="F44" s="93"/>
      <c r="G44" s="83"/>
      <c r="H44" s="93">
        <f>E44</f>
        <v>-200</v>
      </c>
      <c r="I44" s="93">
        <f t="shared" si="0"/>
        <v>0</v>
      </c>
      <c r="J44" s="93">
        <f t="shared" si="1"/>
        <v>0</v>
      </c>
      <c r="K44" s="93">
        <f t="shared" si="2"/>
        <v>0</v>
      </c>
      <c r="L44" s="93">
        <f t="shared" si="3"/>
        <v>0</v>
      </c>
    </row>
    <row r="45" spans="3:12" s="88" customFormat="1" x14ac:dyDescent="0.2">
      <c r="C45" s="84" t="str">
        <f>'CF (Equity, Debt)'!C27</f>
        <v>DriveNets</v>
      </c>
      <c r="D45" s="85">
        <f>'CF (Equity, Debt)'!D27</f>
        <v>44680</v>
      </c>
      <c r="E45" s="93">
        <f>'CF (Equity, Debt)'!E27</f>
        <v>-100</v>
      </c>
      <c r="F45" s="93"/>
      <c r="G45" s="83"/>
      <c r="H45" s="93">
        <f>E45</f>
        <v>-100</v>
      </c>
      <c r="I45" s="93">
        <f t="shared" si="0"/>
        <v>0</v>
      </c>
      <c r="J45" s="93">
        <f t="shared" si="1"/>
        <v>0</v>
      </c>
      <c r="K45" s="93">
        <f t="shared" si="2"/>
        <v>0</v>
      </c>
      <c r="L45" s="93">
        <f t="shared" si="3"/>
        <v>0</v>
      </c>
    </row>
    <row r="46" spans="3:12" s="88" customFormat="1" x14ac:dyDescent="0.2">
      <c r="C46" s="86" t="str">
        <f>'CF (Equity, Debt)'!C28</f>
        <v xml:space="preserve">Esyasoft Holding </v>
      </c>
      <c r="D46" s="87">
        <f>'CF (Equity, Debt)'!D28</f>
        <v>44691</v>
      </c>
      <c r="E46" s="94">
        <f>'CF (Equity, Debt)'!E28</f>
        <v>0</v>
      </c>
      <c r="F46" s="94">
        <v>5</v>
      </c>
      <c r="G46" s="83"/>
      <c r="I46" s="93">
        <f>IF(ISERROR(VLOOKUP($C46,$I$9:$I$18,1,0)),0,1)*F46</f>
        <v>5</v>
      </c>
      <c r="J46" s="93">
        <f t="shared" si="1"/>
        <v>5</v>
      </c>
      <c r="K46" s="93">
        <f t="shared" si="2"/>
        <v>0</v>
      </c>
      <c r="L46" s="93">
        <f t="shared" si="3"/>
        <v>10</v>
      </c>
    </row>
    <row r="47" spans="3:12" s="88" customFormat="1" x14ac:dyDescent="0.2">
      <c r="C47" s="86" t="str">
        <f>'CF (Equity, Debt)'!C29</f>
        <v>vTv Therapeutics Inc.</v>
      </c>
      <c r="D47" s="87">
        <f>'CF (Equity, Debt)'!D29</f>
        <v>44712</v>
      </c>
      <c r="E47" s="94">
        <f>'CF (Equity, Debt)'!E29</f>
        <v>-12.5</v>
      </c>
      <c r="F47" s="94"/>
      <c r="G47" s="83"/>
      <c r="H47" s="94">
        <f>E47</f>
        <v>-12.5</v>
      </c>
      <c r="I47" s="93">
        <f t="shared" si="0"/>
        <v>0</v>
      </c>
      <c r="J47" s="93">
        <f t="shared" si="1"/>
        <v>0</v>
      </c>
      <c r="K47" s="93">
        <f t="shared" si="2"/>
        <v>0</v>
      </c>
      <c r="L47" s="93">
        <f t="shared" si="3"/>
        <v>0</v>
      </c>
    </row>
    <row r="48" spans="3:12" x14ac:dyDescent="0.2">
      <c r="C48" s="84" t="str">
        <f>'CF (Equity, Debt)'!C30</f>
        <v>Honor Device Co Ltd</v>
      </c>
      <c r="D48" s="85">
        <f>'CF (Equity, Debt)'!D30</f>
        <v>44769</v>
      </c>
      <c r="E48" s="93">
        <f>'CF (Equity, Debt)'!E30</f>
        <v>-600</v>
      </c>
      <c r="F48" s="93"/>
      <c r="H48" s="93">
        <f>E48</f>
        <v>-600</v>
      </c>
      <c r="I48" s="93">
        <f t="shared" si="0"/>
        <v>0</v>
      </c>
      <c r="J48" s="93">
        <f t="shared" si="1"/>
        <v>0</v>
      </c>
      <c r="K48" s="93">
        <f t="shared" si="2"/>
        <v>0</v>
      </c>
      <c r="L48" s="93">
        <f t="shared" si="3"/>
        <v>0</v>
      </c>
    </row>
    <row r="49" spans="2:12" x14ac:dyDescent="0.2">
      <c r="I49" s="93">
        <f t="shared" si="0"/>
        <v>0</v>
      </c>
      <c r="J49" s="93">
        <f t="shared" si="1"/>
        <v>0</v>
      </c>
      <c r="K49" s="93">
        <f t="shared" si="2"/>
        <v>0</v>
      </c>
      <c r="L49" s="93">
        <f t="shared" si="3"/>
        <v>0</v>
      </c>
    </row>
    <row r="50" spans="2:12" x14ac:dyDescent="0.2">
      <c r="B50" s="88">
        <v>1</v>
      </c>
      <c r="C50" s="86" t="s">
        <v>57</v>
      </c>
      <c r="D50" s="87">
        <v>44742</v>
      </c>
      <c r="G50" s="94" t="str">
        <f>VLOOKUP(C50,NAV!$B$9:$E$41,3,0)</f>
        <v>C+ Prefs</v>
      </c>
      <c r="I50" s="93">
        <f t="shared" si="0"/>
        <v>0</v>
      </c>
      <c r="J50" s="93">
        <f t="shared" si="1"/>
        <v>0</v>
      </c>
      <c r="K50" s="93" t="e">
        <f t="shared" si="2"/>
        <v>#VALUE!</v>
      </c>
      <c r="L50" s="93" t="e">
        <f t="shared" si="3"/>
        <v>#VALUE!</v>
      </c>
    </row>
    <row r="51" spans="2:12" x14ac:dyDescent="0.2">
      <c r="B51" s="88">
        <v>1</v>
      </c>
      <c r="C51" s="84" t="s">
        <v>0</v>
      </c>
      <c r="D51" s="85">
        <v>44742</v>
      </c>
      <c r="G51" s="93" t="str">
        <f>VLOOKUP(C51,NAV!$B$9:$E$41,3,0)</f>
        <v>B Prefs</v>
      </c>
      <c r="I51" s="93">
        <f t="shared" si="0"/>
        <v>0</v>
      </c>
      <c r="J51" s="93">
        <f t="shared" si="1"/>
        <v>0</v>
      </c>
      <c r="K51" s="93" t="e">
        <f t="shared" si="2"/>
        <v>#VALUE!</v>
      </c>
      <c r="L51" s="93" t="e">
        <f t="shared" si="3"/>
        <v>#VALUE!</v>
      </c>
    </row>
    <row r="52" spans="2:12" x14ac:dyDescent="0.2">
      <c r="B52" s="88">
        <v>1</v>
      </c>
      <c r="C52" s="86" t="s">
        <v>48</v>
      </c>
      <c r="D52" s="87">
        <v>44742</v>
      </c>
      <c r="G52" s="94" t="str">
        <f>VLOOKUP(C52,NAV!$B$9:$E$41,3,0)</f>
        <v>B-1,2 Prefs</v>
      </c>
      <c r="H52" s="83"/>
      <c r="I52" s="93">
        <f t="shared" si="0"/>
        <v>0</v>
      </c>
      <c r="J52" s="93">
        <f t="shared" si="1"/>
        <v>0</v>
      </c>
      <c r="K52" s="93" t="e">
        <f t="shared" si="2"/>
        <v>#VALUE!</v>
      </c>
      <c r="L52" s="93" t="e">
        <f t="shared" si="3"/>
        <v>#VALUE!</v>
      </c>
    </row>
    <row r="53" spans="2:12" x14ac:dyDescent="0.2">
      <c r="B53" s="88">
        <v>1</v>
      </c>
      <c r="C53" s="84" t="s">
        <v>49</v>
      </c>
      <c r="D53" s="85">
        <v>44742</v>
      </c>
      <c r="G53" s="93" t="str">
        <f>VLOOKUP(C53,NAV!$B$9:$E$41,3,0)</f>
        <v>Convertible Note</v>
      </c>
      <c r="I53" s="93">
        <f t="shared" si="0"/>
        <v>0</v>
      </c>
      <c r="J53" s="93">
        <f t="shared" si="1"/>
        <v>0</v>
      </c>
      <c r="K53" s="93" t="e">
        <f t="shared" si="2"/>
        <v>#VALUE!</v>
      </c>
      <c r="L53" s="93" t="e">
        <f t="shared" si="3"/>
        <v>#VALUE!</v>
      </c>
    </row>
    <row r="54" spans="2:12" x14ac:dyDescent="0.2">
      <c r="B54" s="88">
        <v>1</v>
      </c>
      <c r="C54" s="86" t="s">
        <v>47</v>
      </c>
      <c r="D54" s="87">
        <v>44742</v>
      </c>
      <c r="G54" s="94" t="str">
        <f>VLOOKUP(C54,NAV!$B$9:$E$41,3,0)</f>
        <v>C Prefs</v>
      </c>
      <c r="I54" s="93">
        <f t="shared" si="0"/>
        <v>0</v>
      </c>
      <c r="J54" s="93">
        <f t="shared" si="1"/>
        <v>0</v>
      </c>
      <c r="K54" s="93" t="e">
        <f t="shared" si="2"/>
        <v>#VALUE!</v>
      </c>
      <c r="L54" s="93" t="e">
        <f t="shared" si="3"/>
        <v>#VALUE!</v>
      </c>
    </row>
    <row r="55" spans="2:12" x14ac:dyDescent="0.2">
      <c r="B55" s="88">
        <v>1</v>
      </c>
      <c r="C55" s="84" t="s">
        <v>133</v>
      </c>
      <c r="D55" s="85">
        <v>44742</v>
      </c>
      <c r="G55" s="93" t="str">
        <f>VLOOKUP(C55,NAV!$B$9:$E$41,3,0)</f>
        <v>Ordinary Shares</v>
      </c>
      <c r="I55" s="93">
        <f t="shared" si="0"/>
        <v>0</v>
      </c>
      <c r="J55" s="93">
        <f t="shared" si="1"/>
        <v>0</v>
      </c>
      <c r="K55" s="93" t="e">
        <f t="shared" si="2"/>
        <v>#VALUE!</v>
      </c>
      <c r="L55" s="93" t="e">
        <f t="shared" si="3"/>
        <v>#VALUE!</v>
      </c>
    </row>
    <row r="56" spans="2:12" x14ac:dyDescent="0.2">
      <c r="B56" s="88">
        <v>1</v>
      </c>
      <c r="C56" s="86" t="s">
        <v>11</v>
      </c>
      <c r="D56" s="87">
        <v>44742</v>
      </c>
      <c r="G56" s="94" t="str">
        <f>VLOOKUP(C56,NAV!$B$9:$E$41,3,0)</f>
        <v>Registered Capital</v>
      </c>
      <c r="I56" s="93">
        <f t="shared" si="0"/>
        <v>0</v>
      </c>
      <c r="J56" s="93">
        <f t="shared" si="1"/>
        <v>0</v>
      </c>
      <c r="K56" s="93" t="e">
        <f t="shared" si="2"/>
        <v>#VALUE!</v>
      </c>
      <c r="L56" s="93" t="e">
        <f t="shared" si="3"/>
        <v>#VALUE!</v>
      </c>
    </row>
    <row r="57" spans="2:12" x14ac:dyDescent="0.2">
      <c r="B57" s="88"/>
      <c r="C57" s="84" t="s">
        <v>24</v>
      </c>
      <c r="D57" s="85">
        <v>44742</v>
      </c>
      <c r="G57" s="93" t="str">
        <f>VLOOKUP(C57,NAV!$B$9:$E$41,3,0)</f>
        <v>A (Ordinary Shares)</v>
      </c>
      <c r="H57" s="99" t="str">
        <f>G57</f>
        <v>A (Ordinary Shares)</v>
      </c>
      <c r="I57" s="93">
        <f t="shared" si="0"/>
        <v>0</v>
      </c>
      <c r="J57" s="93">
        <f t="shared" si="1"/>
        <v>0</v>
      </c>
      <c r="K57" s="93" t="e">
        <f t="shared" si="2"/>
        <v>#VALUE!</v>
      </c>
      <c r="L57" s="93" t="e">
        <f t="shared" si="3"/>
        <v>#VALUE!</v>
      </c>
    </row>
    <row r="58" spans="2:12" x14ac:dyDescent="0.2">
      <c r="B58" s="88"/>
      <c r="C58" s="86" t="s">
        <v>50</v>
      </c>
      <c r="D58" s="87">
        <v>44742</v>
      </c>
      <c r="G58" s="94" t="str">
        <f>VLOOKUP(C58,NAV!$B$9:$E$41,3,0)</f>
        <v>F Prefs</v>
      </c>
      <c r="H58" s="99" t="str">
        <f>G58</f>
        <v>F Prefs</v>
      </c>
      <c r="I58" s="93">
        <f t="shared" si="0"/>
        <v>0</v>
      </c>
      <c r="J58" s="93">
        <f t="shared" si="1"/>
        <v>0</v>
      </c>
      <c r="K58" s="93" t="e">
        <f t="shared" si="2"/>
        <v>#VALUE!</v>
      </c>
      <c r="L58" s="93" t="e">
        <f t="shared" si="3"/>
        <v>#VALUE!</v>
      </c>
    </row>
    <row r="59" spans="2:12" x14ac:dyDescent="0.2">
      <c r="B59" s="88">
        <v>1</v>
      </c>
      <c r="C59" s="84" t="s">
        <v>51</v>
      </c>
      <c r="D59" s="85">
        <v>44742</v>
      </c>
      <c r="G59" s="93" t="str">
        <f>VLOOKUP(C59,NAV!$B$9:$E$41,3,0)</f>
        <v>A Pref Units</v>
      </c>
      <c r="I59" s="93">
        <f t="shared" si="0"/>
        <v>0</v>
      </c>
      <c r="J59" s="93">
        <f t="shared" si="1"/>
        <v>0</v>
      </c>
      <c r="K59" s="93" t="e">
        <f t="shared" si="2"/>
        <v>#VALUE!</v>
      </c>
      <c r="L59" s="93" t="e">
        <f t="shared" si="3"/>
        <v>#VALUE!</v>
      </c>
    </row>
    <row r="60" spans="2:12" x14ac:dyDescent="0.2">
      <c r="B60" s="88">
        <v>1</v>
      </c>
      <c r="C60" s="86" t="s">
        <v>52</v>
      </c>
      <c r="D60" s="87">
        <v>44742</v>
      </c>
      <c r="G60" s="94" t="str">
        <f>VLOOKUP(C60,NAV!$B$9:$E$41,3,0)</f>
        <v xml:space="preserve">B Prefs </v>
      </c>
      <c r="H60" s="99" t="str">
        <f>G60</f>
        <v xml:space="preserve">B Prefs </v>
      </c>
      <c r="I60" s="93">
        <f t="shared" si="0"/>
        <v>0</v>
      </c>
      <c r="J60" s="93">
        <f t="shared" si="1"/>
        <v>0</v>
      </c>
      <c r="K60" s="93" t="e">
        <f t="shared" si="2"/>
        <v>#VALUE!</v>
      </c>
      <c r="L60" s="93" t="e">
        <f t="shared" si="3"/>
        <v>#VALUE!</v>
      </c>
    </row>
    <row r="61" spans="2:12" x14ac:dyDescent="0.2">
      <c r="B61" s="88"/>
      <c r="C61" s="84" t="s">
        <v>113</v>
      </c>
      <c r="D61" s="85">
        <v>44742</v>
      </c>
      <c r="G61" s="93" t="str">
        <f>VLOOKUP(C61,NAV!$B$9:$E$41,3,0)</f>
        <v>Equity-TBC</v>
      </c>
      <c r="H61" s="99" t="str">
        <f>G61</f>
        <v>Equity-TBC</v>
      </c>
      <c r="I61" s="93">
        <f t="shared" si="0"/>
        <v>0</v>
      </c>
      <c r="J61" s="93">
        <f t="shared" si="1"/>
        <v>0</v>
      </c>
      <c r="K61" s="93" t="e">
        <f t="shared" si="2"/>
        <v>#VALUE!</v>
      </c>
      <c r="L61" s="93" t="e">
        <f t="shared" si="3"/>
        <v>#VALUE!</v>
      </c>
    </row>
    <row r="62" spans="2:12" x14ac:dyDescent="0.2">
      <c r="B62" s="88"/>
      <c r="C62" s="86" t="s">
        <v>25</v>
      </c>
      <c r="D62" s="87">
        <v>44742</v>
      </c>
      <c r="G62" s="94" t="str">
        <f>VLOOKUP(C62,NAV!$B$9:$E$41,3,0)</f>
        <v>Equity-TBC</v>
      </c>
      <c r="H62" s="99" t="str">
        <f>G62</f>
        <v>Equity-TBC</v>
      </c>
      <c r="I62" s="93">
        <f t="shared" si="0"/>
        <v>0</v>
      </c>
      <c r="J62" s="93">
        <f t="shared" si="1"/>
        <v>0</v>
      </c>
      <c r="K62" s="93" t="e">
        <f t="shared" si="2"/>
        <v>#VALUE!</v>
      </c>
      <c r="L62" s="93" t="e">
        <f t="shared" si="3"/>
        <v>#VALUE!</v>
      </c>
    </row>
    <row r="63" spans="2:12" x14ac:dyDescent="0.2">
      <c r="B63" s="88"/>
      <c r="C63" s="84" t="s">
        <v>134</v>
      </c>
      <c r="D63" s="85">
        <v>44742</v>
      </c>
      <c r="G63" s="93" t="str">
        <f>VLOOKUP(C63,NAV!$B$9:$E$41,3,0)</f>
        <v>Ordinary Shares</v>
      </c>
      <c r="H63" s="99" t="str">
        <f>G63</f>
        <v>Ordinary Shares</v>
      </c>
      <c r="I63" s="93">
        <f t="shared" si="0"/>
        <v>0</v>
      </c>
      <c r="J63" s="93">
        <f t="shared" si="1"/>
        <v>0</v>
      </c>
      <c r="K63" s="93" t="e">
        <f t="shared" si="2"/>
        <v>#VALUE!</v>
      </c>
      <c r="L63" s="93" t="e">
        <f t="shared" si="3"/>
        <v>#VALUE!</v>
      </c>
    </row>
    <row r="64" spans="2:12" x14ac:dyDescent="0.2">
      <c r="B64" s="88"/>
      <c r="C64" s="86" t="s">
        <v>44</v>
      </c>
      <c r="D64" s="87">
        <v>44742</v>
      </c>
      <c r="G64" s="94" t="str">
        <f>VLOOKUP(C64,NAV!$B$9:$E$41,3,0)</f>
        <v>Equity-TBC</v>
      </c>
      <c r="H64" s="99" t="str">
        <f>G64</f>
        <v>Equity-TBC</v>
      </c>
      <c r="I64" s="93">
        <f t="shared" si="0"/>
        <v>0</v>
      </c>
      <c r="J64" s="93">
        <f t="shared" si="1"/>
        <v>0</v>
      </c>
      <c r="K64" s="93" t="e">
        <f t="shared" si="2"/>
        <v>#VALUE!</v>
      </c>
      <c r="L64" s="93" t="e">
        <f t="shared" si="3"/>
        <v>#VALUE!</v>
      </c>
    </row>
    <row r="66" spans="9:12" x14ac:dyDescent="0.2">
      <c r="J66" s="101"/>
      <c r="K66" s="101"/>
      <c r="L66" s="101"/>
    </row>
    <row r="67" spans="9:12" x14ac:dyDescent="0.2">
      <c r="J67" s="100"/>
      <c r="K67" s="100"/>
      <c r="L67" s="100"/>
    </row>
    <row r="68" spans="9:12" x14ac:dyDescent="0.2">
      <c r="J68" s="100"/>
      <c r="K68" s="100"/>
      <c r="L68" s="100"/>
    </row>
    <row r="69" spans="9:12" x14ac:dyDescent="0.2">
      <c r="J69" s="100"/>
      <c r="K69" s="100"/>
      <c r="L69" s="100"/>
    </row>
    <row r="70" spans="9:12" x14ac:dyDescent="0.2">
      <c r="I70" s="83" t="s">
        <v>32</v>
      </c>
      <c r="J70" s="330" t="e">
        <f>XIRR(L22:L64,$D$22:$D$64)</f>
        <v>#VALUE!</v>
      </c>
      <c r="K70" s="101">
        <f>XIRR(I26:I64,$D$26:$D$64)</f>
        <v>2.9802322387695314E-9</v>
      </c>
    </row>
    <row r="71" spans="9:12" x14ac:dyDescent="0.2">
      <c r="I71" s="83" t="s">
        <v>43</v>
      </c>
      <c r="J71" s="100" t="e">
        <f>SUM(J22:K64)/-SUM(I22:I64)</f>
        <v>#VALUE!</v>
      </c>
      <c r="K71" s="100">
        <f ca="1">SUMIF(I$22:I$64,"&gt;0",I$22:I$64)/-SUMIF(I$22:I$64,"&lt;0",I$22:I$48)</f>
        <v>1.2987216064135349E-2</v>
      </c>
    </row>
    <row r="72" spans="9:12" x14ac:dyDescent="0.2">
      <c r="I72" s="83" t="s">
        <v>143</v>
      </c>
      <c r="J72" s="100" t="e">
        <f>SUM(K22:K64)/-SUM(I22:I64)</f>
        <v>#VALUE!</v>
      </c>
      <c r="K72" s="100">
        <f>SUMIF(I$48:I$64,"&gt;0",I$48:I$64)/-SUMIF(I$22:I$48,"&lt;0",I$22:I$48)</f>
        <v>0</v>
      </c>
    </row>
    <row r="73" spans="9:12" x14ac:dyDescent="0.2">
      <c r="I73" s="83" t="s">
        <v>142</v>
      </c>
      <c r="J73" s="100">
        <f>SUM(J22:J64)/-SUM(I22:I64)</f>
        <v>1.3158103193300939E-2</v>
      </c>
      <c r="K73" s="100">
        <f>SUMIF(I$22:I$48,"&gt;0",I$22:I$48)/-SUMIF(I$22:I$48,"&lt;0",I$22:I$48)</f>
        <v>1.2987216064135349E-2</v>
      </c>
    </row>
  </sheetData>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A3" sqref="A3"/>
    </sheetView>
  </sheetViews>
  <sheetFormatPr defaultRowHeight="12.75" x14ac:dyDescent="0.2"/>
  <cols>
    <col min="1" max="1" width="9.140625" style="137"/>
    <col min="2" max="2" width="22.28515625" style="137" bestFit="1" customWidth="1"/>
    <col min="3" max="3" width="9" style="149" customWidth="1"/>
    <col min="4" max="4" width="9.5703125" style="149" customWidth="1"/>
    <col min="5" max="5" width="22.7109375" style="149" customWidth="1"/>
    <col min="6" max="6" width="21.42578125" style="149" customWidth="1"/>
    <col min="7" max="8" width="16.42578125" style="137" customWidth="1"/>
    <col min="9" max="10" width="14" style="137" customWidth="1"/>
    <col min="11" max="12" width="9.140625" style="137"/>
    <col min="13" max="13" width="19" style="388" customWidth="1"/>
    <col min="14" max="17" width="16.140625" style="137" customWidth="1"/>
    <col min="18" max="16384" width="9.140625" style="137"/>
  </cols>
  <sheetData>
    <row r="2" spans="2:18" ht="15" x14ac:dyDescent="0.25">
      <c r="M2" s="79"/>
    </row>
    <row r="3" spans="2:18" s="377" customFormat="1" ht="29.25" customHeight="1" x14ac:dyDescent="0.25">
      <c r="B3" s="386" t="s">
        <v>6</v>
      </c>
      <c r="C3" s="387" t="s">
        <v>56</v>
      </c>
      <c r="D3" s="387" t="s">
        <v>221</v>
      </c>
      <c r="E3" s="387" t="s">
        <v>203</v>
      </c>
      <c r="F3" s="387" t="s">
        <v>124</v>
      </c>
      <c r="G3" s="387" t="s">
        <v>41</v>
      </c>
      <c r="H3" s="387" t="s">
        <v>2</v>
      </c>
      <c r="I3" s="387" t="s">
        <v>60</v>
      </c>
      <c r="J3" s="387" t="s">
        <v>42</v>
      </c>
      <c r="K3" s="387" t="s">
        <v>36</v>
      </c>
      <c r="M3" s="79"/>
      <c r="N3" s="137"/>
      <c r="O3" s="137"/>
      <c r="P3" s="137"/>
      <c r="Q3" s="137"/>
      <c r="R3" s="137"/>
    </row>
    <row r="4" spans="2:18" ht="15" x14ac:dyDescent="0.25">
      <c r="B4" s="116" t="s">
        <v>57</v>
      </c>
      <c r="C4" s="115">
        <v>2019</v>
      </c>
      <c r="D4" s="115" t="s">
        <v>220</v>
      </c>
      <c r="E4" s="115" t="s">
        <v>319</v>
      </c>
      <c r="F4" s="115" t="s">
        <v>309</v>
      </c>
      <c r="G4" s="385">
        <v>65</v>
      </c>
      <c r="H4" s="385">
        <v>65</v>
      </c>
      <c r="I4" s="385">
        <v>0</v>
      </c>
      <c r="J4" s="385">
        <v>0</v>
      </c>
      <c r="K4" s="385">
        <v>0</v>
      </c>
      <c r="M4" s="79"/>
    </row>
    <row r="5" spans="2:18" x14ac:dyDescent="0.2">
      <c r="B5" s="116" t="s">
        <v>0</v>
      </c>
      <c r="C5" s="115">
        <v>2019</v>
      </c>
      <c r="D5" s="115" t="s">
        <v>220</v>
      </c>
      <c r="E5" s="115" t="s">
        <v>313</v>
      </c>
      <c r="F5" s="115" t="s">
        <v>309</v>
      </c>
      <c r="G5" s="385">
        <v>8</v>
      </c>
      <c r="H5" s="385">
        <v>8</v>
      </c>
      <c r="I5" s="385">
        <v>0</v>
      </c>
      <c r="J5" s="385">
        <v>0</v>
      </c>
      <c r="K5" s="385">
        <v>3.1</v>
      </c>
      <c r="M5" s="115" t="s">
        <v>309</v>
      </c>
      <c r="N5" s="137">
        <f ca="1">SUMIF(F3:K26,$M$5,G3:G26)</f>
        <v>2578.8539820000001</v>
      </c>
    </row>
    <row r="6" spans="2:18" ht="15" x14ac:dyDescent="0.25">
      <c r="B6" s="116" t="s">
        <v>48</v>
      </c>
      <c r="C6" s="115">
        <v>2019</v>
      </c>
      <c r="D6" s="115" t="s">
        <v>220</v>
      </c>
      <c r="E6" s="115" t="s">
        <v>325</v>
      </c>
      <c r="F6" s="115" t="s">
        <v>307</v>
      </c>
      <c r="G6" s="385">
        <v>10</v>
      </c>
      <c r="H6" s="385">
        <v>10</v>
      </c>
      <c r="I6" s="385">
        <v>0</v>
      </c>
      <c r="J6" s="385">
        <v>0</v>
      </c>
      <c r="K6" s="385">
        <v>78.082229999999996</v>
      </c>
      <c r="M6" s="79"/>
    </row>
    <row r="7" spans="2:18" ht="15" x14ac:dyDescent="0.25">
      <c r="B7" s="116" t="s">
        <v>49</v>
      </c>
      <c r="C7" s="115">
        <v>2020</v>
      </c>
      <c r="D7" s="115" t="s">
        <v>220</v>
      </c>
      <c r="E7" s="115" t="s">
        <v>314</v>
      </c>
      <c r="F7" s="115" t="s">
        <v>311</v>
      </c>
      <c r="G7" s="385">
        <v>2.5</v>
      </c>
      <c r="H7" s="385">
        <v>2.5</v>
      </c>
      <c r="I7" s="385">
        <v>0</v>
      </c>
      <c r="J7" s="385">
        <v>5</v>
      </c>
      <c r="K7" s="385">
        <v>0</v>
      </c>
      <c r="M7" s="79"/>
    </row>
    <row r="8" spans="2:18" ht="15" x14ac:dyDescent="0.25">
      <c r="B8" s="116" t="s">
        <v>47</v>
      </c>
      <c r="C8" s="115">
        <v>2020</v>
      </c>
      <c r="D8" s="115" t="s">
        <v>220</v>
      </c>
      <c r="E8" s="115" t="s">
        <v>320</v>
      </c>
      <c r="F8" s="115" t="s">
        <v>307</v>
      </c>
      <c r="G8" s="385">
        <v>90</v>
      </c>
      <c r="H8" s="385">
        <v>90</v>
      </c>
      <c r="I8" s="385">
        <v>0</v>
      </c>
      <c r="J8" s="385">
        <v>0</v>
      </c>
      <c r="K8" s="385">
        <v>91.001540300000002</v>
      </c>
      <c r="M8" s="79"/>
    </row>
    <row r="9" spans="2:18" ht="15" x14ac:dyDescent="0.25">
      <c r="B9" s="116" t="s">
        <v>133</v>
      </c>
      <c r="C9" s="115">
        <v>2020</v>
      </c>
      <c r="D9" s="115" t="s">
        <v>220</v>
      </c>
      <c r="E9" s="115" t="s">
        <v>323</v>
      </c>
      <c r="F9" s="115" t="s">
        <v>312</v>
      </c>
      <c r="G9" s="385">
        <v>141.4702596743665</v>
      </c>
      <c r="H9" s="385">
        <v>141.4702596743665</v>
      </c>
      <c r="I9" s="385">
        <v>0</v>
      </c>
      <c r="J9" s="385">
        <v>0</v>
      </c>
      <c r="K9" s="385">
        <v>149.58080812799997</v>
      </c>
      <c r="M9" s="79"/>
    </row>
    <row r="10" spans="2:18" ht="15" x14ac:dyDescent="0.25">
      <c r="B10" s="116" t="s">
        <v>11</v>
      </c>
      <c r="C10" s="115">
        <v>2020</v>
      </c>
      <c r="D10" s="115" t="s">
        <v>220</v>
      </c>
      <c r="E10" s="115" t="s">
        <v>315</v>
      </c>
      <c r="F10" s="115" t="s">
        <v>309</v>
      </c>
      <c r="G10" s="385">
        <v>60</v>
      </c>
      <c r="H10" s="385">
        <v>60</v>
      </c>
      <c r="I10" s="385">
        <v>0</v>
      </c>
      <c r="J10" s="385">
        <v>0</v>
      </c>
      <c r="K10" s="385">
        <v>136.63999999999999</v>
      </c>
      <c r="M10" s="79"/>
    </row>
    <row r="11" spans="2:18" ht="15" x14ac:dyDescent="0.25">
      <c r="B11" s="116" t="s">
        <v>24</v>
      </c>
      <c r="C11" s="115">
        <v>2021</v>
      </c>
      <c r="D11" s="115" t="s">
        <v>220</v>
      </c>
      <c r="E11" s="115" t="s">
        <v>316</v>
      </c>
      <c r="F11" s="115" t="s">
        <v>311</v>
      </c>
      <c r="G11" s="385">
        <v>20</v>
      </c>
      <c r="H11" s="385">
        <v>20</v>
      </c>
      <c r="I11" s="385">
        <v>0</v>
      </c>
      <c r="J11" s="385">
        <v>0</v>
      </c>
      <c r="K11" s="385">
        <v>20</v>
      </c>
      <c r="M11" s="79"/>
    </row>
    <row r="12" spans="2:18" ht="15" x14ac:dyDescent="0.25">
      <c r="B12" s="116" t="s">
        <v>50</v>
      </c>
      <c r="C12" s="115">
        <v>2021</v>
      </c>
      <c r="D12" s="115" t="s">
        <v>220</v>
      </c>
      <c r="E12" s="115" t="s">
        <v>317</v>
      </c>
      <c r="F12" s="115" t="s">
        <v>307</v>
      </c>
      <c r="G12" s="385">
        <v>40</v>
      </c>
      <c r="H12" s="385">
        <v>40</v>
      </c>
      <c r="I12" s="385">
        <v>0</v>
      </c>
      <c r="J12" s="385">
        <v>0</v>
      </c>
      <c r="K12" s="385">
        <v>39.999983359999995</v>
      </c>
      <c r="M12" s="79"/>
    </row>
    <row r="13" spans="2:18" ht="15" x14ac:dyDescent="0.25">
      <c r="B13" s="116" t="s">
        <v>51</v>
      </c>
      <c r="C13" s="115">
        <v>2021</v>
      </c>
      <c r="D13" s="115" t="s">
        <v>220</v>
      </c>
      <c r="E13" s="115" t="s">
        <v>324</v>
      </c>
      <c r="F13" s="115" t="s">
        <v>307</v>
      </c>
      <c r="G13" s="385">
        <v>3</v>
      </c>
      <c r="H13" s="385">
        <v>3</v>
      </c>
      <c r="I13" s="385">
        <v>0</v>
      </c>
      <c r="J13" s="385">
        <v>0</v>
      </c>
      <c r="K13" s="385">
        <v>3</v>
      </c>
      <c r="M13" s="79"/>
    </row>
    <row r="14" spans="2:18" ht="15" x14ac:dyDescent="0.25">
      <c r="B14" s="116" t="s">
        <v>52</v>
      </c>
      <c r="C14" s="115">
        <v>2021</v>
      </c>
      <c r="D14" s="115" t="s">
        <v>220</v>
      </c>
      <c r="E14" s="115" t="s">
        <v>325</v>
      </c>
      <c r="F14" s="115" t="s">
        <v>312</v>
      </c>
      <c r="G14" s="385">
        <v>5.0278211945578235</v>
      </c>
      <c r="H14" s="385">
        <v>5.0278211945578235</v>
      </c>
      <c r="I14" s="385">
        <v>0</v>
      </c>
      <c r="J14" s="385">
        <v>0</v>
      </c>
      <c r="K14" s="385">
        <v>5.0237201984774336</v>
      </c>
      <c r="M14" s="79"/>
    </row>
    <row r="15" spans="2:18" ht="15" x14ac:dyDescent="0.25">
      <c r="B15" s="116" t="s">
        <v>113</v>
      </c>
      <c r="C15" s="115">
        <v>2022</v>
      </c>
      <c r="D15" s="115" t="s">
        <v>220</v>
      </c>
      <c r="E15" s="115" t="s">
        <v>321</v>
      </c>
      <c r="F15" s="115" t="s">
        <v>309</v>
      </c>
      <c r="G15" s="385">
        <v>493.5</v>
      </c>
      <c r="H15" s="385">
        <v>493.5</v>
      </c>
      <c r="I15" s="385">
        <v>0</v>
      </c>
      <c r="J15" s="385">
        <v>0</v>
      </c>
      <c r="K15" s="385">
        <v>493.5</v>
      </c>
      <c r="M15" s="79"/>
    </row>
    <row r="16" spans="2:18" ht="15" x14ac:dyDescent="0.25">
      <c r="B16" s="116" t="s">
        <v>25</v>
      </c>
      <c r="C16" s="115">
        <v>2022</v>
      </c>
      <c r="D16" s="115" t="s">
        <v>220</v>
      </c>
      <c r="E16" s="115" t="s">
        <v>322</v>
      </c>
      <c r="F16" s="115" t="s">
        <v>310</v>
      </c>
      <c r="G16" s="385">
        <v>300</v>
      </c>
      <c r="H16" s="385">
        <v>300</v>
      </c>
      <c r="I16" s="385">
        <v>0</v>
      </c>
      <c r="J16" s="385">
        <v>0</v>
      </c>
      <c r="K16" s="385">
        <v>300</v>
      </c>
      <c r="M16" s="79"/>
    </row>
    <row r="17" spans="2:13" ht="15" x14ac:dyDescent="0.25">
      <c r="B17" s="116" t="s">
        <v>134</v>
      </c>
      <c r="C17" s="115">
        <v>2022</v>
      </c>
      <c r="D17" s="115" t="s">
        <v>220</v>
      </c>
      <c r="E17" s="115" t="s">
        <v>323</v>
      </c>
      <c r="F17" s="115" t="s">
        <v>307</v>
      </c>
      <c r="G17" s="385">
        <v>25</v>
      </c>
      <c r="H17" s="385">
        <v>12.5</v>
      </c>
      <c r="I17" s="385">
        <v>12.5</v>
      </c>
      <c r="J17" s="385">
        <v>0</v>
      </c>
      <c r="K17" s="385">
        <v>-0.5557849000000008</v>
      </c>
      <c r="M17" s="79"/>
    </row>
    <row r="18" spans="2:13" ht="15" x14ac:dyDescent="0.25">
      <c r="B18" s="116" t="s">
        <v>44</v>
      </c>
      <c r="C18" s="115">
        <v>2022</v>
      </c>
      <c r="D18" s="115" t="s">
        <v>220</v>
      </c>
      <c r="E18" s="115" t="s">
        <v>318</v>
      </c>
      <c r="F18" s="115" t="s">
        <v>309</v>
      </c>
      <c r="G18" s="385">
        <v>1600</v>
      </c>
      <c r="H18" s="385">
        <v>800</v>
      </c>
      <c r="I18" s="385">
        <v>800</v>
      </c>
      <c r="J18" s="385">
        <v>0</v>
      </c>
      <c r="K18" s="385">
        <f>1075.57839098788*0.8</f>
        <v>860.46271279030407</v>
      </c>
      <c r="M18" s="79"/>
    </row>
    <row r="19" spans="2:13" ht="15" x14ac:dyDescent="0.25">
      <c r="B19" s="116" t="s">
        <v>58</v>
      </c>
      <c r="C19" s="115">
        <v>2019</v>
      </c>
      <c r="D19" s="115" t="s">
        <v>53</v>
      </c>
      <c r="E19" s="115" t="s">
        <v>326</v>
      </c>
      <c r="F19" s="115" t="s">
        <v>307</v>
      </c>
      <c r="G19" s="385">
        <v>8</v>
      </c>
      <c r="H19" s="385">
        <v>8</v>
      </c>
      <c r="I19" s="385">
        <v>0</v>
      </c>
      <c r="J19" s="385">
        <v>0</v>
      </c>
      <c r="K19" s="385">
        <v>0</v>
      </c>
      <c r="M19" s="79"/>
    </row>
    <row r="20" spans="2:13" ht="15" x14ac:dyDescent="0.25">
      <c r="B20" s="116" t="s">
        <v>0</v>
      </c>
      <c r="C20" s="115">
        <v>2021</v>
      </c>
      <c r="D20" s="115" t="s">
        <v>53</v>
      </c>
      <c r="E20" s="115" t="s">
        <v>313</v>
      </c>
      <c r="F20" s="115" t="s">
        <v>309</v>
      </c>
      <c r="G20" s="385">
        <v>2.3539819999999998</v>
      </c>
      <c r="H20" s="385">
        <v>2.3539819999999998</v>
      </c>
      <c r="I20" s="385">
        <v>0</v>
      </c>
      <c r="J20" s="385">
        <v>0</v>
      </c>
      <c r="K20" s="385">
        <v>2.3539819999999998</v>
      </c>
      <c r="M20" s="79"/>
    </row>
    <row r="21" spans="2:13" ht="15" x14ac:dyDescent="0.25">
      <c r="B21" s="116" t="s">
        <v>49</v>
      </c>
      <c r="C21" s="115">
        <v>2021</v>
      </c>
      <c r="D21" s="115" t="s">
        <v>53</v>
      </c>
      <c r="E21" s="115" t="s">
        <v>314</v>
      </c>
      <c r="F21" s="115" t="s">
        <v>311</v>
      </c>
      <c r="G21" s="385">
        <v>0.41176499999999999</v>
      </c>
      <c r="H21" s="385">
        <v>0.41176499999999999</v>
      </c>
      <c r="I21" s="385">
        <v>0</v>
      </c>
      <c r="J21" s="385">
        <v>0</v>
      </c>
      <c r="K21" s="385">
        <v>0.45643868219178102</v>
      </c>
      <c r="M21" s="79"/>
    </row>
    <row r="22" spans="2:13" ht="15" x14ac:dyDescent="0.25">
      <c r="B22" s="116" t="s">
        <v>174</v>
      </c>
      <c r="C22" s="115">
        <v>2020</v>
      </c>
      <c r="D22" s="115" t="s">
        <v>63</v>
      </c>
      <c r="E22" s="115" t="s">
        <v>63</v>
      </c>
      <c r="F22" s="115" t="s">
        <v>312</v>
      </c>
      <c r="G22" s="385">
        <v>25.557908058353444</v>
      </c>
      <c r="H22" s="385">
        <v>21.611950741200001</v>
      </c>
      <c r="I22" s="385">
        <v>3.945957317153443</v>
      </c>
      <c r="J22" s="385">
        <v>0</v>
      </c>
      <c r="K22" s="385">
        <v>31.952799285000001</v>
      </c>
      <c r="M22" s="79"/>
    </row>
    <row r="23" spans="2:13" ht="15" x14ac:dyDescent="0.25">
      <c r="B23" s="116" t="s">
        <v>156</v>
      </c>
      <c r="C23" s="115">
        <v>2020</v>
      </c>
      <c r="D23" s="115" t="s">
        <v>63</v>
      </c>
      <c r="E23" s="115" t="s">
        <v>63</v>
      </c>
      <c r="F23" s="115" t="s">
        <v>312</v>
      </c>
      <c r="G23" s="385">
        <v>2.7058823529411762</v>
      </c>
      <c r="H23" s="385">
        <v>2.7058823529411762</v>
      </c>
      <c r="I23" s="385">
        <v>0</v>
      </c>
      <c r="J23" s="385">
        <v>0</v>
      </c>
      <c r="K23" s="385">
        <v>2.7058823529411762</v>
      </c>
      <c r="M23" s="79"/>
    </row>
    <row r="24" spans="2:13" ht="15" x14ac:dyDescent="0.25">
      <c r="B24" s="116" t="s">
        <v>1</v>
      </c>
      <c r="C24" s="115">
        <v>2020</v>
      </c>
      <c r="D24" s="115" t="s">
        <v>63</v>
      </c>
      <c r="E24" s="115" t="s">
        <v>63</v>
      </c>
      <c r="F24" s="115" t="s">
        <v>309</v>
      </c>
      <c r="G24" s="385">
        <v>300</v>
      </c>
      <c r="H24" s="385">
        <v>83.214652999999984</v>
      </c>
      <c r="I24" s="385">
        <v>217.81330800000001</v>
      </c>
      <c r="J24" s="385">
        <v>1.0279609999999999</v>
      </c>
      <c r="K24" s="385">
        <v>79.319999999999993</v>
      </c>
      <c r="M24" s="79"/>
    </row>
    <row r="25" spans="2:13" ht="15" x14ac:dyDescent="0.25">
      <c r="B25" s="116" t="s">
        <v>15</v>
      </c>
      <c r="C25" s="115">
        <v>2020</v>
      </c>
      <c r="D25" s="115" t="s">
        <v>63</v>
      </c>
      <c r="E25" s="115" t="s">
        <v>63</v>
      </c>
      <c r="F25" s="115" t="s">
        <v>309</v>
      </c>
      <c r="G25" s="385">
        <v>50</v>
      </c>
      <c r="H25" s="385">
        <v>16.790246</v>
      </c>
      <c r="I25" s="385">
        <v>33.209754000000004</v>
      </c>
      <c r="J25" s="385">
        <v>0.44382834999999998</v>
      </c>
      <c r="K25" s="385">
        <v>15.875237</v>
      </c>
      <c r="M25" s="79"/>
    </row>
    <row r="26" spans="2:13" ht="15" x14ac:dyDescent="0.25">
      <c r="B26" s="116" t="s">
        <v>237</v>
      </c>
      <c r="C26" s="115">
        <v>2021</v>
      </c>
      <c r="D26" s="115" t="s">
        <v>63</v>
      </c>
      <c r="E26" s="115" t="s">
        <v>63</v>
      </c>
      <c r="F26" s="115" t="s">
        <v>307</v>
      </c>
      <c r="G26" s="385">
        <v>17.112500000000001</v>
      </c>
      <c r="H26" s="385">
        <v>10.6268625</v>
      </c>
      <c r="I26" s="385">
        <v>6.4856375000000011</v>
      </c>
      <c r="J26" s="385">
        <v>0</v>
      </c>
      <c r="K26" s="385">
        <v>10.343446999999999</v>
      </c>
      <c r="M26" s="79"/>
    </row>
    <row r="27" spans="2:13" ht="15" x14ac:dyDescent="0.25">
      <c r="G27" s="384"/>
      <c r="H27" s="384"/>
      <c r="I27" s="384"/>
      <c r="J27" s="384"/>
      <c r="M27" s="79"/>
    </row>
    <row r="28" spans="2:13" ht="15" x14ac:dyDescent="0.25">
      <c r="G28" s="389">
        <f>SUM(G4:G26)</f>
        <v>3269.6401182802188</v>
      </c>
      <c r="H28" s="389">
        <f>SUM(H4:H26)</f>
        <v>2196.7134224630649</v>
      </c>
      <c r="I28" s="389">
        <f>SUM(I4:I26)</f>
        <v>1073.9546568171534</v>
      </c>
      <c r="J28" s="389">
        <f t="shared" ref="J28:K28" si="0">SUM(J4:J26)</f>
        <v>6.4717893499999999</v>
      </c>
      <c r="K28" s="389">
        <f t="shared" si="0"/>
        <v>2322.842996196915</v>
      </c>
      <c r="M28" s="79"/>
    </row>
    <row r="29" spans="2:13" ht="15" x14ac:dyDescent="0.25">
      <c r="M29" s="79"/>
    </row>
    <row r="30" spans="2:13" ht="15" x14ac:dyDescent="0.25">
      <c r="M30" s="79"/>
    </row>
    <row r="31" spans="2:13" ht="15" x14ac:dyDescent="0.25">
      <c r="M31" s="79"/>
    </row>
    <row r="32" spans="2:13" ht="15" x14ac:dyDescent="0.25">
      <c r="M32" s="79"/>
    </row>
    <row r="33" spans="13:13" ht="15" x14ac:dyDescent="0.25">
      <c r="M33" s="79"/>
    </row>
    <row r="34" spans="13:13" ht="15" x14ac:dyDescent="0.25">
      <c r="M34" s="79"/>
    </row>
    <row r="35" spans="13:13" ht="15" x14ac:dyDescent="0.25">
      <c r="M35" s="79"/>
    </row>
    <row r="36" spans="13:13" ht="15" x14ac:dyDescent="0.25">
      <c r="M36" s="79"/>
    </row>
    <row r="37" spans="13:13" ht="15" x14ac:dyDescent="0.25">
      <c r="M37" s="79"/>
    </row>
    <row r="38" spans="13:13" ht="15" x14ac:dyDescent="0.25">
      <c r="M38" s="79"/>
    </row>
    <row r="39" spans="13:13" ht="15" x14ac:dyDescent="0.25">
      <c r="M39" s="79"/>
    </row>
    <row r="40" spans="13:13" ht="15" x14ac:dyDescent="0.25">
      <c r="M40" s="79"/>
    </row>
    <row r="41" spans="13:13" ht="15" x14ac:dyDescent="0.25">
      <c r="M41" s="79"/>
    </row>
    <row r="42" spans="13:13" ht="15" x14ac:dyDescent="0.25">
      <c r="M42" s="79"/>
    </row>
    <row r="43" spans="13:13" ht="15" x14ac:dyDescent="0.25">
      <c r="M43" s="79"/>
    </row>
    <row r="44" spans="13:13" ht="15" x14ac:dyDescent="0.25">
      <c r="M44" s="79"/>
    </row>
    <row r="45" spans="13:13" ht="15" x14ac:dyDescent="0.25">
      <c r="M45" s="79"/>
    </row>
    <row r="46" spans="13:13" ht="15" x14ac:dyDescent="0.25">
      <c r="M46" s="79"/>
    </row>
    <row r="47" spans="13:13" ht="15" x14ac:dyDescent="0.25">
      <c r="M47" s="79"/>
    </row>
    <row r="48" spans="13:13" ht="15" x14ac:dyDescent="0.25">
      <c r="M48" s="79"/>
    </row>
    <row r="49" spans="13:13" ht="15" x14ac:dyDescent="0.25">
      <c r="M49" s="79"/>
    </row>
    <row r="50" spans="13:13" ht="15" x14ac:dyDescent="0.25">
      <c r="M50" s="79"/>
    </row>
    <row r="51" spans="13:13" ht="15" x14ac:dyDescent="0.25">
      <c r="M51" s="79"/>
    </row>
    <row r="52" spans="13:13" ht="15" x14ac:dyDescent="0.25">
      <c r="M52" s="79"/>
    </row>
    <row r="53" spans="13:13" ht="15" x14ac:dyDescent="0.25">
      <c r="M53" s="79"/>
    </row>
  </sheetData>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C901-F2EC-4997-9590-27F5916D9A36}">
  <sheetPr>
    <tabColor theme="3" tint="0.39997558519241921"/>
  </sheetPr>
  <dimension ref="A1:P34"/>
  <sheetViews>
    <sheetView showGridLines="0" zoomScale="80" zoomScaleNormal="80" workbookViewId="0">
      <selection activeCell="I11" sqref="I11"/>
    </sheetView>
  </sheetViews>
  <sheetFormatPr defaultRowHeight="15" x14ac:dyDescent="0.25"/>
  <cols>
    <col min="1" max="2" width="9.140625" style="80"/>
    <col min="3" max="3" width="29.7109375" style="80" customWidth="1"/>
    <col min="4" max="4" width="3.7109375" style="80" customWidth="1"/>
    <col min="5" max="8" width="12" style="196" customWidth="1"/>
    <col min="9" max="9" width="31.140625" style="80" customWidth="1"/>
    <col min="10" max="15" width="9.140625" style="80"/>
    <col min="16" max="16" width="24" style="80" bestFit="1" customWidth="1"/>
    <col min="17" max="16384" width="9.140625" style="80"/>
  </cols>
  <sheetData>
    <row r="1" spans="1:16" ht="15.75" thickBot="1" x14ac:dyDescent="0.3">
      <c r="C1" s="152"/>
      <c r="D1" s="152"/>
    </row>
    <row r="2" spans="1:16" x14ac:dyDescent="0.25">
      <c r="B2" s="205"/>
      <c r="C2" s="206"/>
      <c r="D2" s="206"/>
      <c r="E2" s="200"/>
      <c r="F2" s="200"/>
      <c r="G2" s="200"/>
      <c r="H2" s="200"/>
      <c r="I2" s="207"/>
      <c r="J2" s="208"/>
    </row>
    <row r="3" spans="1:16" ht="60" customHeight="1" x14ac:dyDescent="0.25">
      <c r="A3" s="161"/>
      <c r="B3" s="209"/>
      <c r="C3" s="1" t="s">
        <v>62</v>
      </c>
      <c r="D3" s="1"/>
      <c r="E3" s="1" t="s">
        <v>105</v>
      </c>
      <c r="F3" s="1" t="s">
        <v>106</v>
      </c>
      <c r="G3" s="1" t="s">
        <v>107</v>
      </c>
      <c r="H3" s="1" t="s">
        <v>201</v>
      </c>
      <c r="I3" s="1" t="s">
        <v>199</v>
      </c>
      <c r="J3" s="210"/>
      <c r="K3" s="161"/>
    </row>
    <row r="4" spans="1:16" x14ac:dyDescent="0.25">
      <c r="A4" s="164"/>
      <c r="B4" s="211"/>
      <c r="C4" s="197"/>
      <c r="D4" s="197"/>
      <c r="E4" s="187"/>
      <c r="F4" s="187"/>
      <c r="G4" s="187"/>
      <c r="H4" s="187"/>
      <c r="I4" s="186"/>
      <c r="J4" s="212"/>
      <c r="K4" s="164"/>
    </row>
    <row r="5" spans="1:16" x14ac:dyDescent="0.25">
      <c r="B5" s="201"/>
      <c r="C5" s="70" t="s">
        <v>37</v>
      </c>
      <c r="D5" s="70"/>
      <c r="J5" s="202"/>
    </row>
    <row r="6" spans="1:16" x14ac:dyDescent="0.25">
      <c r="B6" s="201"/>
      <c r="C6" s="58" t="s">
        <v>48</v>
      </c>
      <c r="D6" s="58"/>
      <c r="E6" s="372"/>
      <c r="F6" s="372"/>
      <c r="G6" s="372"/>
      <c r="H6" s="373"/>
      <c r="I6" s="367" t="s">
        <v>198</v>
      </c>
      <c r="J6" s="202"/>
      <c r="N6" s="80" t="s">
        <v>200</v>
      </c>
    </row>
    <row r="7" spans="1:16" x14ac:dyDescent="0.25">
      <c r="B7" s="201"/>
      <c r="C7" s="58" t="s">
        <v>47</v>
      </c>
      <c r="D7" s="58"/>
      <c r="E7" s="372"/>
      <c r="F7" s="372"/>
      <c r="G7" s="375"/>
      <c r="H7" s="373"/>
      <c r="I7" s="367"/>
      <c r="J7" s="202"/>
    </row>
    <row r="8" spans="1:16" x14ac:dyDescent="0.25">
      <c r="B8" s="201"/>
      <c r="C8" s="58" t="s">
        <v>51</v>
      </c>
      <c r="D8" s="58"/>
      <c r="E8" s="371"/>
      <c r="F8" s="371"/>
      <c r="G8" s="371"/>
      <c r="H8" s="190"/>
      <c r="I8" s="367"/>
      <c r="J8" s="202"/>
      <c r="N8" s="190"/>
      <c r="P8" s="80" t="s">
        <v>302</v>
      </c>
    </row>
    <row r="9" spans="1:16" x14ac:dyDescent="0.25">
      <c r="B9" s="201"/>
      <c r="C9" s="58" t="s">
        <v>52</v>
      </c>
      <c r="D9" s="58"/>
      <c r="E9" s="372"/>
      <c r="F9" s="372"/>
      <c r="G9" s="372"/>
      <c r="H9" s="373"/>
      <c r="I9" s="367"/>
      <c r="J9" s="202"/>
    </row>
    <row r="10" spans="1:16" x14ac:dyDescent="0.25">
      <c r="B10" s="201"/>
      <c r="C10" s="58" t="s">
        <v>133</v>
      </c>
      <c r="D10" s="58"/>
      <c r="E10" s="372"/>
      <c r="F10" s="372"/>
      <c r="G10" s="371"/>
      <c r="H10" s="373"/>
      <c r="I10" s="367"/>
      <c r="J10" s="202"/>
      <c r="N10" s="189"/>
      <c r="P10" s="80" t="s">
        <v>300</v>
      </c>
    </row>
    <row r="11" spans="1:16" x14ac:dyDescent="0.25">
      <c r="B11" s="201"/>
      <c r="C11" s="58" t="s">
        <v>134</v>
      </c>
      <c r="D11" s="58"/>
      <c r="E11" s="371"/>
      <c r="F11" s="371"/>
      <c r="G11" s="371"/>
      <c r="H11" s="190"/>
      <c r="I11" s="367"/>
      <c r="J11" s="202"/>
    </row>
    <row r="12" spans="1:16" x14ac:dyDescent="0.25">
      <c r="B12" s="201"/>
      <c r="C12" s="58" t="s">
        <v>25</v>
      </c>
      <c r="D12" s="58"/>
      <c r="E12" s="371"/>
      <c r="F12" s="371"/>
      <c r="G12" s="371"/>
      <c r="H12" s="190"/>
      <c r="I12" s="367"/>
      <c r="J12" s="202"/>
      <c r="N12" s="178"/>
      <c r="P12" s="80" t="s">
        <v>304</v>
      </c>
    </row>
    <row r="13" spans="1:16" x14ac:dyDescent="0.25">
      <c r="B13" s="201"/>
      <c r="C13" s="177"/>
      <c r="D13" s="177"/>
      <c r="E13" s="203"/>
      <c r="F13" s="203"/>
      <c r="G13" s="203"/>
      <c r="H13" s="203"/>
      <c r="I13" s="177"/>
      <c r="J13" s="202"/>
    </row>
    <row r="14" spans="1:16" x14ac:dyDescent="0.25">
      <c r="B14" s="201"/>
      <c r="C14" s="58" t="s">
        <v>11</v>
      </c>
      <c r="D14" s="58"/>
      <c r="E14" s="369"/>
      <c r="F14" s="369"/>
      <c r="G14" s="369"/>
      <c r="H14" s="190"/>
      <c r="I14" s="367"/>
      <c r="J14" s="202"/>
      <c r="N14" s="373"/>
      <c r="P14" s="80" t="s">
        <v>303</v>
      </c>
    </row>
    <row r="15" spans="1:16" x14ac:dyDescent="0.25">
      <c r="B15" s="201"/>
      <c r="C15" s="58" t="s">
        <v>0</v>
      </c>
      <c r="D15" s="58"/>
      <c r="E15" s="370"/>
      <c r="F15" s="370"/>
      <c r="G15" s="370"/>
      <c r="H15" s="190"/>
      <c r="I15" s="367"/>
      <c r="J15" s="202"/>
    </row>
    <row r="16" spans="1:16" x14ac:dyDescent="0.25">
      <c r="B16" s="201"/>
      <c r="C16" s="58" t="s">
        <v>113</v>
      </c>
      <c r="D16" s="58"/>
      <c r="E16" s="371"/>
      <c r="F16" s="371"/>
      <c r="G16" s="371"/>
      <c r="H16" s="190"/>
      <c r="I16" s="367"/>
      <c r="J16" s="202"/>
      <c r="N16" s="375"/>
      <c r="P16" s="80" t="s">
        <v>305</v>
      </c>
    </row>
    <row r="17" spans="1:16" x14ac:dyDescent="0.25">
      <c r="B17" s="201"/>
      <c r="C17" s="58" t="s">
        <v>44</v>
      </c>
      <c r="D17" s="58"/>
      <c r="E17" s="371"/>
      <c r="F17" s="371"/>
      <c r="G17" s="371"/>
      <c r="H17" s="190"/>
      <c r="I17" s="367"/>
      <c r="J17" s="202"/>
    </row>
    <row r="18" spans="1:16" x14ac:dyDescent="0.25">
      <c r="B18" s="201"/>
      <c r="C18" s="177"/>
      <c r="D18" s="177"/>
      <c r="E18" s="203"/>
      <c r="F18" s="203"/>
      <c r="G18" s="203"/>
      <c r="H18" s="203"/>
      <c r="I18" s="177"/>
      <c r="J18" s="202"/>
      <c r="N18" s="374"/>
      <c r="P18" s="80" t="s">
        <v>336</v>
      </c>
    </row>
    <row r="19" spans="1:16" x14ac:dyDescent="0.25">
      <c r="A19" s="169"/>
      <c r="B19" s="201"/>
      <c r="C19" s="58" t="s">
        <v>49</v>
      </c>
      <c r="D19" s="58"/>
      <c r="E19" s="368"/>
      <c r="F19" s="368"/>
      <c r="G19" s="368"/>
      <c r="H19" s="368"/>
      <c r="I19" s="367" t="s">
        <v>34</v>
      </c>
      <c r="J19" s="202"/>
      <c r="K19" s="169"/>
    </row>
    <row r="20" spans="1:16" x14ac:dyDescent="0.25">
      <c r="A20" s="164"/>
      <c r="B20" s="201"/>
      <c r="C20" s="58" t="s">
        <v>24</v>
      </c>
      <c r="D20" s="58"/>
      <c r="E20" s="368"/>
      <c r="F20" s="368"/>
      <c r="G20" s="368"/>
      <c r="H20" s="368"/>
      <c r="I20" s="367" t="s">
        <v>197</v>
      </c>
      <c r="J20" s="202"/>
      <c r="K20" s="164"/>
    </row>
    <row r="21" spans="1:16" x14ac:dyDescent="0.25">
      <c r="B21" s="201"/>
      <c r="C21" s="58" t="s">
        <v>50</v>
      </c>
      <c r="D21" s="58"/>
      <c r="E21" s="368"/>
      <c r="F21" s="368"/>
      <c r="G21" s="368"/>
      <c r="H21" s="368"/>
      <c r="I21" s="367" t="s">
        <v>197</v>
      </c>
      <c r="J21" s="202"/>
    </row>
    <row r="22" spans="1:16" x14ac:dyDescent="0.25">
      <c r="B22" s="201"/>
      <c r="C22" s="58" t="s">
        <v>57</v>
      </c>
      <c r="D22" s="58"/>
      <c r="E22" s="368"/>
      <c r="F22" s="368"/>
      <c r="G22" s="368"/>
      <c r="H22" s="368"/>
      <c r="I22" s="367" t="s">
        <v>126</v>
      </c>
      <c r="J22" s="202"/>
    </row>
    <row r="23" spans="1:16" x14ac:dyDescent="0.25">
      <c r="B23" s="201"/>
      <c r="C23" s="177"/>
      <c r="D23" s="177"/>
      <c r="E23" s="203"/>
      <c r="F23" s="203"/>
      <c r="G23" s="203"/>
      <c r="H23" s="203"/>
      <c r="I23" s="177"/>
      <c r="J23" s="202"/>
    </row>
    <row r="24" spans="1:16" x14ac:dyDescent="0.25">
      <c r="B24" s="201"/>
      <c r="C24" s="177"/>
      <c r="D24" s="177"/>
      <c r="E24" s="203"/>
      <c r="F24" s="203"/>
      <c r="G24" s="203"/>
      <c r="H24" s="203"/>
      <c r="I24" s="177"/>
      <c r="J24" s="202"/>
    </row>
    <row r="25" spans="1:16" x14ac:dyDescent="0.25">
      <c r="B25" s="213"/>
      <c r="C25" s="59"/>
      <c r="D25" s="59"/>
      <c r="E25" s="66"/>
      <c r="F25" s="66"/>
      <c r="G25" s="66"/>
      <c r="H25" s="66"/>
      <c r="I25" s="76"/>
      <c r="J25" s="214"/>
    </row>
    <row r="26" spans="1:16" x14ac:dyDescent="0.25">
      <c r="B26" s="211"/>
      <c r="C26" s="70" t="s">
        <v>39</v>
      </c>
      <c r="D26" s="70"/>
      <c r="E26" s="69"/>
      <c r="F26" s="69"/>
      <c r="G26" s="69"/>
      <c r="H26" s="69"/>
      <c r="I26" s="77"/>
      <c r="J26" s="212"/>
    </row>
    <row r="27" spans="1:16" x14ac:dyDescent="0.25">
      <c r="B27" s="201"/>
      <c r="C27" s="58" t="s">
        <v>174</v>
      </c>
      <c r="D27" s="58"/>
      <c r="E27" s="190"/>
      <c r="F27" s="190"/>
      <c r="G27" s="188"/>
      <c r="H27" s="190"/>
      <c r="I27" s="198"/>
      <c r="J27" s="202"/>
    </row>
    <row r="28" spans="1:16" x14ac:dyDescent="0.25">
      <c r="B28" s="201"/>
      <c r="C28" s="58" t="s">
        <v>156</v>
      </c>
      <c r="D28" s="58"/>
      <c r="E28" s="190"/>
      <c r="F28" s="190"/>
      <c r="G28" s="188"/>
      <c r="H28" s="190"/>
      <c r="I28" s="198"/>
      <c r="J28" s="202"/>
    </row>
    <row r="29" spans="1:16" x14ac:dyDescent="0.25">
      <c r="B29" s="201"/>
      <c r="C29" s="58" t="s">
        <v>1</v>
      </c>
      <c r="D29" s="58"/>
      <c r="E29" s="190"/>
      <c r="F29" s="190"/>
      <c r="G29" s="190"/>
      <c r="H29" s="190"/>
      <c r="I29" s="198" t="s">
        <v>206</v>
      </c>
      <c r="J29" s="202"/>
    </row>
    <row r="30" spans="1:16" x14ac:dyDescent="0.25">
      <c r="B30" s="201"/>
      <c r="C30" s="58" t="s">
        <v>15</v>
      </c>
      <c r="D30" s="58"/>
      <c r="E30" s="188"/>
      <c r="F30" s="188"/>
      <c r="G30" s="188"/>
      <c r="H30" s="190"/>
      <c r="I30" s="198"/>
      <c r="J30" s="202"/>
    </row>
    <row r="31" spans="1:16" x14ac:dyDescent="0.25">
      <c r="B31" s="201"/>
      <c r="C31" s="58" t="s">
        <v>237</v>
      </c>
      <c r="D31" s="58"/>
      <c r="E31" s="190"/>
      <c r="F31" s="190"/>
      <c r="G31" s="190"/>
      <c r="H31" s="190"/>
      <c r="I31" s="198"/>
      <c r="J31" s="202"/>
    </row>
    <row r="32" spans="1:16" x14ac:dyDescent="0.25">
      <c r="B32" s="201"/>
      <c r="C32" s="177"/>
      <c r="D32" s="177"/>
      <c r="E32" s="203"/>
      <c r="F32" s="203"/>
      <c r="G32" s="203"/>
      <c r="H32" s="203"/>
      <c r="I32" s="177"/>
      <c r="J32" s="202"/>
    </row>
    <row r="33" spans="2:10" x14ac:dyDescent="0.25">
      <c r="B33" s="213"/>
      <c r="J33" s="214"/>
    </row>
    <row r="34" spans="2:10" ht="15.75" thickBot="1" x14ac:dyDescent="0.3">
      <c r="B34" s="215"/>
      <c r="C34" s="216"/>
      <c r="D34" s="216"/>
      <c r="E34" s="204"/>
      <c r="F34" s="204"/>
      <c r="G34" s="204"/>
      <c r="H34" s="204"/>
      <c r="I34" s="217"/>
      <c r="J34" s="218"/>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D</vt:lpstr>
      <vt:lpstr>Summary | 01 </vt:lpstr>
      <vt:lpstr>S | 02</vt:lpstr>
      <vt:lpstr>S | 03</vt:lpstr>
      <vt:lpstr>NAV</vt:lpstr>
      <vt:lpstr>CF (Equity, Debt)</vt:lpstr>
      <vt:lpstr>CF (Funds)</vt:lpstr>
      <vt:lpstr>1. IRR Equity</vt:lpstr>
      <vt:lpstr>2. IRR Debt</vt:lpstr>
      <vt:lpstr>3. IRR Funds</vt:lpstr>
      <vt:lpstr>4.All</vt:lpstr>
      <vt:lpstr>4. Mozn-IRR</vt:lpstr>
      <vt:lpstr>4. G42-IRR</vt:lpstr>
      <vt:lpstr>5. CF Profile</vt:lpstr>
      <vt:lpstr>5. CF </vt:lpstr>
      <vt:lpstr>6. ATS</vt:lpstr>
      <vt:lpstr>7. %</vt:lpstr>
      <vt:lpstr>8. Board</vt:lpstr>
      <vt:lpstr>9. Log</vt:lpstr>
      <vt:lpstr>X1</vt:lpstr>
      <vt:lpstr>X2</vt:lpstr>
      <vt:lpstr>X3</vt:lpstr>
      <vt:lpstr>4.1</vt:lpstr>
      <vt:lpstr>1.1(P1)</vt:lpstr>
      <vt:lpstr>5. Geo</vt:lpstr>
      <vt:lpstr>Outlook</vt:lpstr>
      <vt:lpst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2023-04-03T09:32:14Z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